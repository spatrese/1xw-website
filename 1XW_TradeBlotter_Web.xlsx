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253" documentId="13_ncr:1_{6F5069F1-F0E7-4440-AA6D-4AFA11BBED1B}" xr6:coauthVersionLast="47" xr6:coauthVersionMax="47" xr10:uidLastSave="{B131FD68-2782-436E-ACAA-2515342E383A}"/>
  <bookViews>
    <workbookView xWindow="-98" yWindow="-98" windowWidth="22695" windowHeight="14476" activeTab="3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6" l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E5" i="2" s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G19" i="3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G42" i="4" l="1"/>
  <c r="E42" i="4"/>
  <c r="T4" i="2" l="1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M3" i="2" l="1"/>
  <c r="O3" i="2" s="1"/>
  <c r="G38" i="4"/>
  <c r="E38" i="4"/>
  <c r="AD563" i="6" l="1"/>
  <c r="G20" i="4"/>
  <c r="E20" i="4"/>
  <c r="U2" i="6" l="1"/>
  <c r="T2" i="6" s="1"/>
  <c r="I19" i="3" l="1" a="1"/>
  <c r="I19" i="3" s="1"/>
  <c r="I20" i="3" a="1"/>
  <c r="I20" i="3" s="1"/>
  <c r="G37" i="4"/>
  <c r="E37" i="4"/>
  <c r="O19" i="3" l="1"/>
  <c r="N20" i="3" l="1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I19" i="4" s="1"/>
  <c r="G20" i="3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T19" i="3"/>
  <c r="M19" i="3"/>
  <c r="G5" i="2" s="1" a="1"/>
  <c r="G5" i="2" s="1"/>
  <c r="K19" i="3" l="1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K5" i="2"/>
  <c r="L5" i="2" s="1"/>
  <c r="P5" i="2"/>
  <c r="Q5" i="2" s="1"/>
  <c r="O5" i="2"/>
  <c r="F4" i="2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<sst xmlns="http://schemas.openxmlformats.org/spreadsheetml/2006/main" count="1135" uniqueCount="330">
  <si>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</si>
  <si>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</si>
  <si>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</si>
  <si>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</si>
  <si>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</si>
  <si>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</si>
  <si>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</si>
  <si>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</si>
  <si>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</si>
  <si>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</si>
  <si>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</si>
  <si>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</si>
  <si>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</si>
  <si>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</si>
  <si>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</si>
  <si>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</si>
  <si>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</si>
  <si>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</si>
  <si>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</si>
  <si>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</si>
  <si>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</si>
  <si>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</si>
  <si>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</si>
  <si>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</si>
  <si>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</si>
  <si>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</si>
  <si>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</si>
  <si>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</si>
  <si>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</si>
  <si>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</si>
  <si>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</si>
  <si>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</si>
  <si>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</si>
  <si>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</si>
  <si>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</si>
  <si>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</si>
  <si>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</si>
  <si>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</si>
  <si>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</si>
  <si>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</si>
  <si>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</si>
  <si>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</si>
  <si>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</si>
  <si>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</si>
  <si>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</si>
  <si>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</si>
  <si>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</si>
  <si>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</si>
  <si>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</si>
  <si>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</si>
  <si>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</si>
  <si>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</si>
  <si>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</si>
  <si>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</si>
  <si>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</si>
  <si>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</si>
  <si>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</si>
  <si>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</si>
  <si>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</si>
  <si>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</si>
  <si>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</si>
  <si>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</si>
  <si>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</si>
  <si>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</si>
  <si>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</si>
  <si>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</si>
  <si>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</si>
  <si>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</si>
  <si>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</si>
  <si>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</si>
  <si>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</si>
  <si>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</si>
  <si>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</si>
  <si>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</si>
  <si>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</si>
  <si>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</si>
  <si>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</si>
  <si>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</si>
  <si>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</si>
  <si>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</si>
  <si>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</si>
  <si>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</si>
  <si>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</si>
  <si>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</si>
  <si>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</si>
  <si>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</si>
  <si>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</si>
  <si>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</si>
  <si>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</si>
  <si>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</si>
  <si>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</si>
  <si>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</si>
  <si>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</si>
  <si>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</si>
  <si>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</si>
  <si>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</si>
  <si>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</si>
  <si>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</si>
  <si>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</si>
  <si>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</si>
  <si>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</si>
  <si>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</si>
  <si>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</si>
  <si>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</si>
  <si>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</si>
  <si>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</si>
  <si>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</si>
  <si>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</si>
  <si>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</si>
  <si>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</si>
  <si>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</si>
  <si>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</si>
  <si>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</si>
  <si>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</si>
  <si>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</si>
  <si>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</si>
  <si>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</si>
  <si>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</si>
  <si>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</si>
  <si>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</si>
  <si>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</si>
  <si>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</si>
  <si>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</si>
  <si>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</si>
  <si>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</si>
  <si>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</si>
  <si>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</si>
  <si>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</si>
  <si>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</si>
  <si>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</si>
  <si>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</si>
  <si>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</si>
  <si>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</si>
  <si>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</si>
  <si>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</si>
  <si>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</si>
  <si>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</si>
  <si>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</si>
  <si>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</si>
  <si>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</si>
  <si>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</si>
  <si>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</si>
  <si>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</si>
  <si>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</si>
  <si>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</si>
  <si>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</si>
  <si>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</si>
  <si>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</si>
  <si>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</si>
  <si>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</si>
  <si>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</si>
  <si>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</si>
  <si>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</si>
  <si>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</si>
  <si>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</si>
  <si>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</si>
  <si>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</si>
  <si>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</si>
  <si>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</si>
  <si>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</si>
  <si>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</si>
  <si>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</si>
  <si>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</si>
  <si>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</si>
  <si>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</si>
  <si>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</si>
  <si>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</si>
  <si>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</si>
  <si>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</si>
  <si>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</si>
  <si>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</si>
  <si>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</si>
  <si>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</si>
  <si>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</si>
  <si>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</si>
  <si>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</si>
  <si>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</si>
  <si>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</si>
  <si>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</si>
  <si>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</si>
  <si>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</si>
  <si>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</si>
  <si>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</si>
  <si>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</si>
  <si>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</si>
  <si>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</si>
  <si>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</si>
  <si>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</si>
  <si>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</si>
  <si>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</si>
  <si>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</si>
  <si>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</si>
  <si>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</si>
  <si>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</si>
  <si>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</si>
  <si>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</si>
  <si>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</si>
  <si>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</si>
  <si>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</si>
  <si>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</si>
  <si>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</si>
  <si>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</si>
  <si>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</si>
  <si>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</si>
  <si>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</si>
  <si>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</si>
  <si>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</si>
  <si>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</si>
  <si>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</si>
  <si>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</si>
  <si>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</si>
  <si>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</si>
  <si>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</si>
  <si>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</si>
  <si>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</si>
  <si>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</si>
  <si>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</si>
  <si>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</si>
  <si>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</si>
  <si>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</si>
  <si>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</si>
  <si>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</si>
  <si>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</si>
  <si>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</si>
  <si>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</si>
  <si>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</si>
  <si>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</si>
  <si>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</si>
  <si>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</si>
  <si>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</si>
  <si>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</si>
  <si>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</si>
  <si>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</si>
  <si>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</si>
  <si>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</si>
  <si>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</si>
  <si>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</si>
  <si>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</si>
  <si>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</si>
  <si>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</si>
  <si>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</si>
  <si>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</si>
  <si>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</si>
  <si>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</si>
  <si>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</si>
  <si>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</si>
  <si>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</si>
  <si>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</si>
  <si>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</si>
  <si>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</si>
  <si>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</si>
  <si>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</si>
  <si>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</si>
  <si>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</si>
  <si>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</si>
  <si>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</si>
  <si>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</si>
  <si>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</si>
  <si>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</si>
  <si>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</si>
  <si>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</si>
  <si>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</si>
  <si>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</si>
  <si>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</si>
  <si>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</si>
  <si>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</si>
  <si>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</si>
  <si>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</si>
  <si>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</si>
  <si>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</si>
  <si>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</si>
  <si>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</si>
  <si>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</si>
  <si>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</si>
  <si>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</si>
  <si>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</si>
  <si>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</si>
  <si>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</si>
  <si>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</si>
  <si>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</si>
  <si>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</si>
  <si>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</si>
  <si>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</si>
  <si>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</si>
  <si>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</si>
  <si>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</si>
  <si>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</si>
  <si>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</si>
  <si>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</si>
  <si>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</si>
  <si>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</si>
  <si>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</si>
  <si>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</si>
  <si>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</si>
  <si>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</si>
  <si>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</si>
  <si>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</si>
  <si>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</si>
  <si>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</si>
  <si>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</si>
  <si>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</si>
  <si>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</si>
  <si>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</si>
  <si>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</si>
  <si>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</si>
  <si>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</si>
  <si>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</si>
  <si>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</si>
  <si>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</si>
  <si>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</si>
  <si>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</si>
  <si>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</si>
  <si>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</si>
  <si>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</si>
  <si>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</si>
  <si>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</si>
  <si>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</si>
  <si>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</si>
  <si>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</si>
  <si>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Long CC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</si>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</sst>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7.4145906320099986E-3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7.4145906320099986E-3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1007.4145906320099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6.8733306320101217E-3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169</v>
      </c>
      <c r="C1" s="79">
        <v>46090</v>
      </c>
    </row>
    <row r="2" spans="2:11" x14ac:dyDescent="0.4">
      <c r="B2" s="32" t="s">
        <v>112</v>
      </c>
      <c r="C2" s="37" t="s">
        <v>329</v>
      </c>
      <c r="E2" s="47" t="s">
        <v>128</v>
      </c>
      <c r="F2" s="47" t="s">
        <v>6</v>
      </c>
      <c r="G2" s="47"/>
      <c r="H2" s="28"/>
    </row>
    <row r="3" spans="2:11" x14ac:dyDescent="0.4">
      <c r="B3" s="32" t="s">
        <v>117</v>
      </c>
      <c r="C3" s="28">
        <f ca="1">OFFSET(NAV!B1,MATCH(C1,NAV!B:B,1),8)</f>
        <v>1007414.5906320099</v>
      </c>
      <c r="E3" s="47" t="s">
        <v>129</v>
      </c>
      <c r="F3" s="47" t="s">
        <v>317</v>
      </c>
      <c r="G3" s="47"/>
      <c r="H3" s="28"/>
    </row>
    <row r="4" spans="2:11" x14ac:dyDescent="0.4">
      <c r="B4" s="32" t="s">
        <v>55</v>
      </c>
      <c r="C4" s="28">
        <f>SUM(N18:N1012)</f>
        <v>7414.5906320099002</v>
      </c>
      <c r="D4" s="3"/>
      <c r="E4" s="47" t="s">
        <v>20</v>
      </c>
      <c r="F4" s="47" t="s">
        <v>88</v>
      </c>
      <c r="G4" s="47"/>
      <c r="H4" s="28"/>
    </row>
    <row r="5" spans="2:11" x14ac:dyDescent="0.4">
      <c r="B5" s="32" t="s">
        <v>179</v>
      </c>
      <c r="C5" s="3">
        <f ca="1">OFFSET(NAV!B1,MATCH(C1,NAV!B:B,1),11)</f>
        <v>7.4145906320099986E-3</v>
      </c>
      <c r="D5" s="3"/>
      <c r="E5" s="47" t="s">
        <v>191</v>
      </c>
      <c r="F5" s="47" t="s">
        <v>53</v>
      </c>
      <c r="G5" s="47"/>
      <c r="H5" s="28"/>
      <c r="K5" s="51"/>
    </row>
    <row r="6" spans="2:11" x14ac:dyDescent="0.4">
      <c r="B6" s="32" t="s">
        <v>180</v>
      </c>
      <c r="C6" s="3">
        <f ca="1">OFFSET(NAV!B1,MATCH(C1,NAV!B:B,1),12)</f>
        <v>7.4145906320099986E-3</v>
      </c>
      <c r="D6" s="3"/>
      <c r="E6" s="47"/>
      <c r="F6" s="47"/>
      <c r="G6" s="47"/>
      <c r="H6" s="28"/>
      <c r="K6" s="51"/>
    </row>
    <row r="7" spans="2:11" x14ac:dyDescent="0.4">
      <c r="B7" s="32" t="s">
        <v>145</v>
      </c>
      <c r="C7" s="28">
        <f>Cash_Mgmt!H13</f>
        <v>35858.739999999954</v>
      </c>
      <c r="D7" s="3">
        <f ca="1">C7/C3</f>
        <v>3.5594818988579149E-2</v>
      </c>
      <c r="E7" s="47"/>
      <c r="F7" s="47"/>
      <c r="G7" s="47"/>
      <c r="H7" s="51"/>
      <c r="K7" s="51"/>
    </row>
    <row r="8" spans="2:11" x14ac:dyDescent="0.4">
      <c r="B8" s="32" t="s">
        <v>146</v>
      </c>
      <c r="C8" s="28">
        <f>C4+C7</f>
        <v>43273.330632009856</v>
      </c>
      <c r="D8" s="3">
        <f ca="1">C5+D7</f>
        <v>4.3009409620589148E-2</v>
      </c>
      <c r="G8" s="47"/>
      <c r="H8" s="51"/>
      <c r="K8" s="51"/>
    </row>
    <row r="9" spans="2:11" x14ac:dyDescent="0.4">
      <c r="B9" s="32" t="s">
        <v>113</v>
      </c>
      <c r="C9" s="28">
        <f t="array" ref="C9">SUM((F19:F112="Futures")*(M19:M112))</f>
        <v>103410</v>
      </c>
      <c r="D9" s="3">
        <f ca="1">C9/$C$3</f>
        <v>0.10264890042452619</v>
      </c>
      <c r="E9" s="47"/>
      <c r="F9" s="47"/>
      <c r="G9" s="47"/>
      <c r="H9" s="51"/>
      <c r="K9" s="51"/>
    </row>
    <row r="10" spans="2:11" x14ac:dyDescent="0.4">
      <c r="B10" s="32" t="s">
        <v>114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115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116</v>
      </c>
      <c r="C12" s="28" cm="1">
        <f t="array" ref="C12">SUM((PLB!G4:G999="O")*(PLB!E4:E999))</f>
        <v>9000</v>
      </c>
      <c r="D12" s="3">
        <f t="shared" ca="1" si="0"/>
        <v>8.933759828070164E-3</v>
      </c>
    </row>
    <row r="13" spans="2:11" x14ac:dyDescent="0.4">
      <c r="B13" s="32" t="s">
        <v>140</v>
      </c>
      <c r="C13" s="28">
        <f t="array" ref="C13">SUM((PLB!G4:G999="O")*(PLB!D4:D999))</f>
        <v>6351.0899999999965</v>
      </c>
      <c r="D13" s="3">
        <f t="shared" ca="1" si="0"/>
        <v>6.304345856273123E-3</v>
      </c>
      <c r="F13" s="59"/>
      <c r="G13" s="59"/>
    </row>
    <row r="14" spans="2:11" x14ac:dyDescent="0.4">
      <c r="B14" s="32" t="s">
        <v>141</v>
      </c>
      <c r="C14" s="28">
        <f>C12+C13</f>
        <v>15351.089999999997</v>
      </c>
      <c r="D14" s="3">
        <f t="shared" ca="1" si="0"/>
        <v>1.5238105684343289E-2</v>
      </c>
    </row>
    <row r="17" spans="2:28" x14ac:dyDescent="0.4">
      <c r="B17" s="38" t="s">
        <v>87</v>
      </c>
      <c r="C17" s="4" t="s">
        <v>0</v>
      </c>
      <c r="D17" s="4" t="s">
        <v>1</v>
      </c>
      <c r="E17" s="4" t="s">
        <v>127</v>
      </c>
      <c r="F17" s="4" t="s">
        <v>2</v>
      </c>
      <c r="G17" s="4" t="s">
        <v>150</v>
      </c>
      <c r="H17" s="4" t="s">
        <v>106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111</v>
      </c>
      <c r="N17" s="4" t="s">
        <v>55</v>
      </c>
      <c r="O17" s="4" t="s">
        <v>14</v>
      </c>
      <c r="P17" s="4" t="s">
        <v>124</v>
      </c>
      <c r="Q17" s="4" t="s">
        <v>118</v>
      </c>
      <c r="R17" s="4" t="s">
        <v>125</v>
      </c>
      <c r="S17" s="4" t="s">
        <v>119</v>
      </c>
      <c r="T17" s="4" t="s">
        <v>121</v>
      </c>
      <c r="U17" s="4" t="s">
        <v>120</v>
      </c>
      <c r="V17" s="4" t="s">
        <v>122</v>
      </c>
      <c r="W17" s="32"/>
      <c r="X17" s="33" t="s">
        <v>109</v>
      </c>
      <c r="Y17" s="33" t="s">
        <v>108</v>
      </c>
      <c r="Z17" s="33" t="s">
        <v>110</v>
      </c>
    </row>
    <row r="18" spans="2:28" x14ac:dyDescent="0.4">
      <c r="B18" s="9" t="s">
        <v>138</v>
      </c>
      <c r="C18" s="12"/>
      <c r="D18" s="12"/>
      <c r="E18" s="10" t="s">
        <v>191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541.25999999990927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198</v>
      </c>
      <c r="C19" s="10">
        <v>1</v>
      </c>
      <c r="D19" s="10" t="s">
        <v>200</v>
      </c>
      <c r="E19" s="10" t="s">
        <v>128</v>
      </c>
      <c r="F19" s="10" t="s">
        <v>317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2037.15</v>
      </c>
      <c r="AB19" s="29"/>
    </row>
    <row r="20" spans="2:28" x14ac:dyDescent="0.4">
      <c r="B20" s="9" t="s">
        <v>304</v>
      </c>
      <c r="C20" s="10">
        <v>2</v>
      </c>
      <c r="D20" s="10" t="s">
        <v>34</v>
      </c>
      <c r="E20" s="10" t="s">
        <v>128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3447</v>
      </c>
      <c r="M20" s="28">
        <f t="shared" ref="M20" si="9">I20*J20*L20</f>
        <v>103410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6351.0899999999965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3242</v>
      </c>
      <c r="T20" s="3">
        <f t="shared" ref="T20" si="11">IF(S20&gt;0,IF(ISNUMBER(S20/L20-1),S20/L20-1,0),0)</f>
        <v>-5.9472004641717424E-2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-0.1484487960545402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3447</v>
      </c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144</v>
      </c>
      <c r="D2" s="4" t="s">
        <v>51</v>
      </c>
      <c r="E2" s="4" t="s">
        <v>10</v>
      </c>
      <c r="F2" s="4" t="s">
        <v>52</v>
      </c>
      <c r="G2" s="4" t="s">
        <v>135</v>
      </c>
      <c r="H2" s="2" t="s">
        <v>143</v>
      </c>
    </row>
    <row r="3" spans="2:8" x14ac:dyDescent="0.4">
      <c r="B3" s="17" t="s">
        <v>136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137</v>
      </c>
      <c r="C4" s="17"/>
      <c r="D4" s="10"/>
      <c r="E4" s="10"/>
      <c r="F4" s="10"/>
      <c r="G4" s="15">
        <v>11636.31</v>
      </c>
      <c r="H4" s="6">
        <f>-G4</f>
        <v>-11636.31</v>
      </c>
    </row>
    <row r="5" spans="2:8" x14ac:dyDescent="0.4">
      <c r="B5" s="17" t="s">
        <v>193</v>
      </c>
      <c r="C5" s="17"/>
      <c r="D5" s="10"/>
      <c r="E5" s="10"/>
      <c r="F5" s="10"/>
      <c r="G5" s="15"/>
      <c r="H5" s="6"/>
    </row>
    <row r="6" spans="2:8" x14ac:dyDescent="0.4">
      <c r="B6" s="17" t="s">
        <v>158</v>
      </c>
      <c r="C6" s="17"/>
      <c r="D6" s="10"/>
      <c r="E6" s="10"/>
      <c r="F6" s="10"/>
      <c r="G6" s="15"/>
      <c r="H6" s="6"/>
    </row>
    <row r="7" spans="2:8" x14ac:dyDescent="0.4">
      <c r="B7" s="17" t="s">
        <v>153</v>
      </c>
      <c r="C7" s="17"/>
      <c r="D7" s="10"/>
      <c r="E7" s="10"/>
      <c r="F7" s="10"/>
      <c r="G7" s="15"/>
      <c r="H7" s="6"/>
    </row>
    <row r="8" spans="2:8" x14ac:dyDescent="0.4">
      <c r="B8" s="17" t="s">
        <v>154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192</v>
      </c>
      <c r="C9" s="62"/>
      <c r="D9" s="27"/>
      <c r="E9" s="11"/>
      <c r="F9" s="29"/>
      <c r="G9" s="6"/>
      <c r="H9" s="6"/>
    </row>
    <row r="10" spans="2:8" x14ac:dyDescent="0.4">
      <c r="B10" s="17" t="s">
        <v>157</v>
      </c>
      <c r="C10" s="62"/>
      <c r="D10" s="27"/>
      <c r="E10" s="10"/>
      <c r="F10" s="29"/>
      <c r="G10" s="6"/>
      <c r="H10" s="6"/>
    </row>
    <row r="11" spans="2:8" x14ac:dyDescent="0.4">
      <c r="B11" s="17" t="s">
        <v>152</v>
      </c>
      <c r="C11" s="62"/>
      <c r="D11" s="27"/>
      <c r="E11" s="11"/>
      <c r="F11" s="29"/>
      <c r="G11" s="6"/>
      <c r="H11" s="6"/>
    </row>
    <row r="12" spans="2:8" x14ac:dyDescent="0.4">
      <c r="B12" s="52" t="s">
        <v>134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133</v>
      </c>
      <c r="C13" s="17"/>
      <c r="D13" s="10"/>
      <c r="E13" s="10"/>
      <c r="F13" s="10"/>
      <c r="G13" s="6">
        <f>SUM(G3:G12)</f>
        <v>541.25999999990927</v>
      </c>
      <c r="H13" s="6">
        <f>SUM(H3:H12)</f>
        <v>35858.739999999954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169</v>
      </c>
      <c r="C2" s="4" t="s">
        <v>170</v>
      </c>
      <c r="D2" s="4" t="s">
        <v>171</v>
      </c>
      <c r="E2" s="4" t="s">
        <v>176</v>
      </c>
      <c r="F2" s="4" t="s">
        <v>172</v>
      </c>
      <c r="G2" s="4" t="s">
        <v>178</v>
      </c>
      <c r="H2" s="4" t="s">
        <v>173</v>
      </c>
      <c r="I2" s="4" t="s">
        <v>55</v>
      </c>
      <c r="J2" s="4" t="s">
        <v>177</v>
      </c>
      <c r="K2" s="4" t="s">
        <v>174</v>
      </c>
      <c r="L2" s="4" t="s">
        <v>151</v>
      </c>
      <c r="M2" s="4" t="s">
        <v>181</v>
      </c>
      <c r="N2" s="4" t="s">
        <v>182</v>
      </c>
      <c r="O2" s="4" t="s">
        <v>175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7414.5906320099002</v>
      </c>
      <c r="J5" s="70">
        <f t="shared" si="2"/>
        <v>1007414.5906320099</v>
      </c>
      <c r="K5" s="70">
        <f t="shared" si="3"/>
        <v>1000</v>
      </c>
      <c r="L5" s="71">
        <f t="shared" si="4"/>
        <v>1007.4145906320099</v>
      </c>
      <c r="M5" s="72">
        <f t="shared" si="5"/>
        <v>7.4145906320099986E-3</v>
      </c>
      <c r="N5" s="73">
        <f t="shared" ref="N5" si="6">L5/L4-1</f>
        <v>7.4145906320099986E-3</v>
      </c>
      <c r="O5" s="75">
        <f>STDEVP(N$4:N5)*SQRT(12)</f>
        <v>1.2842447691965549E-2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tabSelected="1" zoomScale="90" zoomScaleNormal="90" workbookViewId="0">
      <selection activeCell="B1" sqref="B1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160</v>
      </c>
      <c r="I2" s="8" t="s">
        <v>164</v>
      </c>
      <c r="J2" s="8" t="s">
        <v>161</v>
      </c>
      <c r="K2" s="8" t="s">
        <v>165</v>
      </c>
      <c r="L2" s="8" t="s">
        <v>166</v>
      </c>
      <c r="M2" s="4" t="s">
        <v>162</v>
      </c>
      <c r="N2" s="8" t="s">
        <v>164</v>
      </c>
      <c r="O2" s="4" t="s">
        <v>163</v>
      </c>
      <c r="P2" s="4" t="s">
        <v>167</v>
      </c>
      <c r="Q2" s="4" t="s">
        <v>56</v>
      </c>
      <c r="R2" s="4" t="s">
        <v>89</v>
      </c>
      <c r="T2" s="38" t="s">
        <v>8</v>
      </c>
      <c r="U2" s="4" t="s">
        <v>0</v>
      </c>
      <c r="V2" s="38" t="s">
        <v>2</v>
      </c>
      <c r="W2" s="38" t="s">
        <v>130</v>
      </c>
      <c r="X2" s="38" t="s">
        <v>131</v>
      </c>
      <c r="Y2" s="12"/>
      <c r="Z2" s="38" t="s">
        <v>2</v>
      </c>
      <c r="AA2" s="38" t="s">
        <v>130</v>
      </c>
      <c r="AB2" s="38" t="s">
        <v>131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202</v>
      </c>
      <c r="W4" s="1" t="s">
        <v>325</v>
      </c>
      <c r="X4" s="1" t="s">
        <v>326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6351.0899999999965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0.70567666666666629</v>
      </c>
      <c r="G5" s="36" t="str">
        <f t="array" ref="G5">IF(SUM((Blotter!C$19:C$1013=PLB!C5)*(Blotter!M$19:M$1013))=0,"C","O")</f>
        <v>O</v>
      </c>
      <c r="H5" s="16">
        <f>J4+D5</f>
        <v>1006873.33063201</v>
      </c>
      <c r="I5" s="16"/>
      <c r="J5" s="16">
        <f>H5+I5</f>
        <v>1006873.33063201</v>
      </c>
      <c r="K5" s="3">
        <f>H5/J4-1</f>
        <v>6.3477749340066225E-3</v>
      </c>
      <c r="L5" s="3">
        <f>(1+K5)*(1+L4)-1</f>
        <v>6.8733306320101217E-3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319</v>
      </c>
      <c r="W5" s="1" t="s">
        <v>327</v>
      </c>
      <c r="X5" s="1" t="s">
        <v>328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149</v>
      </c>
      <c r="H2" s="4" t="s">
        <v>18</v>
      </c>
      <c r="I2" s="4" t="s">
        <v>148</v>
      </c>
      <c r="J2" s="4" t="s">
        <v>94</v>
      </c>
      <c r="K2" s="4" t="s">
        <v>188</v>
      </c>
      <c r="L2" s="4" t="s">
        <v>189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69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126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155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159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168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183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185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200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105</v>
      </c>
      <c r="B1" s="2" t="s">
        <v>104</v>
      </c>
      <c r="C1" s="2" t="s">
        <v>103</v>
      </c>
      <c r="D1" s="2" t="s">
        <v>57</v>
      </c>
      <c r="E1" s="2" t="s">
        <v>102</v>
      </c>
      <c r="F1" s="2" t="s">
        <v>101</v>
      </c>
      <c r="G1" s="2" t="s">
        <v>100</v>
      </c>
      <c r="H1" s="2" t="s">
        <v>13</v>
      </c>
      <c r="I1" s="2" t="s">
        <v>58</v>
      </c>
      <c r="J1" s="48" t="s">
        <v>99</v>
      </c>
      <c r="K1" s="2" t="s">
        <v>98</v>
      </c>
      <c r="L1" s="48" t="s">
        <v>97</v>
      </c>
      <c r="M1" s="2" t="s">
        <v>96</v>
      </c>
      <c r="N1" s="2" t="s">
        <v>95</v>
      </c>
      <c r="O1" s="2" t="s">
        <v>94</v>
      </c>
      <c r="P1" s="2" t="s">
        <v>93</v>
      </c>
      <c r="Q1" s="2" t="s">
        <v>92</v>
      </c>
      <c r="R1" s="2" t="s">
        <v>91</v>
      </c>
      <c r="T1" s="2" t="s">
        <v>107</v>
      </c>
      <c r="U1" s="2" t="s">
        <v>12</v>
      </c>
      <c r="V1" s="2" t="s">
        <v>95</v>
      </c>
      <c r="W1" s="2" t="s">
        <v>94</v>
      </c>
      <c r="X1" s="2" t="s">
        <v>92</v>
      </c>
      <c r="Z1" s="1" t="s">
        <v>123</v>
      </c>
    </row>
    <row r="2" spans="1:31" x14ac:dyDescent="0.4">
      <c r="A2" s="1" t="s">
        <v>320</v>
      </c>
      <c r="B2" s="1" t="s">
        <v>62</v>
      </c>
      <c r="C2" s="1" t="s">
        <v>61</v>
      </c>
      <c r="D2" s="1" t="s">
        <v>304</v>
      </c>
      <c r="E2" s="1" t="s">
        <v>321</v>
      </c>
      <c r="F2" s="1" t="s">
        <v>68</v>
      </c>
      <c r="G2" s="1" t="s">
        <v>34</v>
      </c>
      <c r="H2" s="1">
        <v>10</v>
      </c>
      <c r="J2" s="44">
        <v>46156</v>
      </c>
      <c r="L2" s="44">
        <v>46090</v>
      </c>
      <c r="M2" s="1" t="s">
        <v>90</v>
      </c>
      <c r="N2" s="1">
        <v>1</v>
      </c>
      <c r="O2" s="1">
        <v>3235</v>
      </c>
      <c r="P2" s="1">
        <v>32350</v>
      </c>
      <c r="Q2" s="1">
        <v>-2.97</v>
      </c>
      <c r="R2" s="1" t="s">
        <v>62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132</v>
      </c>
      <c r="AC2" s="44"/>
      <c r="AD2" s="45"/>
      <c r="AE2" s="41"/>
    </row>
    <row r="3" spans="1:31" x14ac:dyDescent="0.4">
      <c r="A3" s="1" t="s">
        <v>320</v>
      </c>
      <c r="B3" s="1" t="s">
        <v>62</v>
      </c>
      <c r="C3" s="1" t="s">
        <v>61</v>
      </c>
      <c r="D3" s="1" t="s">
        <v>304</v>
      </c>
      <c r="E3" s="1" t="s">
        <v>321</v>
      </c>
      <c r="F3" s="1" t="s">
        <v>68</v>
      </c>
      <c r="G3" s="1" t="s">
        <v>34</v>
      </c>
      <c r="H3" s="1">
        <v>10</v>
      </c>
      <c r="J3" s="44">
        <v>46156</v>
      </c>
      <c r="L3" s="44">
        <v>46090</v>
      </c>
      <c r="M3" s="1" t="s">
        <v>90</v>
      </c>
      <c r="N3" s="1">
        <v>2</v>
      </c>
      <c r="O3" s="1">
        <v>3235</v>
      </c>
      <c r="P3" s="1">
        <v>64700</v>
      </c>
      <c r="Q3" s="1">
        <v>-5.94</v>
      </c>
      <c r="R3" s="1" t="s">
        <v>62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320</v>
      </c>
      <c r="B4" s="1" t="s">
        <v>62</v>
      </c>
      <c r="C4" s="1" t="s">
        <v>322</v>
      </c>
      <c r="D4" s="1" t="s">
        <v>323</v>
      </c>
      <c r="E4" s="1" t="s">
        <v>323</v>
      </c>
      <c r="G4" s="1" t="s">
        <v>324</v>
      </c>
      <c r="H4" s="1">
        <v>1</v>
      </c>
      <c r="L4" s="44">
        <v>46090</v>
      </c>
      <c r="M4" s="1" t="s">
        <v>90</v>
      </c>
      <c r="N4" s="1">
        <v>1000000</v>
      </c>
      <c r="O4" s="1">
        <v>98.875</v>
      </c>
      <c r="P4" s="1">
        <v>988750</v>
      </c>
      <c r="Q4" s="1">
        <v>-20</v>
      </c>
      <c r="R4" s="1" t="s">
        <v>62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196</v>
      </c>
      <c r="B5" s="1" t="s">
        <v>62</v>
      </c>
      <c r="C5" s="1" t="s">
        <v>197</v>
      </c>
      <c r="D5" s="1" t="s">
        <v>198</v>
      </c>
      <c r="E5" s="1" t="s">
        <v>199</v>
      </c>
      <c r="H5" s="1">
        <v>1</v>
      </c>
      <c r="L5" s="44">
        <v>46084</v>
      </c>
      <c r="M5" s="1" t="s">
        <v>90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62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196</v>
      </c>
      <c r="B6" s="1" t="s">
        <v>62</v>
      </c>
      <c r="C6" s="1" t="s">
        <v>197</v>
      </c>
      <c r="D6" s="1" t="s">
        <v>198</v>
      </c>
      <c r="E6" s="1" t="s">
        <v>199</v>
      </c>
      <c r="H6" s="1">
        <v>1</v>
      </c>
      <c r="L6" s="44">
        <v>46084</v>
      </c>
      <c r="M6" s="1" t="s">
        <v>90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62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196</v>
      </c>
      <c r="B7" s="1" t="s">
        <v>62</v>
      </c>
      <c r="C7" s="1" t="s">
        <v>197</v>
      </c>
      <c r="D7" s="1" t="s">
        <v>198</v>
      </c>
      <c r="E7" s="1" t="s">
        <v>199</v>
      </c>
      <c r="H7" s="1">
        <v>1</v>
      </c>
      <c r="L7" s="44">
        <v>46084</v>
      </c>
      <c r="M7" s="1" t="s">
        <v>90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62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196</v>
      </c>
      <c r="B8" s="1" t="s">
        <v>62</v>
      </c>
      <c r="C8" s="1" t="s">
        <v>197</v>
      </c>
      <c r="D8" s="1" t="s">
        <v>198</v>
      </c>
      <c r="E8" s="1" t="s">
        <v>199</v>
      </c>
      <c r="H8" s="1">
        <v>1</v>
      </c>
      <c r="L8" s="44">
        <v>46084</v>
      </c>
      <c r="M8" s="1" t="s">
        <v>90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62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196</v>
      </c>
      <c r="B9" s="1" t="s">
        <v>62</v>
      </c>
      <c r="C9" s="1" t="s">
        <v>197</v>
      </c>
      <c r="D9" s="1" t="s">
        <v>198</v>
      </c>
      <c r="E9" s="1" t="s">
        <v>199</v>
      </c>
      <c r="H9" s="1">
        <v>1</v>
      </c>
      <c r="L9" s="44">
        <v>46084</v>
      </c>
      <c r="M9" s="1" t="s">
        <v>90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62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196</v>
      </c>
      <c r="B10" s="1" t="s">
        <v>62</v>
      </c>
      <c r="C10" s="1" t="s">
        <v>197</v>
      </c>
      <c r="D10" s="1" t="s">
        <v>198</v>
      </c>
      <c r="E10" s="1" t="s">
        <v>199</v>
      </c>
      <c r="H10" s="1">
        <v>1</v>
      </c>
      <c r="L10" s="44">
        <v>46084</v>
      </c>
      <c r="M10" s="1" t="s">
        <v>90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62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196</v>
      </c>
      <c r="B11" s="1" t="s">
        <v>62</v>
      </c>
      <c r="C11" s="1" t="s">
        <v>197</v>
      </c>
      <c r="D11" s="1" t="s">
        <v>198</v>
      </c>
      <c r="E11" s="1" t="s">
        <v>199</v>
      </c>
      <c r="H11" s="1">
        <v>1</v>
      </c>
      <c r="L11" s="44">
        <v>46084</v>
      </c>
      <c r="M11" s="1" t="s">
        <v>90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62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196</v>
      </c>
      <c r="B12" s="1" t="s">
        <v>62</v>
      </c>
      <c r="C12" s="1" t="s">
        <v>197</v>
      </c>
      <c r="D12" s="1" t="s">
        <v>198</v>
      </c>
      <c r="E12" s="1" t="s">
        <v>199</v>
      </c>
      <c r="H12" s="1">
        <v>1</v>
      </c>
      <c r="L12" s="44">
        <v>46084</v>
      </c>
      <c r="M12" s="1" t="s">
        <v>90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62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196</v>
      </c>
      <c r="B13" s="1" t="s">
        <v>62</v>
      </c>
      <c r="C13" s="1" t="s">
        <v>197</v>
      </c>
      <c r="D13" s="1" t="s">
        <v>198</v>
      </c>
      <c r="E13" s="1" t="s">
        <v>199</v>
      </c>
      <c r="H13" s="1">
        <v>1</v>
      </c>
      <c r="L13" s="44">
        <v>46084</v>
      </c>
      <c r="M13" s="1" t="s">
        <v>90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62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196</v>
      </c>
      <c r="B14" s="1" t="s">
        <v>62</v>
      </c>
      <c r="C14" s="1" t="s">
        <v>197</v>
      </c>
      <c r="D14" s="1" t="s">
        <v>198</v>
      </c>
      <c r="E14" s="1" t="s">
        <v>199</v>
      </c>
      <c r="H14" s="1">
        <v>1</v>
      </c>
      <c r="L14" s="44">
        <v>46084</v>
      </c>
      <c r="M14" s="1" t="s">
        <v>90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62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196</v>
      </c>
      <c r="B15" s="1" t="s">
        <v>62</v>
      </c>
      <c r="C15" s="1" t="s">
        <v>197</v>
      </c>
      <c r="D15" s="1" t="s">
        <v>198</v>
      </c>
      <c r="E15" s="1" t="s">
        <v>199</v>
      </c>
      <c r="H15" s="1">
        <v>1</v>
      </c>
      <c r="L15" s="44">
        <v>46084</v>
      </c>
      <c r="M15" s="1" t="s">
        <v>90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62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196</v>
      </c>
      <c r="B16" s="1" t="s">
        <v>62</v>
      </c>
      <c r="C16" s="1" t="s">
        <v>197</v>
      </c>
      <c r="D16" s="1" t="s">
        <v>198</v>
      </c>
      <c r="E16" s="1" t="s">
        <v>199</v>
      </c>
      <c r="H16" s="1">
        <v>1</v>
      </c>
      <c r="L16" s="44">
        <v>46084</v>
      </c>
      <c r="M16" s="1" t="s">
        <v>90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62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196</v>
      </c>
      <c r="B17" s="1" t="s">
        <v>62</v>
      </c>
      <c r="C17" s="1" t="s">
        <v>197</v>
      </c>
      <c r="D17" s="1" t="s">
        <v>198</v>
      </c>
      <c r="E17" s="1" t="s">
        <v>199</v>
      </c>
      <c r="H17" s="1">
        <v>1</v>
      </c>
      <c r="L17" s="44">
        <v>46084</v>
      </c>
      <c r="M17" s="1" t="s">
        <v>90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62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196</v>
      </c>
      <c r="B18" s="1" t="s">
        <v>62</v>
      </c>
      <c r="C18" s="1" t="s">
        <v>197</v>
      </c>
      <c r="D18" s="1" t="s">
        <v>198</v>
      </c>
      <c r="E18" s="1" t="s">
        <v>199</v>
      </c>
      <c r="H18" s="1">
        <v>1</v>
      </c>
      <c r="L18" s="44">
        <v>46084</v>
      </c>
      <c r="M18" s="1" t="s">
        <v>90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62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196</v>
      </c>
      <c r="B19" s="1" t="s">
        <v>62</v>
      </c>
      <c r="C19" s="1" t="s">
        <v>197</v>
      </c>
      <c r="D19" s="1" t="s">
        <v>198</v>
      </c>
      <c r="E19" s="1" t="s">
        <v>199</v>
      </c>
      <c r="H19" s="1">
        <v>1</v>
      </c>
      <c r="L19" s="44">
        <v>46084</v>
      </c>
      <c r="M19" s="1" t="s">
        <v>90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62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196</v>
      </c>
      <c r="B20" s="1" t="s">
        <v>62</v>
      </c>
      <c r="C20" s="1" t="s">
        <v>197</v>
      </c>
      <c r="D20" s="1" t="s">
        <v>198</v>
      </c>
      <c r="E20" s="1" t="s">
        <v>199</v>
      </c>
      <c r="H20" s="1">
        <v>1</v>
      </c>
      <c r="L20" s="44">
        <v>46084</v>
      </c>
      <c r="M20" s="1" t="s">
        <v>90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62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196</v>
      </c>
      <c r="B21" s="1" t="s">
        <v>62</v>
      </c>
      <c r="C21" s="1" t="s">
        <v>197</v>
      </c>
      <c r="D21" s="1" t="s">
        <v>198</v>
      </c>
      <c r="E21" s="1" t="s">
        <v>199</v>
      </c>
      <c r="H21" s="1">
        <v>1</v>
      </c>
      <c r="L21" s="44">
        <v>46087</v>
      </c>
      <c r="M21" s="1" t="s">
        <v>318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62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196</v>
      </c>
      <c r="B22" s="1" t="s">
        <v>62</v>
      </c>
      <c r="C22" s="1" t="s">
        <v>197</v>
      </c>
      <c r="D22" s="1" t="s">
        <v>198</v>
      </c>
      <c r="E22" s="1" t="s">
        <v>199</v>
      </c>
      <c r="H22" s="1">
        <v>1</v>
      </c>
      <c r="L22" s="44">
        <v>46087</v>
      </c>
      <c r="M22" s="1" t="s">
        <v>318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62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196</v>
      </c>
      <c r="B23" s="1" t="s">
        <v>62</v>
      </c>
      <c r="C23" s="1" t="s">
        <v>197</v>
      </c>
      <c r="D23" s="1" t="s">
        <v>198</v>
      </c>
      <c r="E23" s="1" t="s">
        <v>199</v>
      </c>
      <c r="H23" s="1">
        <v>1</v>
      </c>
      <c r="L23" s="44">
        <v>46087</v>
      </c>
      <c r="M23" s="1" t="s">
        <v>318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62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196</v>
      </c>
      <c r="B24" s="1" t="s">
        <v>62</v>
      </c>
      <c r="C24" s="1" t="s">
        <v>197</v>
      </c>
      <c r="D24" s="1" t="s">
        <v>198</v>
      </c>
      <c r="E24" s="1" t="s">
        <v>199</v>
      </c>
      <c r="H24" s="1">
        <v>1</v>
      </c>
      <c r="L24" s="44">
        <v>46087</v>
      </c>
      <c r="M24" s="1" t="s">
        <v>318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62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196</v>
      </c>
      <c r="B25" s="1" t="s">
        <v>62</v>
      </c>
      <c r="C25" s="1" t="s">
        <v>197</v>
      </c>
      <c r="D25" s="1" t="s">
        <v>198</v>
      </c>
      <c r="E25" s="1" t="s">
        <v>199</v>
      </c>
      <c r="H25" s="1">
        <v>1</v>
      </c>
      <c r="L25" s="44">
        <v>46087</v>
      </c>
      <c r="M25" s="1" t="s">
        <v>318</v>
      </c>
      <c r="N25" s="1">
        <v>-0.05</v>
      </c>
      <c r="O25" s="1">
        <v>2000</v>
      </c>
      <c r="P25" s="1">
        <v>-100</v>
      </c>
      <c r="Q25" s="1">
        <v>-0.15</v>
      </c>
      <c r="R25" s="1" t="s">
        <v>62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196</v>
      </c>
      <c r="B26" s="1" t="s">
        <v>62</v>
      </c>
      <c r="C26" s="1" t="s">
        <v>197</v>
      </c>
      <c r="D26" s="1" t="s">
        <v>198</v>
      </c>
      <c r="E26" s="1" t="s">
        <v>199</v>
      </c>
      <c r="H26" s="1">
        <v>1</v>
      </c>
      <c r="L26" s="44">
        <v>46087</v>
      </c>
      <c r="M26" s="1" t="s">
        <v>318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62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196</v>
      </c>
      <c r="B27" s="1" t="s">
        <v>62</v>
      </c>
      <c r="C27" s="1" t="s">
        <v>197</v>
      </c>
      <c r="D27" s="1" t="s">
        <v>198</v>
      </c>
      <c r="E27" s="1" t="s">
        <v>199</v>
      </c>
      <c r="H27" s="1">
        <v>1</v>
      </c>
      <c r="L27" s="44">
        <v>46087</v>
      </c>
      <c r="M27" s="1" t="s">
        <v>318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62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196</v>
      </c>
      <c r="B28" s="1" t="s">
        <v>62</v>
      </c>
      <c r="C28" s="1" t="s">
        <v>197</v>
      </c>
      <c r="D28" s="1" t="s">
        <v>198</v>
      </c>
      <c r="E28" s="1" t="s">
        <v>199</v>
      </c>
      <c r="H28" s="1">
        <v>1</v>
      </c>
      <c r="L28" s="44">
        <v>46087</v>
      </c>
      <c r="M28" s="1" t="s">
        <v>318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62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196</v>
      </c>
      <c r="B29" s="1" t="s">
        <v>62</v>
      </c>
      <c r="C29" s="1" t="s">
        <v>197</v>
      </c>
      <c r="D29" s="1" t="s">
        <v>198</v>
      </c>
      <c r="E29" s="1" t="s">
        <v>199</v>
      </c>
      <c r="H29" s="1">
        <v>1</v>
      </c>
      <c r="L29" s="44">
        <v>46087</v>
      </c>
      <c r="M29" s="1" t="s">
        <v>318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62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196</v>
      </c>
      <c r="B30" s="1" t="s">
        <v>62</v>
      </c>
      <c r="C30" s="1" t="s">
        <v>197</v>
      </c>
      <c r="D30" s="1" t="s">
        <v>198</v>
      </c>
      <c r="E30" s="1" t="s">
        <v>199</v>
      </c>
      <c r="H30" s="1">
        <v>1</v>
      </c>
      <c r="L30" s="44">
        <v>46087</v>
      </c>
      <c r="M30" s="1" t="s">
        <v>318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62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196</v>
      </c>
      <c r="B31" s="1" t="s">
        <v>62</v>
      </c>
      <c r="C31" s="1" t="s">
        <v>197</v>
      </c>
      <c r="D31" s="1" t="s">
        <v>198</v>
      </c>
      <c r="E31" s="1" t="s">
        <v>199</v>
      </c>
      <c r="H31" s="1">
        <v>1</v>
      </c>
      <c r="L31" s="44">
        <v>46087</v>
      </c>
      <c r="M31" s="1" t="s">
        <v>318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62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196</v>
      </c>
      <c r="B32" s="1" t="s">
        <v>62</v>
      </c>
      <c r="C32" s="1" t="s">
        <v>197</v>
      </c>
      <c r="D32" s="1" t="s">
        <v>198</v>
      </c>
      <c r="E32" s="1" t="s">
        <v>199</v>
      </c>
      <c r="H32" s="1">
        <v>1</v>
      </c>
      <c r="L32" s="44">
        <v>46087</v>
      </c>
      <c r="M32" s="1" t="s">
        <v>318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62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196</v>
      </c>
      <c r="B33" s="1" t="s">
        <v>62</v>
      </c>
      <c r="C33" s="1" t="s">
        <v>197</v>
      </c>
      <c r="D33" s="1" t="s">
        <v>198</v>
      </c>
      <c r="E33" s="1" t="s">
        <v>199</v>
      </c>
      <c r="H33" s="1">
        <v>1</v>
      </c>
      <c r="L33" s="44">
        <v>46087</v>
      </c>
      <c r="M33" s="1" t="s">
        <v>318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62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196</v>
      </c>
      <c r="B34" s="1" t="s">
        <v>62</v>
      </c>
      <c r="C34" s="1" t="s">
        <v>197</v>
      </c>
      <c r="D34" s="1" t="s">
        <v>198</v>
      </c>
      <c r="E34" s="1" t="s">
        <v>199</v>
      </c>
      <c r="H34" s="1">
        <v>1</v>
      </c>
      <c r="L34" s="44">
        <v>46087</v>
      </c>
      <c r="M34" s="1" t="s">
        <v>318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62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196</v>
      </c>
      <c r="B35" s="1" t="s">
        <v>62</v>
      </c>
      <c r="C35" s="1" t="s">
        <v>197</v>
      </c>
      <c r="D35" s="1" t="s">
        <v>198</v>
      </c>
      <c r="E35" s="1" t="s">
        <v>199</v>
      </c>
      <c r="H35" s="1">
        <v>1</v>
      </c>
      <c r="L35" s="44">
        <v>46087</v>
      </c>
      <c r="M35" s="1" t="s">
        <v>318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62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196</v>
      </c>
      <c r="B36" s="1" t="s">
        <v>62</v>
      </c>
      <c r="C36" s="1" t="s">
        <v>197</v>
      </c>
      <c r="D36" s="1" t="s">
        <v>198</v>
      </c>
      <c r="E36" s="1" t="s">
        <v>199</v>
      </c>
      <c r="H36" s="1">
        <v>1</v>
      </c>
      <c r="L36" s="44">
        <v>46087</v>
      </c>
      <c r="M36" s="1" t="s">
        <v>318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62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196</v>
      </c>
      <c r="B37" s="1" t="s">
        <v>62</v>
      </c>
      <c r="C37" s="1" t="s">
        <v>197</v>
      </c>
      <c r="D37" s="1" t="s">
        <v>198</v>
      </c>
      <c r="E37" s="1" t="s">
        <v>199</v>
      </c>
      <c r="H37" s="1">
        <v>1</v>
      </c>
      <c r="L37" s="44">
        <v>46087</v>
      </c>
      <c r="M37" s="1" t="s">
        <v>318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62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196</v>
      </c>
      <c r="B38" s="1" t="s">
        <v>62</v>
      </c>
      <c r="C38" s="1" t="s">
        <v>197</v>
      </c>
      <c r="D38" s="1" t="s">
        <v>198</v>
      </c>
      <c r="E38" s="1" t="s">
        <v>199</v>
      </c>
      <c r="H38" s="1">
        <v>1</v>
      </c>
      <c r="L38" s="44">
        <v>46087</v>
      </c>
      <c r="M38" s="1" t="s">
        <v>318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62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196</v>
      </c>
      <c r="B39" s="1" t="s">
        <v>62</v>
      </c>
      <c r="C39" s="1" t="s">
        <v>197</v>
      </c>
      <c r="D39" s="1" t="s">
        <v>198</v>
      </c>
      <c r="E39" s="1" t="s">
        <v>199</v>
      </c>
      <c r="H39" s="1">
        <v>1</v>
      </c>
      <c r="L39" s="44">
        <v>46087</v>
      </c>
      <c r="M39" s="1" t="s">
        <v>318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62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T40" s="43"/>
      <c r="U40" s="42"/>
      <c r="V40" s="42"/>
      <c r="W40" s="42"/>
      <c r="X40" s="42"/>
    </row>
    <row r="41" spans="1:31" x14ac:dyDescent="0.4">
      <c r="T41" s="43"/>
      <c r="U41" s="42"/>
      <c r="V41" s="42"/>
      <c r="W41" s="42"/>
      <c r="X41" s="42"/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215</v>
      </c>
      <c r="B1" s="56"/>
    </row>
    <row r="3" spans="1:2" x14ac:dyDescent="0.4">
      <c r="A3" s="80" t="s">
        <v>214</v>
      </c>
      <c r="B3" s="89" t="s">
        <v>213</v>
      </c>
    </row>
    <row r="4" spans="1:2" x14ac:dyDescent="0.4">
      <c r="A4" s="80" t="s">
        <v>212</v>
      </c>
      <c r="B4" s="89">
        <v>7497</v>
      </c>
    </row>
    <row r="5" spans="1:2" x14ac:dyDescent="0.4">
      <c r="A5" s="80" t="s">
        <v>211</v>
      </c>
      <c r="B5" s="89">
        <v>11</v>
      </c>
    </row>
    <row r="6" spans="1:2" x14ac:dyDescent="0.4">
      <c r="A6" s="80" t="s">
        <v>210</v>
      </c>
      <c r="B6" s="89">
        <v>0.25</v>
      </c>
    </row>
    <row r="7" spans="1:2" x14ac:dyDescent="0.4">
      <c r="A7" s="80" t="s">
        <v>209</v>
      </c>
      <c r="B7" s="89" t="s">
        <v>208</v>
      </c>
    </row>
    <row r="8" spans="1:2" x14ac:dyDescent="0.4">
      <c r="A8" s="80" t="s">
        <v>207</v>
      </c>
      <c r="B8" s="89">
        <v>3</v>
      </c>
    </row>
    <row r="10" spans="1:2" x14ac:dyDescent="0.4">
      <c r="A10" s="1" t="s">
        <v>206</v>
      </c>
    </row>
    <row r="11" spans="1:2" x14ac:dyDescent="0.4">
      <c r="A11" s="1" t="s">
        <v>205</v>
      </c>
    </row>
    <row r="12" spans="1:2" x14ac:dyDescent="0.4">
      <c r="A12" s="1" t="s">
        <v>204</v>
      </c>
    </row>
    <row r="13" spans="1:2" x14ac:dyDescent="0.4">
      <c r="A13" s="1" t="s">
        <v>203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20" sqref="B20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229</v>
      </c>
      <c r="B1" s="82" t="s">
        <v>228</v>
      </c>
      <c r="C1" s="82" t="s">
        <v>227</v>
      </c>
      <c r="D1" s="82" t="s">
        <v>226</v>
      </c>
      <c r="E1" s="82" t="s">
        <v>225</v>
      </c>
      <c r="F1" s="82" t="s">
        <v>224</v>
      </c>
      <c r="G1" s="82" t="s">
        <v>223</v>
      </c>
      <c r="H1" s="82" t="s">
        <v>222</v>
      </c>
      <c r="I1" s="82" t="s">
        <v>221</v>
      </c>
      <c r="J1" s="82" t="s">
        <v>220</v>
      </c>
      <c r="K1" s="82" t="s">
        <v>219</v>
      </c>
      <c r="L1" s="82" t="s">
        <v>218</v>
      </c>
      <c r="M1" s="82" t="s">
        <v>217</v>
      </c>
    </row>
    <row r="2" spans="1:13" x14ac:dyDescent="0.4">
      <c r="A2" s="88">
        <v>1</v>
      </c>
      <c r="B2" s="88" t="s">
        <v>254</v>
      </c>
      <c r="C2" s="88" t="s">
        <v>61</v>
      </c>
      <c r="D2" s="88" t="s">
        <v>21</v>
      </c>
      <c r="E2" s="88" t="s">
        <v>83</v>
      </c>
      <c r="F2" s="88" t="s">
        <v>62</v>
      </c>
      <c r="G2" s="88" t="s">
        <v>216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255</v>
      </c>
      <c r="C3" s="88" t="s">
        <v>61</v>
      </c>
      <c r="D3" s="88" t="s">
        <v>22</v>
      </c>
      <c r="E3" s="88" t="s">
        <v>83</v>
      </c>
      <c r="F3" s="88" t="s">
        <v>62</v>
      </c>
      <c r="G3" s="88" t="s">
        <v>216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256</v>
      </c>
      <c r="C4" s="88" t="s">
        <v>61</v>
      </c>
      <c r="D4" s="88" t="s">
        <v>23</v>
      </c>
      <c r="E4" s="88" t="s">
        <v>83</v>
      </c>
      <c r="F4" s="88" t="s">
        <v>62</v>
      </c>
      <c r="G4" s="88" t="s">
        <v>216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257</v>
      </c>
      <c r="C5" s="88" t="s">
        <v>61</v>
      </c>
      <c r="D5" s="88" t="s">
        <v>249</v>
      </c>
      <c r="E5" s="88" t="s">
        <v>84</v>
      </c>
      <c r="F5" s="88" t="s">
        <v>59</v>
      </c>
      <c r="G5" s="88" t="s">
        <v>216</v>
      </c>
      <c r="H5" s="88"/>
      <c r="I5" s="88"/>
      <c r="J5" s="88"/>
      <c r="K5" s="88" t="s">
        <v>249</v>
      </c>
      <c r="L5" s="88"/>
      <c r="M5" s="88"/>
    </row>
    <row r="6" spans="1:13" x14ac:dyDescent="0.4">
      <c r="A6" s="88">
        <v>1</v>
      </c>
      <c r="B6" s="88" t="s">
        <v>258</v>
      </c>
      <c r="C6" s="88" t="s">
        <v>61</v>
      </c>
      <c r="D6" s="88" t="s">
        <v>65</v>
      </c>
      <c r="E6" s="88" t="s">
        <v>84</v>
      </c>
      <c r="F6" s="88" t="s">
        <v>59</v>
      </c>
      <c r="G6" s="88" t="s">
        <v>216</v>
      </c>
      <c r="H6" s="88"/>
      <c r="I6" s="88"/>
      <c r="J6" s="88"/>
      <c r="K6" s="88" t="s">
        <v>250</v>
      </c>
      <c r="L6" s="88"/>
      <c r="M6" s="88"/>
    </row>
    <row r="7" spans="1:13" x14ac:dyDescent="0.4">
      <c r="A7" s="88">
        <v>1</v>
      </c>
      <c r="B7" s="88" t="s">
        <v>273</v>
      </c>
      <c r="C7" s="88" t="s">
        <v>61</v>
      </c>
      <c r="D7" s="88" t="s">
        <v>66</v>
      </c>
      <c r="E7" s="88" t="s">
        <v>83</v>
      </c>
      <c r="F7" s="88" t="s">
        <v>60</v>
      </c>
      <c r="G7" s="88" t="s">
        <v>216</v>
      </c>
      <c r="H7" s="88"/>
      <c r="I7" s="88"/>
      <c r="J7" s="88">
        <v>500</v>
      </c>
      <c r="K7" s="88" t="s">
        <v>66</v>
      </c>
      <c r="L7" s="88"/>
      <c r="M7" s="88"/>
    </row>
    <row r="8" spans="1:13" x14ac:dyDescent="0.4">
      <c r="A8" s="88">
        <v>1</v>
      </c>
      <c r="B8" s="88" t="s">
        <v>186</v>
      </c>
      <c r="C8" s="88" t="s">
        <v>61</v>
      </c>
      <c r="D8" s="88" t="s">
        <v>24</v>
      </c>
      <c r="E8" s="88" t="s">
        <v>64</v>
      </c>
      <c r="F8" s="88" t="s">
        <v>62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262</v>
      </c>
      <c r="C9" s="88" t="s">
        <v>61</v>
      </c>
      <c r="D9" s="88" t="s">
        <v>5</v>
      </c>
      <c r="E9" s="88" t="s">
        <v>64</v>
      </c>
      <c r="F9" s="88" t="s">
        <v>62</v>
      </c>
      <c r="G9" s="88" t="s">
        <v>216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263</v>
      </c>
      <c r="C10" s="88" t="s">
        <v>61</v>
      </c>
      <c r="D10" s="88" t="s">
        <v>9</v>
      </c>
      <c r="E10" s="88" t="s">
        <v>64</v>
      </c>
      <c r="F10" s="88" t="s">
        <v>62</v>
      </c>
      <c r="G10" s="88" t="s">
        <v>216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264</v>
      </c>
      <c r="C11" s="88" t="s">
        <v>61</v>
      </c>
      <c r="D11" s="88" t="s">
        <v>26</v>
      </c>
      <c r="E11" s="88" t="s">
        <v>85</v>
      </c>
      <c r="F11" s="88" t="s">
        <v>62</v>
      </c>
      <c r="G11" s="88" t="s">
        <v>216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265</v>
      </c>
      <c r="C12" s="88" t="s">
        <v>61</v>
      </c>
      <c r="D12" s="88" t="s">
        <v>27</v>
      </c>
      <c r="E12" s="88" t="s">
        <v>85</v>
      </c>
      <c r="F12" s="88" t="s">
        <v>62</v>
      </c>
      <c r="G12" s="88" t="s">
        <v>216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266</v>
      </c>
      <c r="C13" s="88" t="s">
        <v>61</v>
      </c>
      <c r="D13" s="88" t="s">
        <v>25</v>
      </c>
      <c r="E13" s="88" t="s">
        <v>85</v>
      </c>
      <c r="F13" s="88" t="s">
        <v>62</v>
      </c>
      <c r="G13" s="88" t="s">
        <v>216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142</v>
      </c>
      <c r="C14" s="88" t="s">
        <v>61</v>
      </c>
      <c r="D14" s="88" t="s">
        <v>28</v>
      </c>
      <c r="E14" s="88" t="s">
        <v>86</v>
      </c>
      <c r="F14" s="88" t="s">
        <v>62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184</v>
      </c>
      <c r="C15" s="88" t="s">
        <v>61</v>
      </c>
      <c r="D15" s="88" t="s">
        <v>29</v>
      </c>
      <c r="E15" s="88" t="s">
        <v>86</v>
      </c>
      <c r="F15" s="88" t="s">
        <v>62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190</v>
      </c>
      <c r="C16" s="88" t="s">
        <v>61</v>
      </c>
      <c r="D16" s="88" t="s">
        <v>31</v>
      </c>
      <c r="E16" s="88" t="s">
        <v>86</v>
      </c>
      <c r="F16" s="88" t="s">
        <v>62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139</v>
      </c>
      <c r="C17" s="88" t="s">
        <v>61</v>
      </c>
      <c r="D17" s="88" t="s">
        <v>32</v>
      </c>
      <c r="E17" s="88" t="s">
        <v>68</v>
      </c>
      <c r="F17" s="88" t="s">
        <v>62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187</v>
      </c>
      <c r="C18" s="88" t="s">
        <v>61</v>
      </c>
      <c r="D18" s="88" t="s">
        <v>33</v>
      </c>
      <c r="E18" s="88" t="s">
        <v>68</v>
      </c>
      <c r="F18" s="88" t="s">
        <v>62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304</v>
      </c>
      <c r="C19" s="88" t="s">
        <v>61</v>
      </c>
      <c r="D19" s="88" t="s">
        <v>34</v>
      </c>
      <c r="E19" s="88" t="s">
        <v>68</v>
      </c>
      <c r="F19" s="88" t="s">
        <v>62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194</v>
      </c>
      <c r="C20" s="88" t="s">
        <v>61</v>
      </c>
      <c r="D20" s="88" t="s">
        <v>69</v>
      </c>
      <c r="E20" s="88" t="s">
        <v>68</v>
      </c>
      <c r="F20" s="88" t="s">
        <v>62</v>
      </c>
      <c r="G20" s="88">
        <v>202605</v>
      </c>
      <c r="H20" s="88"/>
      <c r="I20" s="88"/>
      <c r="J20" s="88"/>
      <c r="K20" s="88" t="s">
        <v>69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61</v>
      </c>
      <c r="D21" s="88" t="s">
        <v>35</v>
      </c>
      <c r="E21" s="88" t="s">
        <v>83</v>
      </c>
      <c r="F21" s="88" t="s">
        <v>62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61</v>
      </c>
      <c r="D22" s="88" t="s">
        <v>36</v>
      </c>
      <c r="E22" s="88" t="s">
        <v>83</v>
      </c>
      <c r="F22" s="88" t="s">
        <v>62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156</v>
      </c>
      <c r="C23" s="88" t="s">
        <v>61</v>
      </c>
      <c r="D23" s="88" t="s">
        <v>37</v>
      </c>
      <c r="E23" s="88" t="s">
        <v>83</v>
      </c>
      <c r="F23" s="88" t="s">
        <v>62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272</v>
      </c>
      <c r="C24" s="88" t="s">
        <v>61</v>
      </c>
      <c r="D24" s="88" t="s">
        <v>38</v>
      </c>
      <c r="E24" s="88" t="s">
        <v>68</v>
      </c>
      <c r="F24" s="88" t="s">
        <v>62</v>
      </c>
      <c r="G24" s="88" t="s">
        <v>216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267</v>
      </c>
      <c r="C25" s="88" t="s">
        <v>61</v>
      </c>
      <c r="D25" s="88" t="s">
        <v>42</v>
      </c>
      <c r="E25" s="88" t="s">
        <v>83</v>
      </c>
      <c r="F25" s="88" t="s">
        <v>62</v>
      </c>
      <c r="G25" s="88" t="s">
        <v>216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268</v>
      </c>
      <c r="C26" s="88" t="s">
        <v>61</v>
      </c>
      <c r="D26" s="88" t="s">
        <v>40</v>
      </c>
      <c r="E26" s="88" t="s">
        <v>83</v>
      </c>
      <c r="F26" s="88" t="s">
        <v>62</v>
      </c>
      <c r="G26" s="88" t="s">
        <v>216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269</v>
      </c>
      <c r="C27" s="88" t="s">
        <v>61</v>
      </c>
      <c r="D27" s="88" t="s">
        <v>43</v>
      </c>
      <c r="E27" s="88" t="s">
        <v>83</v>
      </c>
      <c r="F27" s="88" t="s">
        <v>62</v>
      </c>
      <c r="G27" s="88" t="s">
        <v>216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270</v>
      </c>
      <c r="C28" s="88" t="s">
        <v>61</v>
      </c>
      <c r="D28" s="88" t="s">
        <v>41</v>
      </c>
      <c r="E28" s="88" t="s">
        <v>83</v>
      </c>
      <c r="F28" s="88" t="s">
        <v>62</v>
      </c>
      <c r="G28" s="88" t="s">
        <v>216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271</v>
      </c>
      <c r="C29" s="88" t="s">
        <v>61</v>
      </c>
      <c r="D29" s="88" t="s">
        <v>39</v>
      </c>
      <c r="E29" s="88" t="s">
        <v>83</v>
      </c>
      <c r="F29" s="88" t="s">
        <v>62</v>
      </c>
      <c r="G29" s="88" t="s">
        <v>216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274</v>
      </c>
      <c r="C30" s="88" t="s">
        <v>61</v>
      </c>
      <c r="D30" s="88" t="s">
        <v>46</v>
      </c>
      <c r="E30" s="88" t="s">
        <v>86</v>
      </c>
      <c r="F30" s="88" t="s">
        <v>62</v>
      </c>
      <c r="G30" s="88" t="s">
        <v>216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275</v>
      </c>
      <c r="C31" s="88" t="s">
        <v>61</v>
      </c>
      <c r="D31" s="88" t="s">
        <v>71</v>
      </c>
      <c r="E31" s="88" t="s">
        <v>86</v>
      </c>
      <c r="F31" s="88" t="s">
        <v>62</v>
      </c>
      <c r="G31" s="88" t="s">
        <v>216</v>
      </c>
      <c r="H31" s="88"/>
      <c r="I31" s="88"/>
      <c r="J31" s="88"/>
      <c r="K31" s="88" t="s">
        <v>71</v>
      </c>
      <c r="L31" s="88"/>
      <c r="M31" s="88"/>
    </row>
    <row r="32" spans="1:13" x14ac:dyDescent="0.4">
      <c r="A32" s="88">
        <v>1</v>
      </c>
      <c r="B32" s="88" t="s">
        <v>259</v>
      </c>
      <c r="C32" s="88" t="s">
        <v>61</v>
      </c>
      <c r="D32" s="88" t="s">
        <v>251</v>
      </c>
      <c r="E32" s="88" t="s">
        <v>84</v>
      </c>
      <c r="F32" s="88" t="s">
        <v>59</v>
      </c>
      <c r="G32" s="88" t="s">
        <v>216</v>
      </c>
      <c r="H32" s="88"/>
      <c r="I32" s="88"/>
      <c r="J32" s="88"/>
      <c r="K32" s="88" t="s">
        <v>251</v>
      </c>
      <c r="L32" s="88"/>
      <c r="M32" s="88"/>
    </row>
    <row r="33" spans="1:13" x14ac:dyDescent="0.4">
      <c r="A33" s="88">
        <v>1</v>
      </c>
      <c r="B33" s="88" t="s">
        <v>260</v>
      </c>
      <c r="C33" s="88" t="s">
        <v>61</v>
      </c>
      <c r="D33" s="88" t="s">
        <v>252</v>
      </c>
      <c r="E33" s="88" t="s">
        <v>84</v>
      </c>
      <c r="F33" s="88" t="s">
        <v>59</v>
      </c>
      <c r="G33" s="88" t="s">
        <v>216</v>
      </c>
      <c r="H33" s="88"/>
      <c r="I33" s="88"/>
      <c r="J33" s="88"/>
      <c r="K33" s="88" t="s">
        <v>252</v>
      </c>
      <c r="L33" s="88"/>
      <c r="M33" s="88"/>
    </row>
    <row r="34" spans="1:13" x14ac:dyDescent="0.4">
      <c r="A34" s="88">
        <v>1</v>
      </c>
      <c r="B34" s="88" t="s">
        <v>261</v>
      </c>
      <c r="C34" s="88" t="s">
        <v>61</v>
      </c>
      <c r="D34" s="88" t="s">
        <v>253</v>
      </c>
      <c r="E34" s="88" t="s">
        <v>84</v>
      </c>
      <c r="F34" s="88" t="s">
        <v>59</v>
      </c>
      <c r="G34" s="88" t="s">
        <v>216</v>
      </c>
      <c r="H34" s="88"/>
      <c r="I34" s="88"/>
      <c r="J34" s="88"/>
      <c r="K34" s="88" t="s">
        <v>253</v>
      </c>
      <c r="M34" s="88"/>
    </row>
    <row r="35" spans="1:13" x14ac:dyDescent="0.4">
      <c r="A35" s="88">
        <v>1</v>
      </c>
      <c r="B35" s="9" t="s">
        <v>312</v>
      </c>
      <c r="C35" s="88" t="s">
        <v>197</v>
      </c>
      <c r="D35" s="88" t="s">
        <v>44</v>
      </c>
      <c r="E35" s="88" t="s">
        <v>201</v>
      </c>
      <c r="F35" s="88" t="s">
        <v>62</v>
      </c>
      <c r="L35" s="88"/>
      <c r="M35" s="88"/>
    </row>
    <row r="36" spans="1:13" x14ac:dyDescent="0.4">
      <c r="A36" s="88">
        <v>1</v>
      </c>
      <c r="B36" s="9" t="s">
        <v>198</v>
      </c>
      <c r="C36" s="88" t="s">
        <v>197</v>
      </c>
      <c r="D36" s="88" t="s">
        <v>45</v>
      </c>
      <c r="E36" s="88" t="s">
        <v>201</v>
      </c>
      <c r="F36" s="88" t="s">
        <v>62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147</v>
      </c>
      <c r="D55" s="31" t="s">
        <v>27</v>
      </c>
      <c r="E55" s="31" t="s">
        <v>61</v>
      </c>
      <c r="F55" s="31" t="s">
        <v>85</v>
      </c>
      <c r="G55" s="31" t="s">
        <v>62</v>
      </c>
    </row>
    <row r="56" spans="3:7" x14ac:dyDescent="0.4">
      <c r="C56" s="31" t="s">
        <v>67</v>
      </c>
      <c r="D56" s="31" t="s">
        <v>67</v>
      </c>
      <c r="E56" s="31" t="s">
        <v>61</v>
      </c>
      <c r="F56" s="31" t="s">
        <v>64</v>
      </c>
      <c r="G56" s="31" t="s">
        <v>62</v>
      </c>
    </row>
    <row r="57" spans="3:7" x14ac:dyDescent="0.4">
      <c r="C57" s="31" t="s">
        <v>142</v>
      </c>
      <c r="D57" s="31" t="s">
        <v>28</v>
      </c>
      <c r="E57" s="31" t="s">
        <v>61</v>
      </c>
      <c r="F57" s="31" t="s">
        <v>86</v>
      </c>
      <c r="G57" s="31" t="s">
        <v>62</v>
      </c>
    </row>
    <row r="58" spans="3:7" x14ac:dyDescent="0.4">
      <c r="C58" s="31" t="s">
        <v>184</v>
      </c>
      <c r="D58" s="31" t="s">
        <v>29</v>
      </c>
      <c r="E58" s="31" t="s">
        <v>61</v>
      </c>
      <c r="F58" s="31" t="s">
        <v>86</v>
      </c>
      <c r="G58" s="31" t="s">
        <v>62</v>
      </c>
    </row>
    <row r="59" spans="3:7" x14ac:dyDescent="0.4">
      <c r="C59" s="31" t="s">
        <v>190</v>
      </c>
      <c r="D59" s="31" t="s">
        <v>31</v>
      </c>
      <c r="E59" s="31" t="s">
        <v>61</v>
      </c>
      <c r="F59" s="31" t="s">
        <v>86</v>
      </c>
      <c r="G59" s="31" t="s">
        <v>62</v>
      </c>
    </row>
    <row r="60" spans="3:7" x14ac:dyDescent="0.4">
      <c r="C60" s="31" t="s">
        <v>139</v>
      </c>
      <c r="D60" s="31" t="s">
        <v>32</v>
      </c>
      <c r="E60" s="31" t="s">
        <v>61</v>
      </c>
      <c r="F60" s="31" t="s">
        <v>68</v>
      </c>
      <c r="G60" s="31" t="s">
        <v>62</v>
      </c>
    </row>
    <row r="61" spans="3:7" x14ac:dyDescent="0.4">
      <c r="C61" s="31" t="s">
        <v>187</v>
      </c>
      <c r="D61" s="31" t="s">
        <v>33</v>
      </c>
      <c r="E61" s="31" t="s">
        <v>61</v>
      </c>
      <c r="F61" s="31" t="s">
        <v>68</v>
      </c>
      <c r="G61" s="31" t="s">
        <v>62</v>
      </c>
    </row>
    <row r="62" spans="3:7" x14ac:dyDescent="0.4">
      <c r="C62" s="31" t="s">
        <v>195</v>
      </c>
      <c r="D62" s="31" t="s">
        <v>34</v>
      </c>
      <c r="E62" s="31" t="s">
        <v>61</v>
      </c>
      <c r="F62" s="31" t="s">
        <v>68</v>
      </c>
      <c r="G62" s="31" t="s">
        <v>62</v>
      </c>
    </row>
    <row r="63" spans="3:7" x14ac:dyDescent="0.4">
      <c r="C63" s="31" t="s">
        <v>194</v>
      </c>
      <c r="D63" s="31" t="s">
        <v>69</v>
      </c>
      <c r="E63" s="31" t="s">
        <v>61</v>
      </c>
      <c r="F63" s="31" t="s">
        <v>68</v>
      </c>
      <c r="G63" s="31" t="s">
        <v>62</v>
      </c>
    </row>
    <row r="64" spans="3:7" x14ac:dyDescent="0.4">
      <c r="C64" s="31" t="s">
        <v>35</v>
      </c>
      <c r="D64" s="31" t="s">
        <v>35</v>
      </c>
      <c r="E64" s="31" t="s">
        <v>61</v>
      </c>
      <c r="F64" s="31" t="s">
        <v>83</v>
      </c>
      <c r="G64" s="31" t="s">
        <v>62</v>
      </c>
    </row>
    <row r="65" spans="3:7" x14ac:dyDescent="0.4">
      <c r="C65" s="31" t="s">
        <v>36</v>
      </c>
      <c r="D65" s="31" t="s">
        <v>36</v>
      </c>
      <c r="E65" s="31" t="s">
        <v>61</v>
      </c>
      <c r="F65" s="31" t="s">
        <v>83</v>
      </c>
      <c r="G65" s="31" t="s">
        <v>62</v>
      </c>
    </row>
    <row r="66" spans="3:7" x14ac:dyDescent="0.4">
      <c r="C66" s="31" t="s">
        <v>156</v>
      </c>
      <c r="D66" s="31" t="s">
        <v>37</v>
      </c>
      <c r="E66" s="31" t="s">
        <v>61</v>
      </c>
      <c r="F66" s="31" t="s">
        <v>83</v>
      </c>
      <c r="G66" s="31" t="s">
        <v>62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70</v>
      </c>
      <c r="D68" s="31" t="s">
        <v>71</v>
      </c>
      <c r="E68" s="31" t="s">
        <v>61</v>
      </c>
      <c r="F68" s="31" t="s">
        <v>86</v>
      </c>
      <c r="G68" s="31" t="s">
        <v>62</v>
      </c>
    </row>
    <row r="69" spans="3:7" x14ac:dyDescent="0.4">
      <c r="C69" s="31" t="s">
        <v>46</v>
      </c>
      <c r="D69" s="31" t="s">
        <v>46</v>
      </c>
      <c r="E69" s="31" t="s">
        <v>61</v>
      </c>
      <c r="F69" s="31" t="s">
        <v>86</v>
      </c>
      <c r="G69" s="31" t="s">
        <v>62</v>
      </c>
    </row>
    <row r="70" spans="3:7" x14ac:dyDescent="0.4">
      <c r="C70" s="31" t="s">
        <v>72</v>
      </c>
      <c r="D70" s="31" t="s">
        <v>73</v>
      </c>
      <c r="E70" s="31" t="s">
        <v>61</v>
      </c>
      <c r="F70" s="31" t="s">
        <v>84</v>
      </c>
      <c r="G70" s="31" t="s">
        <v>59</v>
      </c>
    </row>
    <row r="71" spans="3:7" x14ac:dyDescent="0.4">
      <c r="C71" s="31" t="s">
        <v>74</v>
      </c>
      <c r="D71" s="31" t="s">
        <v>75</v>
      </c>
      <c r="E71" s="31" t="s">
        <v>61</v>
      </c>
      <c r="F71" s="31" t="s">
        <v>84</v>
      </c>
      <c r="G71" s="31" t="s">
        <v>59</v>
      </c>
    </row>
    <row r="72" spans="3:7" x14ac:dyDescent="0.4">
      <c r="C72" s="31" t="s">
        <v>76</v>
      </c>
      <c r="D72" s="31" t="s">
        <v>47</v>
      </c>
      <c r="E72" s="31" t="s">
        <v>61</v>
      </c>
      <c r="F72" s="31" t="s">
        <v>84</v>
      </c>
      <c r="G72" s="31" t="s">
        <v>59</v>
      </c>
    </row>
    <row r="73" spans="3:7" x14ac:dyDescent="0.4">
      <c r="C73" s="31" t="s">
        <v>77</v>
      </c>
      <c r="D73" s="31" t="s">
        <v>38</v>
      </c>
      <c r="E73" s="31" t="s">
        <v>61</v>
      </c>
      <c r="F73" s="31" t="s">
        <v>68</v>
      </c>
      <c r="G73" s="31" t="s">
        <v>62</v>
      </c>
    </row>
    <row r="74" spans="3:7" x14ac:dyDescent="0.4">
      <c r="C74" s="31" t="s">
        <v>42</v>
      </c>
      <c r="D74" s="31" t="s">
        <v>59</v>
      </c>
      <c r="E74" s="31" t="s">
        <v>61</v>
      </c>
      <c r="F74" s="31" t="s">
        <v>83</v>
      </c>
      <c r="G74" s="31" t="s">
        <v>62</v>
      </c>
    </row>
    <row r="75" spans="3:7" x14ac:dyDescent="0.4">
      <c r="C75" s="31" t="s">
        <v>40</v>
      </c>
      <c r="D75" s="31" t="s">
        <v>78</v>
      </c>
      <c r="E75" s="31" t="s">
        <v>61</v>
      </c>
      <c r="F75" s="31" t="s">
        <v>83</v>
      </c>
      <c r="G75" s="31" t="s">
        <v>62</v>
      </c>
    </row>
    <row r="76" spans="3:7" x14ac:dyDescent="0.4">
      <c r="C76" s="31" t="s">
        <v>43</v>
      </c>
      <c r="D76" s="31" t="s">
        <v>60</v>
      </c>
      <c r="E76" s="31" t="s">
        <v>61</v>
      </c>
      <c r="F76" s="31" t="s">
        <v>83</v>
      </c>
      <c r="G76" s="31" t="s">
        <v>62</v>
      </c>
    </row>
    <row r="77" spans="3:7" x14ac:dyDescent="0.4">
      <c r="C77" s="31" t="s">
        <v>79</v>
      </c>
      <c r="D77" s="31" t="s">
        <v>80</v>
      </c>
      <c r="E77" s="31" t="s">
        <v>61</v>
      </c>
      <c r="F77" s="31" t="s">
        <v>83</v>
      </c>
      <c r="G77" s="31" t="s">
        <v>62</v>
      </c>
    </row>
    <row r="78" spans="3:7" x14ac:dyDescent="0.4">
      <c r="C78" s="31" t="s">
        <v>81</v>
      </c>
      <c r="D78" s="31" t="s">
        <v>82</v>
      </c>
      <c r="E78" s="31" t="s">
        <v>61</v>
      </c>
      <c r="F78" s="31" t="s">
        <v>83</v>
      </c>
      <c r="G78" s="31" t="s">
        <v>62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C19" sqref="C19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228</v>
      </c>
      <c r="B1" s="86" t="s">
        <v>246</v>
      </c>
      <c r="C1" s="86" t="s">
        <v>227</v>
      </c>
      <c r="D1" s="86" t="s">
        <v>226</v>
      </c>
      <c r="E1" s="86" t="s">
        <v>218</v>
      </c>
      <c r="F1" s="86" t="s">
        <v>225</v>
      </c>
      <c r="G1" s="86" t="s">
        <v>224</v>
      </c>
      <c r="H1" s="86" t="s">
        <v>245</v>
      </c>
      <c r="I1" s="86" t="s">
        <v>244</v>
      </c>
      <c r="J1" s="86" t="s">
        <v>243</v>
      </c>
      <c r="K1" s="86" t="s">
        <v>242</v>
      </c>
      <c r="L1" s="86" t="s">
        <v>241</v>
      </c>
      <c r="M1" s="86" t="s">
        <v>240</v>
      </c>
      <c r="N1" s="86" t="s">
        <v>239</v>
      </c>
      <c r="O1" s="86" t="s">
        <v>238</v>
      </c>
      <c r="P1" s="86" t="s">
        <v>237</v>
      </c>
      <c r="Q1" s="86" t="s">
        <v>236</v>
      </c>
      <c r="R1" s="86" t="s">
        <v>235</v>
      </c>
      <c r="S1" s="86" t="s">
        <v>234</v>
      </c>
      <c r="T1" s="86" t="s">
        <v>233</v>
      </c>
      <c r="U1" s="86" t="s">
        <v>232</v>
      </c>
      <c r="V1" s="86" t="s">
        <v>231</v>
      </c>
      <c r="W1" s="86" t="s">
        <v>230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254</v>
      </c>
      <c r="B2" s="81">
        <v>649180678</v>
      </c>
      <c r="C2" s="81" t="s">
        <v>61</v>
      </c>
      <c r="D2" s="81" t="s">
        <v>21</v>
      </c>
      <c r="E2" s="81" t="s">
        <v>276</v>
      </c>
      <c r="F2" s="81" t="s">
        <v>83</v>
      </c>
      <c r="G2" s="81" t="s">
        <v>62</v>
      </c>
      <c r="H2" s="91">
        <v>6832</v>
      </c>
      <c r="I2" s="91">
        <v>6832.75</v>
      </c>
      <c r="J2" s="91">
        <v>6833.75</v>
      </c>
      <c r="K2" s="91">
        <v>6833.25</v>
      </c>
      <c r="L2" s="91">
        <v>6838</v>
      </c>
      <c r="M2" s="91">
        <v>6846.25</v>
      </c>
      <c r="N2" s="91">
        <v>6873.25</v>
      </c>
      <c r="O2" s="91">
        <v>6832</v>
      </c>
      <c r="P2" s="91">
        <v>2484</v>
      </c>
      <c r="Q2" s="91"/>
      <c r="R2" s="91"/>
      <c r="S2" s="91"/>
      <c r="T2" s="91"/>
      <c r="U2" s="91"/>
      <c r="V2" s="85">
        <v>46092.416759259257</v>
      </c>
      <c r="W2" s="81" t="s">
        <v>277</v>
      </c>
      <c r="X2" s="81"/>
      <c r="Y2" s="81"/>
      <c r="Z2" s="81"/>
    </row>
    <row r="3" spans="1:32" x14ac:dyDescent="0.4">
      <c r="A3" s="81" t="s">
        <v>255</v>
      </c>
      <c r="B3" s="81">
        <v>750150196</v>
      </c>
      <c r="C3" s="81" t="s">
        <v>61</v>
      </c>
      <c r="D3" s="81" t="s">
        <v>22</v>
      </c>
      <c r="E3" s="81" t="s">
        <v>278</v>
      </c>
      <c r="F3" s="81" t="s">
        <v>83</v>
      </c>
      <c r="G3" s="81" t="s">
        <v>62</v>
      </c>
      <c r="H3" s="91">
        <v>25199</v>
      </c>
      <c r="I3" s="91">
        <v>25182.75</v>
      </c>
      <c r="J3" s="91">
        <v>25186.75</v>
      </c>
      <c r="K3" s="91">
        <v>25184.75</v>
      </c>
      <c r="L3" s="91">
        <v>25199.5</v>
      </c>
      <c r="M3" s="91">
        <v>25220</v>
      </c>
      <c r="N3" s="91">
        <v>25338</v>
      </c>
      <c r="O3" s="91">
        <v>25170.75</v>
      </c>
      <c r="P3" s="91">
        <v>742</v>
      </c>
      <c r="Q3" s="91"/>
      <c r="R3" s="91"/>
      <c r="S3" s="91"/>
      <c r="T3" s="91"/>
      <c r="U3" s="91"/>
      <c r="V3" s="85">
        <v>46092.416759259257</v>
      </c>
      <c r="W3" s="81" t="s">
        <v>277</v>
      </c>
      <c r="X3" s="81"/>
      <c r="Y3" s="81"/>
      <c r="Z3" s="81"/>
    </row>
    <row r="4" spans="1:32" x14ac:dyDescent="0.4">
      <c r="A4" s="81" t="s">
        <v>256</v>
      </c>
      <c r="B4" s="81">
        <v>770561234</v>
      </c>
      <c r="C4" s="81" t="s">
        <v>61</v>
      </c>
      <c r="D4" s="81" t="s">
        <v>23</v>
      </c>
      <c r="E4" s="81" t="s">
        <v>279</v>
      </c>
      <c r="F4" s="81" t="s">
        <v>83</v>
      </c>
      <c r="G4" s="81" t="s">
        <v>62</v>
      </c>
      <c r="H4" s="91">
        <v>2557.8000000000002</v>
      </c>
      <c r="I4" s="91">
        <v>2556.9</v>
      </c>
      <c r="J4" s="91">
        <v>2557.5</v>
      </c>
      <c r="K4" s="91">
        <v>2557.1999999999998</v>
      </c>
      <c r="L4" s="91">
        <v>2566.9</v>
      </c>
      <c r="M4" s="91">
        <v>2570.3000000000002</v>
      </c>
      <c r="N4" s="91">
        <v>2583.1999999999998</v>
      </c>
      <c r="O4" s="91">
        <v>2556.8000000000002</v>
      </c>
      <c r="P4" s="91">
        <v>293</v>
      </c>
      <c r="Q4" s="91"/>
      <c r="R4" s="91"/>
      <c r="S4" s="91"/>
      <c r="T4" s="91"/>
      <c r="U4" s="91"/>
      <c r="V4" s="85">
        <v>46092.416759259257</v>
      </c>
      <c r="W4" s="81" t="s">
        <v>277</v>
      </c>
      <c r="X4" s="81"/>
      <c r="Y4" s="81"/>
      <c r="Z4" s="81"/>
    </row>
    <row r="5" spans="1:32" x14ac:dyDescent="0.4">
      <c r="A5" s="81" t="s">
        <v>257</v>
      </c>
      <c r="B5" s="81">
        <v>638120304</v>
      </c>
      <c r="C5" s="81" t="s">
        <v>61</v>
      </c>
      <c r="D5" s="81" t="s">
        <v>63</v>
      </c>
      <c r="E5" s="81" t="s">
        <v>280</v>
      </c>
      <c r="F5" s="81" t="s">
        <v>84</v>
      </c>
      <c r="G5" s="81" t="s">
        <v>59</v>
      </c>
      <c r="H5" s="91">
        <v>5710</v>
      </c>
      <c r="I5" s="91">
        <v>5706</v>
      </c>
      <c r="J5" s="91">
        <v>5707</v>
      </c>
      <c r="K5" s="91">
        <v>5706.5</v>
      </c>
      <c r="L5" s="91">
        <v>5771</v>
      </c>
      <c r="M5" s="91">
        <v>5741</v>
      </c>
      <c r="N5" s="91">
        <v>5770</v>
      </c>
      <c r="O5" s="91">
        <v>5698</v>
      </c>
      <c r="P5" s="91">
        <v>930</v>
      </c>
      <c r="Q5" s="91"/>
      <c r="R5" s="91"/>
      <c r="S5" s="91"/>
      <c r="T5" s="91"/>
      <c r="U5" s="91"/>
      <c r="V5" s="85">
        <v>46092.416759259257</v>
      </c>
      <c r="W5" s="81" t="s">
        <v>277</v>
      </c>
      <c r="X5" s="81"/>
      <c r="Y5" s="81"/>
      <c r="Z5" s="81"/>
    </row>
    <row r="6" spans="1:32" x14ac:dyDescent="0.4">
      <c r="A6" s="81" t="s">
        <v>258</v>
      </c>
      <c r="B6" s="81">
        <v>638120262</v>
      </c>
      <c r="C6" s="81" t="s">
        <v>61</v>
      </c>
      <c r="D6" s="81" t="s">
        <v>65</v>
      </c>
      <c r="E6" s="81" t="s">
        <v>281</v>
      </c>
      <c r="F6" s="81" t="s">
        <v>84</v>
      </c>
      <c r="G6" s="81" t="s">
        <v>59</v>
      </c>
      <c r="H6" s="91">
        <v>23814</v>
      </c>
      <c r="I6" s="91">
        <v>23822</v>
      </c>
      <c r="J6" s="91">
        <v>23883</v>
      </c>
      <c r="K6" s="91">
        <v>23852.5</v>
      </c>
      <c r="L6" s="91">
        <v>24173</v>
      </c>
      <c r="M6" s="91">
        <v>24207</v>
      </c>
      <c r="N6" s="91">
        <v>24207</v>
      </c>
      <c r="O6" s="91">
        <v>23814</v>
      </c>
      <c r="P6" s="91">
        <v>29</v>
      </c>
      <c r="Q6" s="91"/>
      <c r="R6" s="91"/>
      <c r="S6" s="91"/>
      <c r="T6" s="91"/>
      <c r="U6" s="91"/>
      <c r="V6" s="85">
        <v>46092.416759259257</v>
      </c>
      <c r="W6" s="81" t="s">
        <v>277</v>
      </c>
      <c r="X6" s="81"/>
      <c r="Y6" s="81"/>
      <c r="Z6" s="81"/>
    </row>
    <row r="7" spans="1:32" x14ac:dyDescent="0.4">
      <c r="A7" s="1" t="s">
        <v>273</v>
      </c>
      <c r="B7" s="1">
        <v>635680486</v>
      </c>
      <c r="C7" s="1" t="s">
        <v>61</v>
      </c>
      <c r="D7" s="1" t="s">
        <v>66</v>
      </c>
      <c r="E7" s="1" t="s">
        <v>310</v>
      </c>
      <c r="F7" s="1" t="s">
        <v>83</v>
      </c>
      <c r="G7" s="1" t="s">
        <v>60</v>
      </c>
      <c r="H7" s="93">
        <v>54405</v>
      </c>
      <c r="I7" s="93">
        <v>54395</v>
      </c>
      <c r="J7" s="93">
        <v>54405</v>
      </c>
      <c r="K7" s="93">
        <v>54400</v>
      </c>
      <c r="L7" s="93">
        <v>54675</v>
      </c>
      <c r="M7" s="93">
        <v>54700</v>
      </c>
      <c r="N7" s="93">
        <v>55535</v>
      </c>
      <c r="O7" s="93">
        <v>54340</v>
      </c>
      <c r="P7" s="93">
        <v>10307</v>
      </c>
      <c r="Q7" s="93"/>
      <c r="R7" s="93"/>
      <c r="S7" s="93"/>
      <c r="T7" s="93"/>
      <c r="U7" s="93"/>
      <c r="V7" s="92">
        <v>46092.416759259257</v>
      </c>
      <c r="W7" s="1" t="s">
        <v>277</v>
      </c>
    </row>
    <row r="8" spans="1:32" x14ac:dyDescent="0.4">
      <c r="A8" s="1" t="s">
        <v>186</v>
      </c>
      <c r="B8" s="1">
        <v>304037436</v>
      </c>
      <c r="C8" s="1" t="s">
        <v>61</v>
      </c>
      <c r="D8" s="1" t="s">
        <v>24</v>
      </c>
      <c r="E8" s="1" t="s">
        <v>282</v>
      </c>
      <c r="F8" s="1" t="s">
        <v>64</v>
      </c>
      <c r="G8" s="1" t="s">
        <v>62</v>
      </c>
      <c r="H8" s="93">
        <v>85.63</v>
      </c>
      <c r="I8" s="93">
        <v>85.62</v>
      </c>
      <c r="J8" s="93">
        <v>85.64</v>
      </c>
      <c r="K8" s="93">
        <v>85.63</v>
      </c>
      <c r="L8" s="93">
        <v>83.45</v>
      </c>
      <c r="M8" s="93">
        <v>86.89</v>
      </c>
      <c r="N8" s="93">
        <v>88.59</v>
      </c>
      <c r="O8" s="93">
        <v>81.790000000000006</v>
      </c>
      <c r="P8" s="93">
        <v>126856</v>
      </c>
      <c r="Q8" s="93"/>
      <c r="R8" s="93"/>
      <c r="S8" s="93"/>
      <c r="T8" s="93"/>
      <c r="U8" s="93"/>
      <c r="V8" s="92">
        <v>46092.416759259257</v>
      </c>
      <c r="W8" s="1" t="s">
        <v>277</v>
      </c>
    </row>
    <row r="9" spans="1:32" x14ac:dyDescent="0.4">
      <c r="A9" s="1" t="s">
        <v>262</v>
      </c>
      <c r="B9" s="1">
        <v>269460069</v>
      </c>
      <c r="C9" s="1" t="s">
        <v>61</v>
      </c>
      <c r="D9" s="1" t="s">
        <v>5</v>
      </c>
      <c r="E9" s="1" t="s">
        <v>283</v>
      </c>
      <c r="F9" s="1" t="s">
        <v>64</v>
      </c>
      <c r="G9" s="1" t="s">
        <v>62</v>
      </c>
      <c r="H9" s="93">
        <v>3.2309999999999999</v>
      </c>
      <c r="I9" s="93">
        <v>3.2330000000000001</v>
      </c>
      <c r="J9" s="93">
        <v>3.2349999999999999</v>
      </c>
      <c r="K9" s="93">
        <v>3.234</v>
      </c>
      <c r="L9" s="93">
        <v>3.1829999999999998</v>
      </c>
      <c r="M9" s="93">
        <v>3.2130000000000001</v>
      </c>
      <c r="N9" s="93">
        <v>3.24</v>
      </c>
      <c r="O9" s="93">
        <v>3.1859999999999999</v>
      </c>
      <c r="P9" s="93">
        <v>2013</v>
      </c>
      <c r="Q9" s="93"/>
      <c r="R9" s="93"/>
      <c r="S9" s="93"/>
      <c r="T9" s="93"/>
      <c r="U9" s="93"/>
      <c r="V9" s="92">
        <v>46092.416759259257</v>
      </c>
      <c r="W9" s="1" t="s">
        <v>277</v>
      </c>
    </row>
    <row r="10" spans="1:32" x14ac:dyDescent="0.4">
      <c r="A10" s="1" t="s">
        <v>263</v>
      </c>
      <c r="B10" s="1">
        <v>600696533</v>
      </c>
      <c r="C10" s="1" t="s">
        <v>61</v>
      </c>
      <c r="D10" s="1" t="s">
        <v>9</v>
      </c>
      <c r="E10" s="1" t="s">
        <v>284</v>
      </c>
      <c r="F10" s="1" t="s">
        <v>64</v>
      </c>
      <c r="G10" s="1" t="s">
        <v>62</v>
      </c>
      <c r="H10" s="93">
        <v>2.5867</v>
      </c>
      <c r="I10" s="93">
        <v>2.5870000000000002</v>
      </c>
      <c r="J10" s="93">
        <v>2.5878999999999999</v>
      </c>
      <c r="K10" s="93">
        <v>2.58745</v>
      </c>
      <c r="L10" s="93">
        <v>2.5423</v>
      </c>
      <c r="M10" s="93">
        <v>2.6063999999999998</v>
      </c>
      <c r="N10" s="93">
        <v>2.6387999999999998</v>
      </c>
      <c r="O10" s="93">
        <v>2.5327999999999999</v>
      </c>
      <c r="P10" s="93">
        <v>10234</v>
      </c>
      <c r="Q10" s="93"/>
      <c r="R10" s="93"/>
      <c r="S10" s="93"/>
      <c r="T10" s="93"/>
      <c r="U10" s="93"/>
      <c r="V10" s="92">
        <v>46092.416759259257</v>
      </c>
      <c r="W10" s="1" t="s">
        <v>277</v>
      </c>
    </row>
    <row r="11" spans="1:32" x14ac:dyDescent="0.4">
      <c r="A11" s="1" t="s">
        <v>264</v>
      </c>
      <c r="B11" s="1">
        <v>430360630</v>
      </c>
      <c r="C11" s="1" t="s">
        <v>61</v>
      </c>
      <c r="D11" s="1" t="s">
        <v>26</v>
      </c>
      <c r="E11" s="1" t="s">
        <v>285</v>
      </c>
      <c r="F11" s="1" t="s">
        <v>85</v>
      </c>
      <c r="G11" s="1" t="s">
        <v>62</v>
      </c>
      <c r="H11" s="93">
        <v>5231.7</v>
      </c>
      <c r="I11" s="93">
        <v>5231.8</v>
      </c>
      <c r="J11" s="93">
        <v>5232.3</v>
      </c>
      <c r="K11" s="93">
        <v>5232.05</v>
      </c>
      <c r="L11" s="93">
        <v>5281.5</v>
      </c>
      <c r="M11" s="93">
        <v>5234.3999999999996</v>
      </c>
      <c r="N11" s="93">
        <v>5269.5</v>
      </c>
      <c r="O11" s="93">
        <v>5224</v>
      </c>
      <c r="P11" s="93">
        <v>2674</v>
      </c>
      <c r="Q11" s="93"/>
      <c r="R11" s="93"/>
      <c r="S11" s="93"/>
      <c r="T11" s="93"/>
      <c r="U11" s="93"/>
      <c r="V11" s="92">
        <v>46092.416759259257</v>
      </c>
      <c r="W11" s="1" t="s">
        <v>277</v>
      </c>
    </row>
    <row r="12" spans="1:32" x14ac:dyDescent="0.4">
      <c r="A12" s="1" t="s">
        <v>265</v>
      </c>
      <c r="B12" s="1">
        <v>760200596</v>
      </c>
      <c r="C12" s="1" t="s">
        <v>61</v>
      </c>
      <c r="D12" s="1" t="s">
        <v>27</v>
      </c>
      <c r="E12" s="1" t="s">
        <v>286</v>
      </c>
      <c r="F12" s="1" t="s">
        <v>85</v>
      </c>
      <c r="G12" s="1" t="s">
        <v>62</v>
      </c>
      <c r="H12" s="93">
        <v>87.125</v>
      </c>
      <c r="I12" s="93">
        <v>87.655000000000001</v>
      </c>
      <c r="J12" s="93">
        <v>87.7</v>
      </c>
      <c r="K12" s="93">
        <v>87.677500000000009</v>
      </c>
      <c r="L12" s="93">
        <v>89.91</v>
      </c>
      <c r="M12" s="93">
        <v>89.7</v>
      </c>
      <c r="N12" s="93">
        <v>90.015000000000001</v>
      </c>
      <c r="O12" s="93">
        <v>87.125</v>
      </c>
      <c r="P12" s="93">
        <v>38</v>
      </c>
      <c r="Q12" s="93"/>
      <c r="R12" s="93"/>
      <c r="S12" s="93"/>
      <c r="T12" s="93"/>
      <c r="U12" s="93"/>
      <c r="V12" s="92">
        <v>46092.416759259257</v>
      </c>
      <c r="W12" s="1" t="s">
        <v>277</v>
      </c>
    </row>
    <row r="13" spans="1:32" x14ac:dyDescent="0.4">
      <c r="A13" s="1" t="s">
        <v>266</v>
      </c>
      <c r="B13" s="1">
        <v>712565973</v>
      </c>
      <c r="C13" s="1" t="s">
        <v>61</v>
      </c>
      <c r="D13" s="1" t="s">
        <v>25</v>
      </c>
      <c r="E13" s="1" t="s">
        <v>287</v>
      </c>
      <c r="F13" s="1" t="s">
        <v>85</v>
      </c>
      <c r="G13" s="1" t="s">
        <v>62</v>
      </c>
      <c r="H13" s="93">
        <v>5.8975</v>
      </c>
      <c r="I13" s="93">
        <v>5.8710000000000004</v>
      </c>
      <c r="J13" s="93">
        <v>5.8724999999999996</v>
      </c>
      <c r="K13" s="93">
        <v>5.8717500000000005</v>
      </c>
      <c r="L13" s="93">
        <v>5.9790000000000001</v>
      </c>
      <c r="M13" s="93">
        <v>5.9509999999999996</v>
      </c>
      <c r="N13" s="93">
        <v>5.9669999999999996</v>
      </c>
      <c r="O13" s="93">
        <v>5.8975</v>
      </c>
      <c r="P13" s="93">
        <v>22</v>
      </c>
      <c r="Q13" s="93"/>
      <c r="R13" s="93"/>
      <c r="S13" s="93"/>
      <c r="T13" s="93"/>
      <c r="U13" s="93"/>
      <c r="V13" s="92">
        <v>46092.416759259257</v>
      </c>
      <c r="W13" s="1" t="s">
        <v>277</v>
      </c>
    </row>
    <row r="14" spans="1:32" x14ac:dyDescent="0.4">
      <c r="A14" s="1" t="s">
        <v>142</v>
      </c>
      <c r="B14" s="1">
        <v>671574022</v>
      </c>
      <c r="C14" s="1" t="s">
        <v>61</v>
      </c>
      <c r="D14" s="1" t="s">
        <v>28</v>
      </c>
      <c r="E14" s="1" t="s">
        <v>299</v>
      </c>
      <c r="F14" s="1" t="s">
        <v>86</v>
      </c>
      <c r="G14" s="1" t="s">
        <v>62</v>
      </c>
      <c r="H14" s="93">
        <v>454.5</v>
      </c>
      <c r="I14" s="93">
        <v>454.5</v>
      </c>
      <c r="J14" s="93">
        <v>454.75</v>
      </c>
      <c r="K14" s="93">
        <v>454.625</v>
      </c>
      <c r="L14" s="93">
        <v>452.25</v>
      </c>
      <c r="M14" s="93">
        <v>453.25</v>
      </c>
      <c r="N14" s="93">
        <v>455.5</v>
      </c>
      <c r="O14" s="93">
        <v>451.5</v>
      </c>
      <c r="P14" s="93">
        <v>20510</v>
      </c>
      <c r="Q14" s="93"/>
      <c r="R14" s="93"/>
      <c r="S14" s="93"/>
      <c r="T14" s="93"/>
      <c r="U14" s="93"/>
      <c r="V14" s="92">
        <v>46092.416759259257</v>
      </c>
      <c r="W14" s="1" t="s">
        <v>277</v>
      </c>
    </row>
    <row r="15" spans="1:32" x14ac:dyDescent="0.4">
      <c r="A15" s="1" t="s">
        <v>184</v>
      </c>
      <c r="B15" s="1">
        <v>642254817</v>
      </c>
      <c r="C15" s="1" t="s">
        <v>61</v>
      </c>
      <c r="D15" s="1" t="s">
        <v>29</v>
      </c>
      <c r="E15" s="1" t="s">
        <v>300</v>
      </c>
      <c r="F15" s="1" t="s">
        <v>86</v>
      </c>
      <c r="G15" s="1" t="s">
        <v>62</v>
      </c>
      <c r="H15" s="93">
        <v>595.25</v>
      </c>
      <c r="I15" s="93">
        <v>595</v>
      </c>
      <c r="J15" s="93">
        <v>595.25</v>
      </c>
      <c r="K15" s="93">
        <v>595.125</v>
      </c>
      <c r="L15" s="93">
        <v>591</v>
      </c>
      <c r="M15" s="93">
        <v>592.5</v>
      </c>
      <c r="N15" s="93">
        <v>597.5</v>
      </c>
      <c r="O15" s="93">
        <v>589.25</v>
      </c>
      <c r="P15" s="93">
        <v>8730</v>
      </c>
      <c r="Q15" s="93"/>
      <c r="R15" s="93"/>
      <c r="S15" s="93"/>
      <c r="T15" s="93"/>
      <c r="U15" s="93"/>
      <c r="V15" s="92">
        <v>46092.416759259257</v>
      </c>
      <c r="W15" s="1" t="s">
        <v>277</v>
      </c>
    </row>
    <row r="16" spans="1:32" x14ac:dyDescent="0.4">
      <c r="A16" s="1" t="s">
        <v>190</v>
      </c>
      <c r="B16" s="1">
        <v>665643569</v>
      </c>
      <c r="C16" s="1" t="s">
        <v>61</v>
      </c>
      <c r="D16" s="1" t="s">
        <v>31</v>
      </c>
      <c r="E16" s="1" t="s">
        <v>301</v>
      </c>
      <c r="F16" s="1" t="s">
        <v>86</v>
      </c>
      <c r="G16" s="1" t="s">
        <v>62</v>
      </c>
      <c r="H16" s="93">
        <v>1208.75</v>
      </c>
      <c r="I16" s="93">
        <v>1208.5</v>
      </c>
      <c r="J16" s="93">
        <v>1208.75</v>
      </c>
      <c r="K16" s="93">
        <v>1208.625</v>
      </c>
      <c r="L16" s="93">
        <v>1201.75</v>
      </c>
      <c r="M16" s="93">
        <v>1207</v>
      </c>
      <c r="N16" s="93">
        <v>1212.75</v>
      </c>
      <c r="O16" s="93">
        <v>1203.5</v>
      </c>
      <c r="P16" s="93">
        <v>15653</v>
      </c>
      <c r="Q16" s="93"/>
      <c r="R16" s="93"/>
      <c r="S16" s="93"/>
      <c r="T16" s="93"/>
      <c r="U16" s="93"/>
      <c r="V16" s="92">
        <v>46092.416759259257</v>
      </c>
      <c r="W16" s="1" t="s">
        <v>277</v>
      </c>
    </row>
    <row r="17" spans="1:23" x14ac:dyDescent="0.4">
      <c r="A17" s="1" t="s">
        <v>139</v>
      </c>
      <c r="B17" s="1">
        <v>634760175</v>
      </c>
      <c r="C17" s="1" t="s">
        <v>61</v>
      </c>
      <c r="D17" s="1" t="s">
        <v>32</v>
      </c>
      <c r="E17" s="1" t="s">
        <v>302</v>
      </c>
      <c r="F17" s="1" t="s">
        <v>68</v>
      </c>
      <c r="G17" s="1" t="s">
        <v>62</v>
      </c>
      <c r="H17" s="93">
        <v>14.49</v>
      </c>
      <c r="I17" s="93">
        <v>14.48</v>
      </c>
      <c r="J17" s="93">
        <v>14.49</v>
      </c>
      <c r="K17" s="93">
        <v>14.484999999999999</v>
      </c>
      <c r="L17" s="93">
        <v>14.38</v>
      </c>
      <c r="M17" s="93">
        <v>14.37</v>
      </c>
      <c r="N17" s="93">
        <v>14.53</v>
      </c>
      <c r="O17" s="93">
        <v>14.37</v>
      </c>
      <c r="P17" s="93">
        <v>4360</v>
      </c>
      <c r="Q17" s="93"/>
      <c r="R17" s="93"/>
      <c r="S17" s="93"/>
      <c r="T17" s="93"/>
      <c r="U17" s="93"/>
      <c r="V17" s="92">
        <v>46092.416759259257</v>
      </c>
      <c r="W17" s="1" t="s">
        <v>277</v>
      </c>
    </row>
    <row r="18" spans="1:23" x14ac:dyDescent="0.4">
      <c r="A18" s="1" t="s">
        <v>187</v>
      </c>
      <c r="B18" s="1">
        <v>634760204</v>
      </c>
      <c r="C18" s="1" t="s">
        <v>61</v>
      </c>
      <c r="D18" s="1" t="s">
        <v>33</v>
      </c>
      <c r="E18" s="1" t="s">
        <v>303</v>
      </c>
      <c r="F18" s="1" t="s">
        <v>68</v>
      </c>
      <c r="G18" s="1" t="s">
        <v>62</v>
      </c>
      <c r="H18" s="93">
        <v>294.7</v>
      </c>
      <c r="I18" s="93">
        <v>-100</v>
      </c>
      <c r="J18" s="93">
        <v>-100</v>
      </c>
      <c r="K18" s="93">
        <v>-100</v>
      </c>
      <c r="L18" s="93">
        <v>295.8</v>
      </c>
      <c r="M18" s="93">
        <v>0</v>
      </c>
      <c r="N18" s="93"/>
      <c r="O18" s="93"/>
      <c r="P18" s="93">
        <v>0</v>
      </c>
      <c r="Q18" s="93"/>
      <c r="R18" s="93"/>
      <c r="S18" s="93"/>
      <c r="T18" s="93"/>
      <c r="U18" s="93"/>
      <c r="V18" s="92">
        <v>46092.416759259257</v>
      </c>
      <c r="W18" s="1" t="s">
        <v>277</v>
      </c>
    </row>
    <row r="19" spans="1:23" x14ac:dyDescent="0.4">
      <c r="A19" s="1" t="s">
        <v>304</v>
      </c>
      <c r="B19" s="1">
        <v>707621000</v>
      </c>
      <c r="C19" s="1" t="s">
        <v>61</v>
      </c>
      <c r="D19" s="1" t="s">
        <v>34</v>
      </c>
      <c r="E19" s="1" t="s">
        <v>304</v>
      </c>
      <c r="F19" s="1" t="s">
        <v>68</v>
      </c>
      <c r="G19" s="1" t="s">
        <v>62</v>
      </c>
      <c r="H19" s="93">
        <v>-1</v>
      </c>
      <c r="I19" s="93">
        <v>-1</v>
      </c>
      <c r="J19" s="93">
        <v>-1</v>
      </c>
      <c r="K19" s="93">
        <v>-1</v>
      </c>
      <c r="L19" s="93">
        <v>3447</v>
      </c>
      <c r="M19" s="93">
        <v>0</v>
      </c>
      <c r="N19" s="93"/>
      <c r="O19" s="93"/>
      <c r="P19" s="93">
        <v>0</v>
      </c>
      <c r="Q19" s="93"/>
      <c r="R19" s="93"/>
      <c r="S19" s="93"/>
      <c r="T19" s="93"/>
      <c r="U19" s="93"/>
      <c r="V19" s="92">
        <v>46092.416759259257</v>
      </c>
      <c r="W19" s="1" t="s">
        <v>277</v>
      </c>
    </row>
    <row r="20" spans="1:23" x14ac:dyDescent="0.4">
      <c r="A20" s="1" t="s">
        <v>194</v>
      </c>
      <c r="B20" s="1">
        <v>634760245</v>
      </c>
      <c r="C20" s="1" t="s">
        <v>61</v>
      </c>
      <c r="D20" s="1" t="s">
        <v>69</v>
      </c>
      <c r="E20" s="1" t="s">
        <v>305</v>
      </c>
      <c r="F20" s="1" t="s">
        <v>68</v>
      </c>
      <c r="G20" s="1" t="s">
        <v>62</v>
      </c>
      <c r="H20" s="93">
        <v>65.349999999999994</v>
      </c>
      <c r="I20" s="93">
        <v>65.34</v>
      </c>
      <c r="J20" s="93">
        <v>65.36</v>
      </c>
      <c r="K20" s="93">
        <v>65.349999999999994</v>
      </c>
      <c r="L20" s="93">
        <v>65.3</v>
      </c>
      <c r="M20" s="93">
        <v>65.37</v>
      </c>
      <c r="N20" s="93">
        <v>65.540000000000006</v>
      </c>
      <c r="O20" s="93">
        <v>65.209999999999994</v>
      </c>
      <c r="P20" s="93">
        <v>2415</v>
      </c>
      <c r="Q20" s="93"/>
      <c r="R20" s="93"/>
      <c r="S20" s="93"/>
      <c r="T20" s="93"/>
      <c r="U20" s="93"/>
      <c r="V20" s="92">
        <v>46092.416759259257</v>
      </c>
      <c r="W20" s="1" t="s">
        <v>277</v>
      </c>
    </row>
    <row r="21" spans="1:23" x14ac:dyDescent="0.4">
      <c r="A21" s="1" t="s">
        <v>35</v>
      </c>
      <c r="B21" s="1">
        <v>738739101</v>
      </c>
      <c r="C21" s="1" t="s">
        <v>61</v>
      </c>
      <c r="D21" s="1" t="s">
        <v>35</v>
      </c>
      <c r="E21" s="1" t="s">
        <v>306</v>
      </c>
      <c r="F21" s="1" t="s">
        <v>83</v>
      </c>
      <c r="G21" s="1" t="s">
        <v>62</v>
      </c>
      <c r="H21" s="93">
        <v>0</v>
      </c>
      <c r="I21" s="93">
        <v>-100</v>
      </c>
      <c r="J21" s="93">
        <v>-100</v>
      </c>
      <c r="K21" s="93">
        <v>-100</v>
      </c>
      <c r="L21" s="93">
        <v>232.375</v>
      </c>
      <c r="M21" s="93">
        <v>231.35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46092.416759259257</v>
      </c>
      <c r="W21" s="1" t="s">
        <v>277</v>
      </c>
    </row>
    <row r="22" spans="1:23" x14ac:dyDescent="0.4">
      <c r="A22" s="1" t="s">
        <v>36</v>
      </c>
      <c r="B22" s="1">
        <v>786686904</v>
      </c>
      <c r="C22" s="1" t="s">
        <v>61</v>
      </c>
      <c r="D22" s="1" t="s">
        <v>36</v>
      </c>
      <c r="E22" s="1" t="s">
        <v>307</v>
      </c>
      <c r="F22" s="1" t="s">
        <v>83</v>
      </c>
      <c r="G22" s="1" t="s">
        <v>62</v>
      </c>
      <c r="H22" s="93">
        <v>0</v>
      </c>
      <c r="I22" s="93">
        <v>-100</v>
      </c>
      <c r="J22" s="93">
        <v>-100</v>
      </c>
      <c r="K22" s="93">
        <v>-100</v>
      </c>
      <c r="L22" s="93">
        <v>346.4</v>
      </c>
      <c r="M22" s="93">
        <v>344.67500000000001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46092.416759259257</v>
      </c>
      <c r="W22" s="1" t="s">
        <v>277</v>
      </c>
    </row>
    <row r="23" spans="1:23" x14ac:dyDescent="0.4">
      <c r="A23" s="1" t="s">
        <v>156</v>
      </c>
      <c r="B23" s="1">
        <v>735014937</v>
      </c>
      <c r="C23" s="1" t="s">
        <v>61</v>
      </c>
      <c r="D23" s="1" t="s">
        <v>37</v>
      </c>
      <c r="E23" s="1" t="s">
        <v>308</v>
      </c>
      <c r="F23" s="1" t="s">
        <v>83</v>
      </c>
      <c r="G23" s="1" t="s">
        <v>62</v>
      </c>
      <c r="H23" s="93">
        <v>0</v>
      </c>
      <c r="I23" s="93">
        <v>-100</v>
      </c>
      <c r="J23" s="93">
        <v>-100</v>
      </c>
      <c r="K23" s="93">
        <v>-100</v>
      </c>
      <c r="L23" s="93">
        <v>96.075000000000003</v>
      </c>
      <c r="M23" s="93">
        <v>95.6</v>
      </c>
      <c r="N23" s="93"/>
      <c r="O23" s="93"/>
      <c r="P23" s="93">
        <v>0</v>
      </c>
      <c r="Q23" s="93"/>
      <c r="R23" s="93"/>
      <c r="S23" s="93"/>
      <c r="T23" s="93"/>
      <c r="U23" s="93"/>
      <c r="V23" s="92">
        <v>46092.416759259257</v>
      </c>
      <c r="W23" s="1" t="s">
        <v>277</v>
      </c>
    </row>
    <row r="24" spans="1:23" x14ac:dyDescent="0.4">
      <c r="A24" s="1" t="s">
        <v>272</v>
      </c>
      <c r="B24" s="1">
        <v>792232100</v>
      </c>
      <c r="C24" s="1" t="s">
        <v>61</v>
      </c>
      <c r="D24" s="1" t="s">
        <v>38</v>
      </c>
      <c r="E24" s="1" t="s">
        <v>288</v>
      </c>
      <c r="F24" s="1" t="s">
        <v>68</v>
      </c>
      <c r="G24" s="1" t="s">
        <v>62</v>
      </c>
      <c r="H24" s="93">
        <v>98.715000000000003</v>
      </c>
      <c r="I24" s="93">
        <v>98.71</v>
      </c>
      <c r="J24" s="93">
        <v>98.715000000000003</v>
      </c>
      <c r="K24" s="93">
        <v>98.712500000000006</v>
      </c>
      <c r="L24" s="93">
        <v>98.56</v>
      </c>
      <c r="M24" s="93">
        <v>98.68</v>
      </c>
      <c r="N24" s="93">
        <v>98.715000000000003</v>
      </c>
      <c r="O24" s="93">
        <v>98.435000000000002</v>
      </c>
      <c r="P24" s="93">
        <v>1277</v>
      </c>
      <c r="Q24" s="93"/>
      <c r="R24" s="93"/>
      <c r="S24" s="93"/>
      <c r="T24" s="93"/>
      <c r="U24" s="93"/>
      <c r="V24" s="92">
        <v>46092.416759259257</v>
      </c>
      <c r="W24" s="1" t="s">
        <v>277</v>
      </c>
    </row>
    <row r="25" spans="1:23" x14ac:dyDescent="0.4">
      <c r="A25" s="1" t="s">
        <v>267</v>
      </c>
      <c r="B25" s="1">
        <v>496647057</v>
      </c>
      <c r="C25" s="1" t="s">
        <v>61</v>
      </c>
      <c r="D25" s="1" t="s">
        <v>59</v>
      </c>
      <c r="E25" s="1" t="s">
        <v>289</v>
      </c>
      <c r="F25" s="1" t="s">
        <v>83</v>
      </c>
      <c r="G25" s="1" t="s">
        <v>62</v>
      </c>
      <c r="H25" s="93">
        <v>1.1657999999999999</v>
      </c>
      <c r="I25" s="93">
        <v>1.1657999999999999</v>
      </c>
      <c r="J25" s="93">
        <v>1.1658500000000001</v>
      </c>
      <c r="K25" s="93">
        <v>1.1658249999999999</v>
      </c>
      <c r="L25" s="93">
        <v>1.1677999999999999</v>
      </c>
      <c r="M25" s="93">
        <v>1.1667000000000001</v>
      </c>
      <c r="N25" s="93">
        <v>1.1698500000000001</v>
      </c>
      <c r="O25" s="93">
        <v>1.1656</v>
      </c>
      <c r="P25" s="93">
        <v>29643</v>
      </c>
      <c r="Q25" s="93"/>
      <c r="R25" s="93"/>
      <c r="S25" s="93"/>
      <c r="T25" s="93"/>
      <c r="U25" s="93"/>
      <c r="V25" s="92">
        <v>46092.416759259257</v>
      </c>
      <c r="W25" s="1" t="s">
        <v>277</v>
      </c>
    </row>
    <row r="26" spans="1:23" x14ac:dyDescent="0.4">
      <c r="A26" s="1" t="s">
        <v>268</v>
      </c>
      <c r="B26" s="1">
        <v>496647091</v>
      </c>
      <c r="C26" s="1" t="s">
        <v>61</v>
      </c>
      <c r="D26" s="1" t="s">
        <v>78</v>
      </c>
      <c r="E26" s="1" t="s">
        <v>290</v>
      </c>
      <c r="F26" s="1" t="s">
        <v>83</v>
      </c>
      <c r="G26" s="1" t="s">
        <v>62</v>
      </c>
      <c r="H26" s="93">
        <v>1.3411</v>
      </c>
      <c r="I26" s="93">
        <v>1.341</v>
      </c>
      <c r="J26" s="93">
        <v>1.3411</v>
      </c>
      <c r="K26" s="93">
        <v>1.3410500000000001</v>
      </c>
      <c r="L26" s="93">
        <v>1.3429</v>
      </c>
      <c r="M26" s="93">
        <v>1.3416999999999999</v>
      </c>
      <c r="N26" s="93">
        <v>1.3456999999999999</v>
      </c>
      <c r="O26" s="93">
        <v>1.3409</v>
      </c>
      <c r="P26" s="93">
        <v>11991</v>
      </c>
      <c r="Q26" s="93"/>
      <c r="R26" s="93"/>
      <c r="S26" s="93"/>
      <c r="T26" s="93"/>
      <c r="U26" s="93"/>
      <c r="V26" s="92">
        <v>46092.416759259257</v>
      </c>
      <c r="W26" s="1" t="s">
        <v>277</v>
      </c>
    </row>
    <row r="27" spans="1:23" x14ac:dyDescent="0.4">
      <c r="A27" s="1" t="s">
        <v>269</v>
      </c>
      <c r="B27" s="1">
        <v>496647108</v>
      </c>
      <c r="C27" s="1" t="s">
        <v>61</v>
      </c>
      <c r="D27" s="1" t="s">
        <v>60</v>
      </c>
      <c r="E27" s="1" t="s">
        <v>291</v>
      </c>
      <c r="F27" s="1" t="s">
        <v>83</v>
      </c>
      <c r="G27" s="1" t="s">
        <v>62</v>
      </c>
      <c r="H27" s="93">
        <v>6.3635000000000002E-3</v>
      </c>
      <c r="I27" s="93">
        <v>6.3629999999999997E-3</v>
      </c>
      <c r="J27" s="93">
        <v>6.3635000000000002E-3</v>
      </c>
      <c r="K27" s="93">
        <v>6.36325E-3</v>
      </c>
      <c r="L27" s="93">
        <v>6.3860000000000002E-3</v>
      </c>
      <c r="M27" s="93">
        <v>6.3784999999999996E-3</v>
      </c>
      <c r="N27" s="93">
        <v>6.3860000000000002E-3</v>
      </c>
      <c r="O27" s="93">
        <v>6.3629999999999997E-3</v>
      </c>
      <c r="P27" s="93">
        <v>17592</v>
      </c>
      <c r="Q27" s="93"/>
      <c r="R27" s="93"/>
      <c r="S27" s="93"/>
      <c r="T27" s="93"/>
      <c r="U27" s="93"/>
      <c r="V27" s="92">
        <v>46092.416759259257</v>
      </c>
      <c r="W27" s="1" t="s">
        <v>277</v>
      </c>
    </row>
    <row r="28" spans="1:23" x14ac:dyDescent="0.4">
      <c r="A28" s="1" t="s">
        <v>270</v>
      </c>
      <c r="B28" s="1">
        <v>496879111</v>
      </c>
      <c r="C28" s="1" t="s">
        <v>61</v>
      </c>
      <c r="D28" s="1" t="s">
        <v>80</v>
      </c>
      <c r="E28" s="1" t="s">
        <v>292</v>
      </c>
      <c r="F28" s="1" t="s">
        <v>83</v>
      </c>
      <c r="G28" s="1" t="s">
        <v>62</v>
      </c>
      <c r="H28" s="93">
        <v>0.73995</v>
      </c>
      <c r="I28" s="93">
        <v>0.73995</v>
      </c>
      <c r="J28" s="93">
        <v>0.74004999999999999</v>
      </c>
      <c r="K28" s="93">
        <v>0.74</v>
      </c>
      <c r="L28" s="93">
        <v>0.73965000000000003</v>
      </c>
      <c r="M28" s="93">
        <v>0.73929999999999996</v>
      </c>
      <c r="N28" s="93">
        <v>0.74080000000000001</v>
      </c>
      <c r="O28" s="93">
        <v>0.73914999999999997</v>
      </c>
      <c r="P28" s="93">
        <v>3036</v>
      </c>
      <c r="Q28" s="93"/>
      <c r="R28" s="93"/>
      <c r="S28" s="93"/>
      <c r="T28" s="93"/>
      <c r="U28" s="93"/>
      <c r="V28" s="92">
        <v>46092.416759259257</v>
      </c>
      <c r="W28" s="1" t="s">
        <v>277</v>
      </c>
    </row>
    <row r="29" spans="1:23" x14ac:dyDescent="0.4">
      <c r="A29" s="1" t="s">
        <v>271</v>
      </c>
      <c r="B29" s="1">
        <v>496647009</v>
      </c>
      <c r="C29" s="1" t="s">
        <v>61</v>
      </c>
      <c r="D29" s="1" t="s">
        <v>82</v>
      </c>
      <c r="E29" s="1" t="s">
        <v>293</v>
      </c>
      <c r="F29" s="1" t="s">
        <v>83</v>
      </c>
      <c r="G29" s="1" t="s">
        <v>62</v>
      </c>
      <c r="H29" s="93">
        <v>0.7147</v>
      </c>
      <c r="I29" s="93">
        <v>0.71465000000000001</v>
      </c>
      <c r="J29" s="93">
        <v>0.71475</v>
      </c>
      <c r="K29" s="93">
        <v>0.7147</v>
      </c>
      <c r="L29" s="93">
        <v>0.71260000000000001</v>
      </c>
      <c r="M29" s="93">
        <v>0.71109999999999995</v>
      </c>
      <c r="N29" s="93">
        <v>0.71775</v>
      </c>
      <c r="O29" s="93">
        <v>0.71060000000000001</v>
      </c>
      <c r="P29" s="93">
        <v>25663</v>
      </c>
      <c r="Q29" s="93"/>
      <c r="R29" s="93"/>
      <c r="S29" s="93"/>
      <c r="T29" s="93"/>
      <c r="U29" s="93"/>
      <c r="V29" s="92">
        <v>46092.416759259257</v>
      </c>
      <c r="W29" s="1" t="s">
        <v>277</v>
      </c>
    </row>
    <row r="30" spans="1:23" x14ac:dyDescent="0.4">
      <c r="A30" s="1" t="s">
        <v>274</v>
      </c>
      <c r="B30" s="1">
        <v>815824224</v>
      </c>
      <c r="C30" s="1" t="s">
        <v>61</v>
      </c>
      <c r="D30" s="1" t="s">
        <v>46</v>
      </c>
      <c r="E30" s="1" t="s">
        <v>294</v>
      </c>
      <c r="F30" s="1" t="s">
        <v>86</v>
      </c>
      <c r="G30" s="1" t="s">
        <v>62</v>
      </c>
      <c r="H30" s="93">
        <v>115.59375</v>
      </c>
      <c r="I30" s="93">
        <v>115.59375</v>
      </c>
      <c r="J30" s="93">
        <v>115.625</v>
      </c>
      <c r="K30" s="93">
        <v>115.609375</v>
      </c>
      <c r="L30" s="93">
        <v>116.09375</v>
      </c>
      <c r="M30" s="93">
        <v>115.71875</v>
      </c>
      <c r="N30" s="93">
        <v>116.03125</v>
      </c>
      <c r="O30" s="93">
        <v>115.5625</v>
      </c>
      <c r="P30" s="93">
        <v>42491</v>
      </c>
      <c r="Q30" s="93"/>
      <c r="R30" s="93"/>
      <c r="S30" s="93"/>
      <c r="T30" s="93"/>
      <c r="U30" s="93"/>
      <c r="V30" s="92">
        <v>46092.416759259257</v>
      </c>
      <c r="W30" s="1" t="s">
        <v>277</v>
      </c>
    </row>
    <row r="31" spans="1:23" x14ac:dyDescent="0.4">
      <c r="A31" s="1" t="s">
        <v>275</v>
      </c>
      <c r="B31" s="1">
        <v>815824229</v>
      </c>
      <c r="C31" s="1" t="s">
        <v>61</v>
      </c>
      <c r="D31" s="1" t="s">
        <v>71</v>
      </c>
      <c r="E31" s="1" t="s">
        <v>309</v>
      </c>
      <c r="F31" s="1" t="s">
        <v>86</v>
      </c>
      <c r="G31" s="1" t="s">
        <v>62</v>
      </c>
      <c r="H31" s="93">
        <v>112.28125</v>
      </c>
      <c r="I31" s="93">
        <v>112.265625</v>
      </c>
      <c r="J31" s="93">
        <v>112.28125</v>
      </c>
      <c r="K31" s="93">
        <v>112.2734375</v>
      </c>
      <c r="L31" s="93">
        <v>112.453125</v>
      </c>
      <c r="M31" s="93">
        <v>112.28125</v>
      </c>
      <c r="N31" s="93">
        <v>112.4375</v>
      </c>
      <c r="O31" s="93">
        <v>112.234375</v>
      </c>
      <c r="P31" s="93">
        <v>272433</v>
      </c>
      <c r="Q31" s="93"/>
      <c r="R31" s="93"/>
      <c r="S31" s="93"/>
      <c r="T31" s="93"/>
      <c r="U31" s="93"/>
      <c r="V31" s="92">
        <v>46092.416759259257</v>
      </c>
      <c r="W31" s="1" t="s">
        <v>277</v>
      </c>
    </row>
    <row r="32" spans="1:23" x14ac:dyDescent="0.4">
      <c r="A32" s="1" t="s">
        <v>259</v>
      </c>
      <c r="B32" s="1">
        <v>813041669</v>
      </c>
      <c r="C32" s="1" t="s">
        <v>61</v>
      </c>
      <c r="D32" s="1" t="s">
        <v>73</v>
      </c>
      <c r="E32" s="1" t="s">
        <v>311</v>
      </c>
      <c r="F32" s="1" t="s">
        <v>84</v>
      </c>
      <c r="G32" s="1" t="s">
        <v>59</v>
      </c>
      <c r="H32" s="93">
        <v>126.67</v>
      </c>
      <c r="I32" s="93">
        <v>126.67</v>
      </c>
      <c r="J32" s="93">
        <v>126.68</v>
      </c>
      <c r="K32" s="93">
        <v>126.67500000000001</v>
      </c>
      <c r="L32" s="93">
        <v>127.25</v>
      </c>
      <c r="M32" s="93">
        <v>127.12</v>
      </c>
      <c r="N32" s="93">
        <v>127.2</v>
      </c>
      <c r="O32" s="93">
        <v>126.66</v>
      </c>
      <c r="P32" s="93">
        <v>293889</v>
      </c>
      <c r="Q32" s="93"/>
      <c r="R32" s="93"/>
      <c r="S32" s="93"/>
      <c r="T32" s="93"/>
      <c r="U32" s="93"/>
      <c r="V32" s="92">
        <v>46092.416759259257</v>
      </c>
      <c r="W32" s="1" t="s">
        <v>277</v>
      </c>
    </row>
    <row r="33" spans="1:23" x14ac:dyDescent="0.4">
      <c r="A33" s="1" t="s">
        <v>260</v>
      </c>
      <c r="B33" s="1">
        <v>813041681</v>
      </c>
      <c r="C33" s="1" t="s">
        <v>61</v>
      </c>
      <c r="D33" s="1" t="s">
        <v>75</v>
      </c>
      <c r="E33" s="1" t="s">
        <v>295</v>
      </c>
      <c r="F33" s="1" t="s">
        <v>84</v>
      </c>
      <c r="G33" s="1" t="s">
        <v>59</v>
      </c>
      <c r="H33" s="93">
        <v>109.92</v>
      </c>
      <c r="I33" s="93">
        <v>109.92</v>
      </c>
      <c r="J33" s="93">
        <v>109.94</v>
      </c>
      <c r="K33" s="93">
        <v>109.93</v>
      </c>
      <c r="L33" s="93">
        <v>110.76</v>
      </c>
      <c r="M33" s="93">
        <v>110.52</v>
      </c>
      <c r="N33" s="93">
        <v>110.72</v>
      </c>
      <c r="O33" s="93">
        <v>109.88</v>
      </c>
      <c r="P33" s="93">
        <v>36217</v>
      </c>
      <c r="Q33" s="93"/>
      <c r="R33" s="93"/>
      <c r="S33" s="93"/>
      <c r="T33" s="93"/>
      <c r="U33" s="93"/>
      <c r="V33" s="92">
        <v>46092.416759259257</v>
      </c>
      <c r="W33" s="1" t="s">
        <v>277</v>
      </c>
    </row>
    <row r="34" spans="1:23" x14ac:dyDescent="0.4">
      <c r="A34" s="1" t="s">
        <v>261</v>
      </c>
      <c r="B34" s="1">
        <v>813041663</v>
      </c>
      <c r="C34" s="1" t="s">
        <v>61</v>
      </c>
      <c r="D34" s="1" t="s">
        <v>47</v>
      </c>
      <c r="E34" s="1" t="s">
        <v>296</v>
      </c>
      <c r="F34" s="1" t="s">
        <v>84</v>
      </c>
      <c r="G34" s="1" t="s">
        <v>59</v>
      </c>
      <c r="H34" s="93">
        <v>118.89</v>
      </c>
      <c r="I34" s="93">
        <v>118.89</v>
      </c>
      <c r="J34" s="93">
        <v>118.9</v>
      </c>
      <c r="K34" s="93">
        <v>118.89500000000001</v>
      </c>
      <c r="L34" s="93">
        <v>119.66</v>
      </c>
      <c r="M34" s="93">
        <v>119.5</v>
      </c>
      <c r="N34" s="93">
        <v>119.51</v>
      </c>
      <c r="O34" s="93">
        <v>118.87</v>
      </c>
      <c r="P34" s="93">
        <v>102070</v>
      </c>
      <c r="Q34" s="93"/>
      <c r="R34" s="93"/>
      <c r="S34" s="93"/>
      <c r="T34" s="93"/>
      <c r="U34" s="93"/>
      <c r="V34" s="92">
        <v>46092.416759259257</v>
      </c>
      <c r="W34" s="1" t="s">
        <v>277</v>
      </c>
    </row>
    <row r="35" spans="1:23" x14ac:dyDescent="0.4">
      <c r="A35" s="1" t="s">
        <v>312</v>
      </c>
      <c r="B35" s="1">
        <v>479624278</v>
      </c>
      <c r="C35" s="1" t="s">
        <v>197</v>
      </c>
      <c r="D35" s="1" t="s">
        <v>44</v>
      </c>
      <c r="E35" s="1" t="s">
        <v>297</v>
      </c>
      <c r="F35" s="1" t="s">
        <v>201</v>
      </c>
      <c r="G35" s="1" t="s">
        <v>62</v>
      </c>
      <c r="H35" s="93">
        <v>69652.25</v>
      </c>
      <c r="I35" s="93">
        <v>69615</v>
      </c>
      <c r="J35" s="93">
        <v>69615.25</v>
      </c>
      <c r="K35" s="93">
        <v>69615.125</v>
      </c>
      <c r="L35" s="93">
        <v>70060.75</v>
      </c>
      <c r="M35" s="93"/>
      <c r="N35" s="93">
        <v>71739</v>
      </c>
      <c r="O35" s="93">
        <v>68388.5</v>
      </c>
      <c r="P35" s="93">
        <v>114.33914932</v>
      </c>
      <c r="Q35" s="93"/>
      <c r="R35" s="93"/>
      <c r="S35" s="93"/>
      <c r="T35" s="93"/>
      <c r="U35" s="93"/>
      <c r="V35" s="92">
        <v>46092.416759259257</v>
      </c>
      <c r="W35" s="1" t="s">
        <v>277</v>
      </c>
    </row>
    <row r="36" spans="1:23" x14ac:dyDescent="0.4">
      <c r="A36" s="1" t="s">
        <v>198</v>
      </c>
      <c r="B36" s="1">
        <v>495759171</v>
      </c>
      <c r="C36" s="1" t="s">
        <v>197</v>
      </c>
      <c r="D36" s="1" t="s">
        <v>45</v>
      </c>
      <c r="E36" s="1" t="s">
        <v>298</v>
      </c>
      <c r="F36" s="1" t="s">
        <v>201</v>
      </c>
      <c r="G36" s="1" t="s">
        <v>62</v>
      </c>
      <c r="H36" s="93">
        <v>2023.05</v>
      </c>
      <c r="I36" s="93">
        <v>2023.05</v>
      </c>
      <c r="J36" s="93">
        <v>2023.1</v>
      </c>
      <c r="K36" s="93">
        <v>2023.0749999999998</v>
      </c>
      <c r="L36" s="93">
        <v>2037.15</v>
      </c>
      <c r="M36" s="93"/>
      <c r="N36" s="93">
        <v>2086.35</v>
      </c>
      <c r="O36" s="93">
        <v>1989.75</v>
      </c>
      <c r="P36" s="93">
        <v>924.18638008000005</v>
      </c>
      <c r="Q36" s="93"/>
      <c r="R36" s="93"/>
      <c r="S36" s="93"/>
      <c r="T36" s="93"/>
      <c r="U36" s="93"/>
      <c r="V36" s="92">
        <v>46092.416759259257</v>
      </c>
      <c r="W36" s="1" t="s">
        <v>277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231</v>
      </c>
      <c r="B1" s="86" t="s">
        <v>248</v>
      </c>
      <c r="C1" s="86" t="s">
        <v>247</v>
      </c>
    </row>
    <row r="2" spans="1:3" x14ac:dyDescent="0.4">
      <c r="A2" s="87">
        <v>46086.543078703704</v>
      </c>
      <c r="B2" s="84" t="s">
        <v>313</v>
      </c>
      <c r="C2" s="84" t="s">
        <v>314</v>
      </c>
    </row>
    <row r="3" spans="1:3" x14ac:dyDescent="0.4">
      <c r="A3" s="87">
        <v>46086.543090277781</v>
      </c>
      <c r="B3" s="84" t="s">
        <v>313</v>
      </c>
      <c r="C3" s="84" t="s">
        <v>315</v>
      </c>
    </row>
    <row r="4" spans="1:3" x14ac:dyDescent="0.4">
      <c r="A4" s="87">
        <v>46086.54310185185</v>
      </c>
      <c r="B4" s="84" t="s">
        <v>313</v>
      </c>
      <c r="C4" s="84" t="s">
        <v>316</v>
      </c>
    </row>
    <row r="5" spans="1:3" x14ac:dyDescent="0.4">
      <c r="A5" s="85">
        <v>46090.383530092593</v>
      </c>
      <c r="B5" s="1" t="s">
        <v>313</v>
      </c>
      <c r="C5" s="1" t="s">
        <v>314</v>
      </c>
    </row>
    <row r="6" spans="1:3" x14ac:dyDescent="0.4">
      <c r="A6" s="85">
        <v>46090.38354166667</v>
      </c>
      <c r="B6" s="1" t="s">
        <v>313</v>
      </c>
      <c r="C6" s="1" t="s">
        <v>315</v>
      </c>
    </row>
    <row r="7" spans="1:3" x14ac:dyDescent="0.4">
      <c r="A7" s="85">
        <v>46090.38354166667</v>
      </c>
      <c r="B7" s="81" t="s">
        <v>313</v>
      </c>
      <c r="C7" s="81" t="s">
        <v>316</v>
      </c>
    </row>
    <row r="8" spans="1:3" x14ac:dyDescent="0.4">
      <c r="A8" s="85">
        <v>46090.869409722225</v>
      </c>
      <c r="B8" s="81" t="s">
        <v>313</v>
      </c>
      <c r="C8" s="81" t="s">
        <v>314</v>
      </c>
    </row>
    <row r="9" spans="1:3" x14ac:dyDescent="0.4">
      <c r="A9" s="85">
        <v>46090.869409722225</v>
      </c>
      <c r="B9" s="81" t="s">
        <v>313</v>
      </c>
      <c r="C9" s="81" t="s">
        <v>315</v>
      </c>
    </row>
    <row r="10" spans="1:3" x14ac:dyDescent="0.4">
      <c r="A10" s="85">
        <v>46090.869409722225</v>
      </c>
      <c r="B10" s="1" t="s">
        <v>313</v>
      </c>
      <c r="C10" s="1" t="s">
        <v>316</v>
      </c>
    </row>
    <row r="11" spans="1:3" x14ac:dyDescent="0.4">
      <c r="A11" s="85">
        <v>46092.415810185186</v>
      </c>
      <c r="B11" s="1" t="s">
        <v>313</v>
      </c>
      <c r="C11" s="1" t="s">
        <v>314</v>
      </c>
    </row>
    <row r="12" spans="1:3" x14ac:dyDescent="0.4">
      <c r="A12" s="85">
        <v>46092.415821759256</v>
      </c>
      <c r="B12" s="1" t="s">
        <v>313</v>
      </c>
      <c r="C12" s="1" t="s">
        <v>315</v>
      </c>
    </row>
    <row r="13" spans="1:3" x14ac:dyDescent="0.4">
      <c r="A13" s="85">
        <v>46092.415821759256</v>
      </c>
      <c r="B13" s="1" t="s">
        <v>313</v>
      </c>
      <c r="C13" s="1" t="s">
        <v>316</v>
      </c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2026-03-11T09:19:04Z</dcterms:modified>
</cp:coreProperties>
</file>