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02" documentId="13_ncr:1_{6F5069F1-F0E7-4440-AA6D-4AFA11BBED1B}" xr6:coauthVersionLast="47" xr6:coauthVersionMax="47" xr10:uidLastSave="{9212F668-2DA2-444F-804D-06D50913B085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" i="2" l="1"/>
  <c r="N6" i="2"/>
  <c r="E6" i="2" a="1"/>
  <c r="C6" i="2"/>
  <c r="U6" i="2" s="1"/>
  <c r="B6" i="2"/>
  <c r="T6" i="2" s="1"/>
  <c r="X41" i="6"/>
  <c r="W41" i="6"/>
  <c r="V41" i="6"/>
  <c r="U41" i="6"/>
  <c r="T41" i="6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6" i="2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X21" i="3" l="1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2" i="3" l="1"/>
  <c r="M22" i="3" s="1"/>
  <c r="L21" i="3"/>
  <c r="O19" i="3"/>
  <c r="N21" i="3" l="1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E5" i="2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L34" i="4" l="1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D6" i="2" s="1" a="1"/>
  <c r="D6" i="2" s="1"/>
  <c r="F6" i="2" s="1"/>
  <c r="T19" i="3"/>
  <c r="M19" i="3"/>
  <c r="G5" i="2" l="1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K6" i="2"/>
  <c r="L6" i="2" s="1"/>
  <c r="J6" i="2"/>
  <c r="C12" i="3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<sst xmlns="http://schemas.openxmlformats.org/spreadsheetml/2006/main" count="1165" uniqueCount="326">
  <si>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</si>
  <si>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</si>
  <si>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</si>
  <si>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</si>
  <si>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</si>
  <si>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</si>
  <si>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</si>
  <si>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</si>
  <si>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</si>
  <si>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</si>
  <si>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</si>
  <si>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</si>
  <si>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</si>
  <si>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</si>
  <si>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</si>
  <si>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</si>
  <si>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</si>
  <si>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</si>
  <si>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</si>
  <si>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</si>
  <si>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</si>
  <si>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</si>
  <si>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</si>
  <si>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</si>
  <si>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</si>
  <si>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</si>
  <si>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</si>
  <si>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</si>
  <si>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</si>
  <si>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</si>
  <si>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</si>
  <si>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</si>
  <si>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</si>
  <si>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</si>
  <si>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</si>
  <si>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</si>
  <si>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</si>
  <si>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</si>
  <si>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</si>
  <si>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</si>
  <si>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</si>
  <si>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</si>
  <si>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</si>
  <si>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</si>
  <si>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</si>
  <si>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</si>
  <si>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</si>
  <si>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</si>
  <si>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</si>
  <si>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</si>
  <si>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</si>
  <si>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</si>
  <si>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</si>
  <si>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</si>
  <si>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</si>
  <si>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</si>
  <si>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</si>
  <si>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</si>
  <si>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</si>
  <si>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</si>
  <si>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</si>
  <si>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</si>
  <si>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</si>
  <si>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</si>
  <si>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</si>
  <si>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</si>
  <si>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</si>
  <si>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</si>
  <si>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</si>
  <si>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</si>
  <si>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</si>
  <si>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</si>
  <si>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</si>
  <si>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</si>
  <si>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</si>
  <si>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</si>
  <si>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</si>
  <si>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</si>
  <si>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</si>
  <si>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</si>
  <si>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</si>
  <si>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</si>
  <si>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</si>
  <si>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</si>
  <si>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</si>
  <si>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</si>
  <si>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</si>
  <si>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</si>
  <si>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</si>
  <si>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</si>
  <si>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</si>
  <si>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</si>
  <si>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</si>
  <si>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</si>
  <si>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</si>
  <si>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</si>
  <si>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</si>
  <si>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</si>
  <si>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</si>
  <si>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</si>
  <si>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</si>
  <si>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</si>
  <si>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</si>
  <si>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</si>
  <si>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</si>
  <si>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</si>
  <si>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</si>
  <si>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</si>
  <si>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</si>
  <si>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</si>
  <si>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</si>
  <si>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</si>
  <si>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</si>
  <si>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</si>
  <si>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</si>
  <si>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</si>
  <si>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</si>
  <si>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</si>
  <si>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</si>
  <si>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</si>
  <si>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</si>
  <si>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</si>
  <si>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</si>
  <si>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</si>
  <si>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</si>
  <si>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</si>
  <si>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</si>
  <si>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</si>
  <si>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</si>
  <si>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</si>
  <si>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</si>
  <si>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</si>
  <si>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</si>
  <si>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</si>
  <si>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</si>
  <si>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</si>
  <si>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</si>
  <si>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</si>
  <si>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</si>
  <si>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</si>
  <si>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</si>
  <si>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</si>
  <si>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</si>
  <si>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</si>
  <si>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</si>
  <si>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</si>
  <si>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</si>
  <si>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</si>
  <si>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</si>
  <si>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</si>
  <si>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</si>
  <si>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</si>
  <si>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</si>
  <si>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</si>
  <si>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</si>
  <si>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</si>
  <si>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</si>
  <si>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</si>
  <si>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</si>
  <si>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</si>
  <si>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</si>
  <si>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</si>
  <si>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</si>
  <si>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</si>
  <si>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</si>
  <si>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</si>
  <si>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</si>
  <si>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</si>
  <si>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</si>
  <si>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</si>
  <si>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</si>
  <si>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</si>
  <si>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</si>
  <si>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</si>
  <si>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</si>
  <si>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</si>
  <si>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</si>
  <si>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</si>
  <si>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</si>
  <si>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</si>
  <si>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</si>
  <si>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</si>
  <si>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</si>
  <si>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</si>
  <si>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</si>
  <si>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</si>
  <si>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</si>
  <si>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</si>
  <si>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</si>
  <si>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</si>
  <si>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</si>
  <si>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</si>
  <si>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</si>
  <si>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</si>
  <si>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</si>
  <si>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</si>
  <si>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</si>
  <si>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</si>
  <si>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</si>
  <si>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</si>
  <si>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</si>
  <si>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</si>
  <si>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</si>
  <si>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</si>
  <si>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</si>
  <si>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</si>
  <si>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</si>
  <si>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</si>
  <si>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</si>
  <si>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</si>
  <si>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</si>
  <si>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</si>
  <si>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</si>
  <si>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</si>
  <si>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</si>
  <si>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</si>
  <si>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</si>
  <si>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</si>
  <si>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</si>
  <si>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</si>
  <si>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</si>
  <si>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</si>
  <si>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</si>
  <si>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</si>
  <si>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</si>
  <si>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</si>
  <si>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</si>
  <si>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</si>
  <si>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</si>
  <si>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</si>
  <si>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</si>
  <si>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</si>
  <si>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</si>
  <si>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</si>
  <si>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</si>
  <si>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</si>
  <si>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</si>
  <si>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</si>
  <si>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</si>
  <si>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</si>
  <si>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</si>
  <si>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</si>
  <si>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</si>
  <si>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</si>
  <si>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</si>
  <si>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</si>
  <si>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</si>
  <si>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</si>
  <si>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</si>
  <si>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</si>
  <si>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</si>
  <si>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</si>
  <si>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</si>
  <si>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</si>
  <si>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</si>
  <si>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</si>
  <si>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</si>
  <si>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</si>
  <si>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</si>
  <si>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</si>
  <si>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</si>
  <si>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</si>
  <si>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</si>
  <si>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</si>
  <si>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</si>
  <si>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</si>
  <si>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</si>
  <si>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</si>
  <si>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</si>
  <si>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</si>
  <si>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</si>
  <si>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</si>
  <si>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</si>
  <si>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</si>
  <si>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</si>
  <si>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</si>
  <si>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</si>
  <si>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</si>
  <si>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</si>
  <si>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</si>
  <si>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</si>
  <si>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</si>
  <si>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</si>
  <si>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</si>
  <si>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</si>
  <si>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</si>
  <si>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</si>
  <si>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</si>
  <si>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</si>
  <si>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</si>
  <si>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</si>
  <si>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</si>
  <si>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</si>
  <si>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</si>
  <si>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</si>
  <si>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</si>
  <si>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</si>
  <si>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</si>
  <si>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</si>
  <si>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</si>
  <si>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</si>
  <si>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</si>
  <si>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</si>
  <si>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</si>
  <si>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</si>
  <si>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</si>
  <si>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</si>
  <si>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</si>
  <si>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</si>
  <si>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</si>
  <si>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</si>
  <si>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</si>
  <si>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</si>
  <si>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</si>
  <si>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Close</t>
  </si>
  <si>
    <t>P</t>
  </si>
  <si>
    <t>LO</t>
  </si>
  <si>
    <t>CLM6P75260514</t>
  </si>
  <si>
    <t>CLM6P55260514</t>
  </si>
  <si>
    <t>Loaded 36 contracts from Symbols sheet.</t>
  </si>
  <si>
    <t>FOP</t>
  </si>
  <si>
    <t>LOM6 P7500</t>
  </si>
  <si>
    <t>LOM6 P5500</t>
  </si>
  <si>
    <t>Long ETH Spot</t>
  </si>
  <si>
    <t>Long CC Futures</t>
  </si>
  <si>
    <t>Long CL Put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</si>
</sst>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5.5142806320098714E-3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5.5142806320098714E-3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1005.5142806320099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  <c:pt idx="2">
                  <c:v>-2.9701000000000088E-2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  <c:pt idx="2">
                  <c:v>46102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  <c:pt idx="2">
                  <c:v>-1.9388151956566846E-2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2.9133306320099361E-3</c:v>
                </c:pt>
                <c:pt idx="2">
                  <c:v>4.513330632009982E-3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46095</v>
      </c>
    </row>
    <row r="2" spans="2:11" x14ac:dyDescent="0.4">
      <c r="B2" s="32" t="s">
        <v>108</v>
      </c>
      <c r="C2" s="37" t="s">
        <v>314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1005514.2806320098</v>
      </c>
      <c r="E3" s="47" t="s">
        <v>124</v>
      </c>
      <c r="F3" s="47" t="s">
        <v>303</v>
      </c>
      <c r="G3" s="47"/>
      <c r="H3" s="28"/>
    </row>
    <row r="4" spans="2:11" x14ac:dyDescent="0.4">
      <c r="B4" s="32" t="s">
        <v>52</v>
      </c>
      <c r="C4" s="28">
        <f>SUM(N18:N1012)</f>
        <v>5514.2806320099007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5.5142806320098714E-3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5.5142806320098714E-3</v>
      </c>
      <c r="D6" s="3"/>
      <c r="E6" s="47"/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35399.049999999952</v>
      </c>
      <c r="D7" s="3">
        <f ca="1">C7/C3</f>
        <v>3.5204920190442343E-2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40913.330632009849</v>
      </c>
      <c r="D8" s="3">
        <f ca="1">C5+D7</f>
        <v>4.0719200822452215E-2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99450</v>
      </c>
      <c r="D9" s="3">
        <f ca="1">C9/$C$3</f>
        <v>9.8904612212460385E-2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9600</v>
      </c>
      <c r="D11" s="3">
        <f t="shared" ca="1" si="0"/>
        <v>9.5473532150791331E-3</v>
      </c>
    </row>
    <row r="12" spans="2:11" x14ac:dyDescent="0.4">
      <c r="B12" s="32" t="s">
        <v>112</v>
      </c>
      <c r="C12" s="28" cm="1">
        <f t="array" ref="C12">SUM((PLB!G4:G999="O")*(PLB!E4:E999))</f>
        <v>17233.333333333332</v>
      </c>
      <c r="D12" s="3">
        <f t="shared" ca="1" si="0"/>
        <v>1.7138825042346914E-2</v>
      </c>
    </row>
    <row r="13" spans="2:11" x14ac:dyDescent="0.4">
      <c r="B13" s="32" t="s">
        <v>135</v>
      </c>
      <c r="C13" s="28">
        <f t="array" ref="C13">SUM((PLB!G4:G999="O")*(PLB!D4:D999))</f>
        <v>3991.0899999999965</v>
      </c>
      <c r="D13" s="3">
        <f t="shared" ca="1" si="0"/>
        <v>3.9692027024135559E-3</v>
      </c>
      <c r="F13" s="59"/>
      <c r="G13" s="59"/>
    </row>
    <row r="14" spans="2:11" x14ac:dyDescent="0.4">
      <c r="B14" s="32" t="s">
        <v>136</v>
      </c>
      <c r="C14" s="28">
        <f>C12+C13</f>
        <v>21224.423333333329</v>
      </c>
      <c r="D14" s="3">
        <f t="shared" ca="1" si="0"/>
        <v>2.110802774476047E-2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1000.9499999999098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123</v>
      </c>
      <c r="F19" s="10" t="s">
        <v>303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2102.25</v>
      </c>
      <c r="AB19" s="29"/>
    </row>
    <row r="20" spans="2:28" x14ac:dyDescent="0.4">
      <c r="B20" s="9" t="s">
        <v>290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3315</v>
      </c>
      <c r="M20" s="28">
        <f t="shared" ref="M20" si="9">I20*J20*L20</f>
        <v>99450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2391.0899999999965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3110</v>
      </c>
      <c r="T20" s="3">
        <f t="shared" ref="T20" si="11">IF(S20&gt;0,IF(ISNUMBER(S20/L20-1),S20/L20-1,0),0)</f>
        <v>-6.1840120663650078E-2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-0.11454087481146302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3315</v>
      </c>
      <c r="AB20" s="29"/>
    </row>
    <row r="21" spans="2:28" x14ac:dyDescent="0.4">
      <c r="B21" s="9" t="s">
        <v>317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2</v>
      </c>
      <c r="I21" s="28">
        <f t="array" ref="I21">ROUND(SUM((Trades!V$2:V$9999)*(Trades!U$2:U$9999=Blotter!B21)*(Trades!$T$2:T$9999=Blotter!C21)),8)</f>
        <v>2</v>
      </c>
      <c r="J21" s="28">
        <f>VLOOKUP(D21,Multiplier!B:D,2,0)</f>
        <v>1000</v>
      </c>
      <c r="K21" s="29">
        <f t="shared" ref="K21:K22" si="14">L21-N21/(H21*J21)</f>
        <v>5</v>
      </c>
      <c r="L21" s="29">
        <f t="shared" ref="L21:L22" si="15">IF(I21=0,IF(H21&gt;0,X21,Y21),Z21)</f>
        <v>5.35</v>
      </c>
      <c r="M21" s="28">
        <f t="shared" ref="M21:M22" si="16">I21*J21*L21</f>
        <v>10700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700</v>
      </c>
      <c r="O21" s="29">
        <f>VLOOKUP(D21,Multiplier!B:H,3,0)</f>
        <v>2.1</v>
      </c>
      <c r="P21" s="27">
        <v>5.1166666666666663</v>
      </c>
      <c r="Q21" s="27"/>
      <c r="R21" s="28">
        <f t="shared" ref="R21:R22" si="17">(1-Q21)*P21*J21*H21</f>
        <v>10233.333333333332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5</v>
      </c>
      <c r="Z21" s="35">
        <f>IF(C$2="Last",IF(ISNUMBER(VLOOKUP(B21,Prices!A:L,8,0)),VLOOKUP(B21,Prices!A:L,8,0),0),IF(ISNUMBER(VLOOKUP(B21,Prices!A:L,12,0)),VLOOKUP(B21,Prices!A:L,12,0),0))</f>
        <v>5.35</v>
      </c>
      <c r="AB21" s="29"/>
    </row>
    <row r="22" spans="2:28" x14ac:dyDescent="0.4">
      <c r="B22" s="9" t="s">
        <v>318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-2</v>
      </c>
      <c r="I22" s="28">
        <f t="array" ref="I22">ROUND(SUM((Trades!V$2:V$9999)*(Trades!U$2:U$9999=Blotter!B22)*(Trades!$T$2:T$9999=Blotter!C22)),8)</f>
        <v>-2</v>
      </c>
      <c r="J22" s="28">
        <f>VLOOKUP(D22,Multiplier!B:D,2,0)</f>
        <v>1000</v>
      </c>
      <c r="K22" s="29">
        <f t="shared" si="14"/>
        <v>1</v>
      </c>
      <c r="L22" s="29">
        <f t="shared" si="15"/>
        <v>0.55000000000000004</v>
      </c>
      <c r="M22" s="28">
        <f t="shared" si="16"/>
        <v>-1100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900</v>
      </c>
      <c r="O22" s="29">
        <f>VLOOKUP(D22,Multiplier!B:H,3,0)</f>
        <v>2.1</v>
      </c>
      <c r="P22" s="27">
        <v>1</v>
      </c>
      <c r="Q22" s="27"/>
      <c r="R22" s="28">
        <f t="shared" si="17"/>
        <v>-2000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1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0.55000000000000004</v>
      </c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12096</v>
      </c>
      <c r="H4" s="6">
        <f>-G4</f>
        <v>-12096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1000.9499999999098</v>
      </c>
      <c r="H13" s="6">
        <f>SUM(H3:H12)</f>
        <v>35399.049999999952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5514.2806320099007</v>
      </c>
      <c r="J5" s="70">
        <f t="shared" si="2"/>
        <v>1005514.2806320098</v>
      </c>
      <c r="K5" s="70">
        <f t="shared" si="3"/>
        <v>1000</v>
      </c>
      <c r="L5" s="71">
        <f t="shared" si="4"/>
        <v>1005.5142806320099</v>
      </c>
      <c r="M5" s="72">
        <f t="shared" si="5"/>
        <v>5.5142806320098714E-3</v>
      </c>
      <c r="N5" s="73">
        <f t="shared" ref="N5" si="6">L5/L4-1</f>
        <v>5.5142806320098714E-3</v>
      </c>
      <c r="O5" s="75">
        <f>STDEVP(N$4:N5)*SQRT(12)</f>
        <v>9.5510142218341171E-3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E6" sqref="E6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323</v>
      </c>
      <c r="W4" s="1" t="s">
        <v>310</v>
      </c>
      <c r="X4" s="1" t="s">
        <v>311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2391.0899999999965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0.26567666666666628</v>
      </c>
      <c r="G5" s="36" t="str">
        <f t="array" ref="G5">IF(SUM((Blotter!C$19:C$1013=PLB!C5)*(Blotter!M$19:M$1013))=0,"C","O")</f>
        <v>O</v>
      </c>
      <c r="H5" s="16">
        <f>J4+D5</f>
        <v>1002913.33063201</v>
      </c>
      <c r="I5" s="16"/>
      <c r="J5" s="16">
        <f>H5+I5</f>
        <v>1002913.33063201</v>
      </c>
      <c r="K5" s="3">
        <f>H5/J4-1</f>
        <v>2.3898419274412941E-3</v>
      </c>
      <c r="L5" s="3">
        <f>(1+K5)*(1+L4)-1</f>
        <v>2.9133306320099361E-3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324</v>
      </c>
      <c r="W5" s="1" t="s">
        <v>312</v>
      </c>
      <c r="X5" s="1" t="s">
        <v>313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1600</v>
      </c>
      <c r="E6" s="6">
        <f t="array" ref="E6">SUM((Blotter!B$19:C$1013=C6)*(Blotter!R$19:R$1013)*1)</f>
        <v>8233.3333333333321</v>
      </c>
      <c r="F6" s="30">
        <f t="shared" ref="F6" si="4">IF(ISNUMBER(D6/E6),D6/E6,0)</f>
        <v>0.19433198380566805</v>
      </c>
      <c r="G6" s="36" t="str">
        <f t="array" ref="G6">IF(SUM((Blotter!C$19:C$1013=PLB!C6)*(Blotter!M$19:M$1013))=0,"C","O")</f>
        <v>O</v>
      </c>
      <c r="H6" s="16">
        <f>J5+D6</f>
        <v>1004513.33063201</v>
      </c>
      <c r="I6" s="16"/>
      <c r="J6" s="16">
        <f>H6+I6</f>
        <v>1004513.33063201</v>
      </c>
      <c r="K6" s="3">
        <f>H6/J5-1</f>
        <v>1.5953522115332852E-3</v>
      </c>
      <c r="L6" s="3">
        <f>(1+K6)*(1+L5)-1</f>
        <v>4.513330632009982E-3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325</v>
      </c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topLeftCell="A6" zoomScale="90" zoomScaleNormal="90" workbookViewId="0">
      <selection activeCell="N42" sqref="N42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305</v>
      </c>
      <c r="B2" s="1" t="s">
        <v>59</v>
      </c>
      <c r="C2" s="1" t="s">
        <v>58</v>
      </c>
      <c r="D2" s="1" t="s">
        <v>290</v>
      </c>
      <c r="E2" s="1" t="s">
        <v>306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305</v>
      </c>
      <c r="B3" s="1" t="s">
        <v>59</v>
      </c>
      <c r="C3" s="1" t="s">
        <v>58</v>
      </c>
      <c r="D3" s="1" t="s">
        <v>290</v>
      </c>
      <c r="E3" s="1" t="s">
        <v>306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305</v>
      </c>
      <c r="B4" s="1" t="s">
        <v>59</v>
      </c>
      <c r="C4" s="1" t="s">
        <v>307</v>
      </c>
      <c r="D4" s="1" t="s">
        <v>308</v>
      </c>
      <c r="E4" s="1" t="s">
        <v>308</v>
      </c>
      <c r="G4" s="1" t="s">
        <v>309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304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304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304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304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304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304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304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304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304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304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304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304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304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304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304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304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304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304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304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D40" s="1" t="s">
        <v>317</v>
      </c>
      <c r="M40" s="1" t="s">
        <v>86</v>
      </c>
      <c r="N40" s="1">
        <v>2</v>
      </c>
      <c r="O40" s="1">
        <v>5</v>
      </c>
      <c r="T40" s="43">
        <f>IF(ISNUMBER(VLOOKUP(U40,Blotter!B:C,2,0)),VLOOKUP(U40,Blotter!B:C,2,0),"")</f>
        <v>3</v>
      </c>
      <c r="U40" s="42" t="str">
        <f t="shared" ref="U40:U41" si="16">D40</f>
        <v>CLM6P75260514</v>
      </c>
      <c r="V40" s="42">
        <f t="shared" ref="V40:V41" si="17">N40</f>
        <v>2</v>
      </c>
      <c r="W40" s="42">
        <f t="shared" ref="W40:W41" si="18">O40</f>
        <v>5</v>
      </c>
      <c r="X40" s="42">
        <f t="shared" ref="X40:X41" si="19">Q40</f>
        <v>0</v>
      </c>
    </row>
    <row r="41" spans="1:31" x14ac:dyDescent="0.4">
      <c r="D41" s="1" t="s">
        <v>318</v>
      </c>
      <c r="M41" s="1" t="s">
        <v>304</v>
      </c>
      <c r="N41" s="1">
        <v>-2</v>
      </c>
      <c r="O41" s="1">
        <v>1</v>
      </c>
      <c r="T41" s="43">
        <f>IF(ISNUMBER(VLOOKUP(U41,Blotter!B:C,2,0)),VLOOKUP(U41,Blotter!B:C,2,0),"")</f>
        <v>3</v>
      </c>
      <c r="U41" s="42" t="str">
        <f t="shared" si="16"/>
        <v>CLM6P55260514</v>
      </c>
      <c r="V41" s="42">
        <f t="shared" si="17"/>
        <v>-2</v>
      </c>
      <c r="W41" s="42">
        <f t="shared" si="18"/>
        <v>1</v>
      </c>
      <c r="X41" s="42">
        <f t="shared" si="19"/>
        <v>0</v>
      </c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topLeftCell="A11" workbookViewId="0">
      <selection activeCell="B36" sqref="B36:B37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253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 t="s">
        <v>205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290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259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254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255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256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257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258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261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262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298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317</v>
      </c>
      <c r="C36" s="88" t="s">
        <v>320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315</v>
      </c>
      <c r="J36" s="88">
        <v>1000</v>
      </c>
      <c r="K36" s="88" t="s">
        <v>316</v>
      </c>
      <c r="M36" s="88"/>
    </row>
    <row r="37" spans="1:13" x14ac:dyDescent="0.4">
      <c r="A37" s="88">
        <v>1</v>
      </c>
      <c r="B37" s="9" t="s">
        <v>318</v>
      </c>
      <c r="C37" s="88" t="s">
        <v>320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315</v>
      </c>
      <c r="J37" s="88">
        <v>1000</v>
      </c>
      <c r="K37" s="88" t="s">
        <v>316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3" workbookViewId="0">
      <selection activeCell="A38" sqref="A38:W238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263</v>
      </c>
      <c r="F2" s="81" t="s">
        <v>79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6727.25</v>
      </c>
      <c r="M2" s="91">
        <v>6735.5</v>
      </c>
      <c r="N2" s="91"/>
      <c r="O2" s="91"/>
      <c r="P2" s="91">
        <v>0</v>
      </c>
      <c r="Q2" s="91"/>
      <c r="R2" s="91"/>
      <c r="S2" s="91"/>
      <c r="T2" s="91"/>
      <c r="U2" s="91"/>
      <c r="V2" s="85">
        <v>46095.373206018521</v>
      </c>
      <c r="W2" s="81" t="s">
        <v>264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265</v>
      </c>
      <c r="F3" s="81" t="s">
        <v>79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24773.5</v>
      </c>
      <c r="M3" s="91">
        <v>24783.5</v>
      </c>
      <c r="N3" s="91"/>
      <c r="O3" s="91"/>
      <c r="P3" s="91">
        <v>0</v>
      </c>
      <c r="Q3" s="91"/>
      <c r="R3" s="91"/>
      <c r="S3" s="91"/>
      <c r="T3" s="91"/>
      <c r="U3" s="91"/>
      <c r="V3" s="85">
        <v>46095.373206018521</v>
      </c>
      <c r="W3" s="81" t="s">
        <v>264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266</v>
      </c>
      <c r="F4" s="81" t="s">
        <v>79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2507</v>
      </c>
      <c r="M4" s="91">
        <v>2511.5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46095.373206018521</v>
      </c>
      <c r="W4" s="81" t="s">
        <v>264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267</v>
      </c>
      <c r="F5" s="81" t="s">
        <v>80</v>
      </c>
      <c r="G5" s="81" t="s">
        <v>56</v>
      </c>
      <c r="H5" s="91"/>
      <c r="I5" s="91">
        <v>-1</v>
      </c>
      <c r="J5" s="91">
        <v>-1</v>
      </c>
      <c r="K5" s="91">
        <v>-1</v>
      </c>
      <c r="L5" s="91">
        <v>23796</v>
      </c>
      <c r="M5" s="91"/>
      <c r="N5" s="91"/>
      <c r="O5" s="91"/>
      <c r="P5" s="91">
        <v>0</v>
      </c>
      <c r="Q5" s="91"/>
      <c r="R5" s="91"/>
      <c r="S5" s="91"/>
      <c r="T5" s="91"/>
      <c r="U5" s="91"/>
      <c r="V5" s="85">
        <v>46095.373206018521</v>
      </c>
      <c r="W5" s="81" t="s">
        <v>264</v>
      </c>
      <c r="X5" s="81"/>
      <c r="Y5" s="81"/>
      <c r="Z5" s="81"/>
    </row>
    <row r="6" spans="1:32" x14ac:dyDescent="0.4">
      <c r="A6" s="81" t="s">
        <v>260</v>
      </c>
      <c r="B6" s="81">
        <v>635680486</v>
      </c>
      <c r="C6" s="81" t="s">
        <v>58</v>
      </c>
      <c r="D6" s="81" t="s">
        <v>62</v>
      </c>
      <c r="E6" s="81" t="s">
        <v>296</v>
      </c>
      <c r="F6" s="81" t="s">
        <v>79</v>
      </c>
      <c r="G6" s="81" t="s">
        <v>57</v>
      </c>
      <c r="H6" s="91">
        <v>0</v>
      </c>
      <c r="I6" s="91">
        <v>0</v>
      </c>
      <c r="J6" s="91">
        <v>0</v>
      </c>
      <c r="K6" s="91">
        <v>0</v>
      </c>
      <c r="L6" s="91">
        <v>53570</v>
      </c>
      <c r="M6" s="91">
        <v>53540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46095.373206018521</v>
      </c>
      <c r="W6" s="81" t="s">
        <v>264</v>
      </c>
      <c r="X6" s="81"/>
      <c r="Y6" s="81"/>
      <c r="Z6" s="81"/>
    </row>
    <row r="7" spans="1:32" x14ac:dyDescent="0.4">
      <c r="A7" s="1" t="s">
        <v>176</v>
      </c>
      <c r="B7" s="1">
        <v>304037436</v>
      </c>
      <c r="C7" s="1" t="s">
        <v>58</v>
      </c>
      <c r="D7" s="1" t="s">
        <v>24</v>
      </c>
      <c r="E7" s="1" t="s">
        <v>268</v>
      </c>
      <c r="F7" s="1" t="s">
        <v>60</v>
      </c>
      <c r="G7" s="1" t="s">
        <v>59</v>
      </c>
      <c r="H7" s="93">
        <v>-1</v>
      </c>
      <c r="I7" s="93">
        <v>-1</v>
      </c>
      <c r="J7" s="93">
        <v>-1</v>
      </c>
      <c r="K7" s="93">
        <v>-1</v>
      </c>
      <c r="L7" s="93">
        <v>95.73</v>
      </c>
      <c r="M7" s="93">
        <v>0</v>
      </c>
      <c r="N7" s="93"/>
      <c r="O7" s="93"/>
      <c r="P7" s="93">
        <v>0</v>
      </c>
      <c r="Q7" s="93"/>
      <c r="R7" s="93"/>
      <c r="S7" s="93"/>
      <c r="T7" s="93"/>
      <c r="U7" s="93"/>
      <c r="V7" s="92">
        <v>46095.373206018521</v>
      </c>
      <c r="W7" s="1" t="s">
        <v>264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269</v>
      </c>
      <c r="F8" s="1" t="s">
        <v>60</v>
      </c>
      <c r="G8" s="1" t="s">
        <v>59</v>
      </c>
      <c r="H8" s="93">
        <v>3.2559999999999998</v>
      </c>
      <c r="I8" s="93">
        <v>-1</v>
      </c>
      <c r="J8" s="93">
        <v>-1</v>
      </c>
      <c r="K8" s="93">
        <v>-1</v>
      </c>
      <c r="L8" s="93">
        <v>3.3519999999999999</v>
      </c>
      <c r="M8" s="93">
        <v>0</v>
      </c>
      <c r="N8" s="93">
        <v>3.4119999999999999</v>
      </c>
      <c r="O8" s="93">
        <v>3.2349999999999999</v>
      </c>
      <c r="P8" s="93">
        <v>35249</v>
      </c>
      <c r="Q8" s="93"/>
      <c r="R8" s="93"/>
      <c r="S8" s="93"/>
      <c r="T8" s="93"/>
      <c r="U8" s="93"/>
      <c r="V8" s="92">
        <v>46095.373206018521</v>
      </c>
      <c r="W8" s="1" t="s">
        <v>264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270</v>
      </c>
      <c r="F9" s="1" t="s">
        <v>60</v>
      </c>
      <c r="G9" s="1" t="s">
        <v>59</v>
      </c>
      <c r="H9" s="93">
        <v>-1</v>
      </c>
      <c r="I9" s="93">
        <v>-1</v>
      </c>
      <c r="J9" s="93">
        <v>-1</v>
      </c>
      <c r="K9" s="93">
        <v>-1</v>
      </c>
      <c r="L9" s="93">
        <v>2.8437000000000001</v>
      </c>
      <c r="M9" s="93">
        <v>0</v>
      </c>
      <c r="N9" s="93"/>
      <c r="O9" s="93"/>
      <c r="P9" s="93">
        <v>0</v>
      </c>
      <c r="Q9" s="93"/>
      <c r="R9" s="93"/>
      <c r="S9" s="93"/>
      <c r="T9" s="93"/>
      <c r="U9" s="93"/>
      <c r="V9" s="92">
        <v>46095.373206018521</v>
      </c>
      <c r="W9" s="1" t="s">
        <v>264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271</v>
      </c>
      <c r="F10" s="1" t="s">
        <v>81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5163.8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46095.373206018521</v>
      </c>
      <c r="W10" s="1" t="s">
        <v>264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272</v>
      </c>
      <c r="F11" s="1" t="s">
        <v>81</v>
      </c>
      <c r="G11" s="1" t="s">
        <v>59</v>
      </c>
      <c r="H11" s="93">
        <v>80.959999999999994</v>
      </c>
      <c r="I11" s="93">
        <v>-1</v>
      </c>
      <c r="J11" s="93">
        <v>-1</v>
      </c>
      <c r="K11" s="93">
        <v>-1</v>
      </c>
      <c r="L11" s="93">
        <v>85.424999999999997</v>
      </c>
      <c r="M11" s="93">
        <v>0</v>
      </c>
      <c r="N11" s="93">
        <v>85.8</v>
      </c>
      <c r="O11" s="93">
        <v>80</v>
      </c>
      <c r="P11" s="93">
        <v>322</v>
      </c>
      <c r="Q11" s="93"/>
      <c r="R11" s="93"/>
      <c r="S11" s="93"/>
      <c r="T11" s="93"/>
      <c r="U11" s="93"/>
      <c r="V11" s="92">
        <v>46095.373206018521</v>
      </c>
      <c r="W11" s="1" t="s">
        <v>264</v>
      </c>
    </row>
    <row r="12" spans="1:32" x14ac:dyDescent="0.4">
      <c r="A12" s="1" t="s">
        <v>253</v>
      </c>
      <c r="B12" s="1">
        <v>712565973</v>
      </c>
      <c r="C12" s="1" t="s">
        <v>58</v>
      </c>
      <c r="D12" s="1" t="s">
        <v>25</v>
      </c>
      <c r="E12" s="1" t="s">
        <v>273</v>
      </c>
      <c r="F12" s="1" t="s">
        <v>81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5.8955000000000002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46095.373206018521</v>
      </c>
      <c r="W12" s="1" t="s">
        <v>264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285</v>
      </c>
      <c r="F13" s="1" t="s">
        <v>82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462.5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46095.373206018521</v>
      </c>
      <c r="W13" s="1" t="s">
        <v>264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286</v>
      </c>
      <c r="F14" s="1" t="s">
        <v>82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598.5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46095.373206018521</v>
      </c>
      <c r="W14" s="1" t="s">
        <v>264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287</v>
      </c>
      <c r="F15" s="1" t="s">
        <v>82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1227.25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46095.373206018521</v>
      </c>
      <c r="W15" s="1" t="s">
        <v>264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288</v>
      </c>
      <c r="F16" s="1" t="s">
        <v>64</v>
      </c>
      <c r="G16" s="1" t="s">
        <v>59</v>
      </c>
      <c r="H16" s="93">
        <v>-100</v>
      </c>
      <c r="I16" s="93">
        <v>-100</v>
      </c>
      <c r="J16" s="93">
        <v>-100</v>
      </c>
      <c r="K16" s="93">
        <v>-100</v>
      </c>
      <c r="L16" s="93">
        <v>14.38</v>
      </c>
      <c r="M16" s="93">
        <v>0</v>
      </c>
      <c r="N16" s="93"/>
      <c r="O16" s="93"/>
      <c r="P16" s="93">
        <v>0</v>
      </c>
      <c r="Q16" s="93"/>
      <c r="R16" s="93"/>
      <c r="S16" s="93"/>
      <c r="T16" s="93"/>
      <c r="U16" s="93"/>
      <c r="V16" s="92">
        <v>46095.373206018521</v>
      </c>
      <c r="W16" s="1" t="s">
        <v>264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289</v>
      </c>
      <c r="F17" s="1" t="s">
        <v>64</v>
      </c>
      <c r="G17" s="1" t="s">
        <v>59</v>
      </c>
      <c r="H17" s="93">
        <v>-100</v>
      </c>
      <c r="I17" s="93">
        <v>-100</v>
      </c>
      <c r="J17" s="93">
        <v>-100</v>
      </c>
      <c r="K17" s="93">
        <v>-100</v>
      </c>
      <c r="L17" s="93">
        <v>291.89999999999998</v>
      </c>
      <c r="M17" s="93">
        <v>0</v>
      </c>
      <c r="N17" s="93"/>
      <c r="O17" s="93"/>
      <c r="P17" s="93">
        <v>0</v>
      </c>
      <c r="Q17" s="93"/>
      <c r="R17" s="93"/>
      <c r="S17" s="93"/>
      <c r="T17" s="93"/>
      <c r="U17" s="93"/>
      <c r="V17" s="92">
        <v>46095.373206018521</v>
      </c>
      <c r="W17" s="1" t="s">
        <v>264</v>
      </c>
    </row>
    <row r="18" spans="1:23" x14ac:dyDescent="0.4">
      <c r="A18" s="1" t="s">
        <v>290</v>
      </c>
      <c r="B18" s="1">
        <v>707621000</v>
      </c>
      <c r="C18" s="1" t="s">
        <v>58</v>
      </c>
      <c r="D18" s="1" t="s">
        <v>34</v>
      </c>
      <c r="E18" s="1" t="s">
        <v>290</v>
      </c>
      <c r="F18" s="1" t="s">
        <v>64</v>
      </c>
      <c r="G18" s="1" t="s">
        <v>59</v>
      </c>
      <c r="H18" s="93">
        <v>-1</v>
      </c>
      <c r="I18" s="93">
        <v>-1</v>
      </c>
      <c r="J18" s="93">
        <v>-1</v>
      </c>
      <c r="K18" s="93">
        <v>-1</v>
      </c>
      <c r="L18" s="93">
        <v>3315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46095.373206018521</v>
      </c>
      <c r="W18" s="1" t="s">
        <v>264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291</v>
      </c>
      <c r="F19" s="1" t="s">
        <v>64</v>
      </c>
      <c r="G19" s="1" t="s">
        <v>59</v>
      </c>
      <c r="H19" s="93">
        <v>-100</v>
      </c>
      <c r="I19" s="93">
        <v>-100</v>
      </c>
      <c r="J19" s="93">
        <v>-100</v>
      </c>
      <c r="K19" s="93">
        <v>-100</v>
      </c>
      <c r="L19" s="93">
        <v>65.14</v>
      </c>
      <c r="M19" s="93">
        <v>0</v>
      </c>
      <c r="N19" s="93"/>
      <c r="O19" s="93"/>
      <c r="P19" s="93">
        <v>0</v>
      </c>
      <c r="Q19" s="93"/>
      <c r="R19" s="93"/>
      <c r="S19" s="93"/>
      <c r="T19" s="93"/>
      <c r="U19" s="93"/>
      <c r="V19" s="92">
        <v>46095.373206018521</v>
      </c>
      <c r="W19" s="1" t="s">
        <v>264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292</v>
      </c>
      <c r="F20" s="1" t="s">
        <v>79</v>
      </c>
      <c r="G20" s="1" t="s">
        <v>59</v>
      </c>
      <c r="H20" s="93">
        <v>230.85</v>
      </c>
      <c r="I20" s="93">
        <v>-100</v>
      </c>
      <c r="J20" s="93">
        <v>-100</v>
      </c>
      <c r="K20" s="93">
        <v>-100</v>
      </c>
      <c r="L20" s="93">
        <v>231.25</v>
      </c>
      <c r="M20" s="93">
        <v>232</v>
      </c>
      <c r="N20" s="93">
        <v>232.55</v>
      </c>
      <c r="O20" s="93">
        <v>230.05</v>
      </c>
      <c r="P20" s="93">
        <v>26416</v>
      </c>
      <c r="Q20" s="93"/>
      <c r="R20" s="93"/>
      <c r="S20" s="93"/>
      <c r="T20" s="93"/>
      <c r="U20" s="93"/>
      <c r="V20" s="92">
        <v>46095.373206018521</v>
      </c>
      <c r="W20" s="1" t="s">
        <v>264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293</v>
      </c>
      <c r="F21" s="1" t="s">
        <v>79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339.92500000000001</v>
      </c>
      <c r="M21" s="93">
        <v>341.4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46095.373206018521</v>
      </c>
      <c r="W21" s="1" t="s">
        <v>264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294</v>
      </c>
      <c r="F22" s="1" t="s">
        <v>79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94.35</v>
      </c>
      <c r="M22" s="93">
        <v>94.724999999999994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46095.373206018521</v>
      </c>
      <c r="W22" s="1" t="s">
        <v>264</v>
      </c>
    </row>
    <row r="23" spans="1:23" x14ac:dyDescent="0.4">
      <c r="A23" s="1" t="s">
        <v>259</v>
      </c>
      <c r="B23" s="1">
        <v>792232100</v>
      </c>
      <c r="C23" s="1" t="s">
        <v>58</v>
      </c>
      <c r="D23" s="1" t="s">
        <v>38</v>
      </c>
      <c r="E23" s="1" t="s">
        <v>274</v>
      </c>
      <c r="F23" s="1" t="s">
        <v>64</v>
      </c>
      <c r="G23" s="1" t="s">
        <v>59</v>
      </c>
      <c r="H23" s="93">
        <v>100.16</v>
      </c>
      <c r="I23" s="93">
        <v>-1</v>
      </c>
      <c r="J23" s="93">
        <v>-1</v>
      </c>
      <c r="K23" s="93">
        <v>-1</v>
      </c>
      <c r="L23" s="93">
        <v>99.504999999999995</v>
      </c>
      <c r="M23" s="93">
        <v>0</v>
      </c>
      <c r="N23" s="93"/>
      <c r="O23" s="93"/>
      <c r="P23" s="93">
        <v>0</v>
      </c>
      <c r="Q23" s="93"/>
      <c r="R23" s="93"/>
      <c r="S23" s="93"/>
      <c r="T23" s="93"/>
      <c r="U23" s="93"/>
      <c r="V23" s="92">
        <v>46095.373206018521</v>
      </c>
      <c r="W23" s="1" t="s">
        <v>264</v>
      </c>
    </row>
    <row r="24" spans="1:23" x14ac:dyDescent="0.4">
      <c r="A24" s="1" t="s">
        <v>254</v>
      </c>
      <c r="B24" s="1">
        <v>496647057</v>
      </c>
      <c r="C24" s="1" t="s">
        <v>58</v>
      </c>
      <c r="D24" s="1" t="s">
        <v>56</v>
      </c>
      <c r="E24" s="1" t="s">
        <v>275</v>
      </c>
      <c r="F24" s="1" t="s">
        <v>79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1.15635</v>
      </c>
      <c r="M24" s="93">
        <v>1.1560999999999999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46095.373206018521</v>
      </c>
      <c r="W24" s="1" t="s">
        <v>264</v>
      </c>
    </row>
    <row r="25" spans="1:23" x14ac:dyDescent="0.4">
      <c r="A25" s="1" t="s">
        <v>255</v>
      </c>
      <c r="B25" s="1">
        <v>496647091</v>
      </c>
      <c r="C25" s="1" t="s">
        <v>58</v>
      </c>
      <c r="D25" s="1" t="s">
        <v>74</v>
      </c>
      <c r="E25" s="1" t="s">
        <v>276</v>
      </c>
      <c r="F25" s="1" t="s">
        <v>79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1.3341000000000001</v>
      </c>
      <c r="M25" s="93">
        <v>1.3338000000000001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46095.373206018521</v>
      </c>
      <c r="W25" s="1" t="s">
        <v>264</v>
      </c>
    </row>
    <row r="26" spans="1:23" x14ac:dyDescent="0.4">
      <c r="A26" s="1" t="s">
        <v>256</v>
      </c>
      <c r="B26" s="1">
        <v>496647108</v>
      </c>
      <c r="C26" s="1" t="s">
        <v>58</v>
      </c>
      <c r="D26" s="1" t="s">
        <v>57</v>
      </c>
      <c r="E26" s="1" t="s">
        <v>277</v>
      </c>
      <c r="F26" s="1" t="s">
        <v>79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6.3229999999999996E-3</v>
      </c>
      <c r="M26" s="93">
        <v>6.3210000000000002E-3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46095.373206018521</v>
      </c>
      <c r="W26" s="1" t="s">
        <v>264</v>
      </c>
    </row>
    <row r="27" spans="1:23" x14ac:dyDescent="0.4">
      <c r="A27" s="1" t="s">
        <v>257</v>
      </c>
      <c r="B27" s="1">
        <v>496879111</v>
      </c>
      <c r="C27" s="1" t="s">
        <v>58</v>
      </c>
      <c r="D27" s="1" t="s">
        <v>76</v>
      </c>
      <c r="E27" s="1" t="s">
        <v>278</v>
      </c>
      <c r="F27" s="1" t="s">
        <v>79</v>
      </c>
      <c r="G27" s="1" t="s">
        <v>59</v>
      </c>
      <c r="H27" s="93">
        <v>0.7319</v>
      </c>
      <c r="I27" s="93">
        <v>-1</v>
      </c>
      <c r="J27" s="93">
        <v>-1</v>
      </c>
      <c r="K27" s="93">
        <v>-1</v>
      </c>
      <c r="L27" s="93">
        <v>0.73709999999999998</v>
      </c>
      <c r="M27" s="93">
        <v>0.73604999999999998</v>
      </c>
      <c r="N27" s="93">
        <v>0.73709999999999998</v>
      </c>
      <c r="O27" s="93">
        <v>0.73065000000000002</v>
      </c>
      <c r="P27" s="93">
        <v>162821</v>
      </c>
      <c r="Q27" s="93"/>
      <c r="R27" s="93"/>
      <c r="S27" s="93"/>
      <c r="T27" s="93"/>
      <c r="U27" s="93"/>
      <c r="V27" s="92">
        <v>46095.373206018521</v>
      </c>
      <c r="W27" s="1" t="s">
        <v>264</v>
      </c>
    </row>
    <row r="28" spans="1:23" x14ac:dyDescent="0.4">
      <c r="A28" s="1" t="s">
        <v>258</v>
      </c>
      <c r="B28" s="1">
        <v>496647009</v>
      </c>
      <c r="C28" s="1" t="s">
        <v>58</v>
      </c>
      <c r="D28" s="1" t="s">
        <v>78</v>
      </c>
      <c r="E28" s="1" t="s">
        <v>279</v>
      </c>
      <c r="F28" s="1" t="s">
        <v>79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0.70720000000000005</v>
      </c>
      <c r="M28" s="93">
        <v>0.70684999999999998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46095.373206018521</v>
      </c>
      <c r="W28" s="1" t="s">
        <v>264</v>
      </c>
    </row>
    <row r="29" spans="1:23" x14ac:dyDescent="0.4">
      <c r="A29" s="1" t="s">
        <v>261</v>
      </c>
      <c r="B29" s="1">
        <v>815824224</v>
      </c>
      <c r="C29" s="1" t="s">
        <v>58</v>
      </c>
      <c r="D29" s="1" t="s">
        <v>46</v>
      </c>
      <c r="E29" s="1" t="s">
        <v>280</v>
      </c>
      <c r="F29" s="1" t="s">
        <v>82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114.15625</v>
      </c>
      <c r="M29" s="93">
        <v>114.125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46095.373206018521</v>
      </c>
      <c r="W29" s="1" t="s">
        <v>264</v>
      </c>
    </row>
    <row r="30" spans="1:23" x14ac:dyDescent="0.4">
      <c r="A30" s="1" t="s">
        <v>262</v>
      </c>
      <c r="B30" s="1">
        <v>815824229</v>
      </c>
      <c r="C30" s="1" t="s">
        <v>58</v>
      </c>
      <c r="D30" s="1" t="s">
        <v>67</v>
      </c>
      <c r="E30" s="1" t="s">
        <v>295</v>
      </c>
      <c r="F30" s="1" t="s">
        <v>82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111.40625</v>
      </c>
      <c r="M30" s="93">
        <v>111.5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46095.373206018521</v>
      </c>
      <c r="W30" s="1" t="s">
        <v>264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297</v>
      </c>
      <c r="F31" s="1" t="s">
        <v>80</v>
      </c>
      <c r="G31" s="1" t="s">
        <v>56</v>
      </c>
      <c r="H31" s="93"/>
      <c r="I31" s="93">
        <v>-1</v>
      </c>
      <c r="J31" s="93">
        <v>-1</v>
      </c>
      <c r="K31" s="93">
        <v>-1</v>
      </c>
      <c r="L31" s="93">
        <v>126.16</v>
      </c>
      <c r="M31" s="93">
        <v>125.94</v>
      </c>
      <c r="N31" s="93"/>
      <c r="O31" s="93"/>
      <c r="P31" s="93">
        <v>0</v>
      </c>
      <c r="Q31" s="93"/>
      <c r="R31" s="93"/>
      <c r="S31" s="93"/>
      <c r="T31" s="93"/>
      <c r="U31" s="93"/>
      <c r="V31" s="92">
        <v>46095.373206018521</v>
      </c>
      <c r="W31" s="1" t="s">
        <v>264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281</v>
      </c>
      <c r="F32" s="1" t="s">
        <v>80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109.2</v>
      </c>
      <c r="M32" s="93">
        <v>108.74</v>
      </c>
      <c r="N32" s="93"/>
      <c r="O32" s="93"/>
      <c r="P32" s="93">
        <v>0</v>
      </c>
      <c r="Q32" s="93"/>
      <c r="R32" s="93"/>
      <c r="S32" s="93"/>
      <c r="T32" s="93"/>
      <c r="U32" s="93"/>
      <c r="V32" s="92">
        <v>46095.373206018521</v>
      </c>
      <c r="W32" s="1" t="s">
        <v>264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282</v>
      </c>
      <c r="F33" s="1" t="s">
        <v>80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117.8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46095.373206018521</v>
      </c>
      <c r="W33" s="1" t="s">
        <v>264</v>
      </c>
    </row>
    <row r="34" spans="1:23" x14ac:dyDescent="0.4">
      <c r="A34" s="1" t="s">
        <v>298</v>
      </c>
      <c r="B34" s="1">
        <v>479624278</v>
      </c>
      <c r="C34" s="1" t="s">
        <v>187</v>
      </c>
      <c r="D34" s="1" t="s">
        <v>44</v>
      </c>
      <c r="E34" s="1" t="s">
        <v>283</v>
      </c>
      <c r="F34" s="1" t="s">
        <v>191</v>
      </c>
      <c r="G34" s="1" t="s">
        <v>59</v>
      </c>
      <c r="H34" s="93">
        <v>70599</v>
      </c>
      <c r="I34" s="93">
        <v>70598.75</v>
      </c>
      <c r="J34" s="93">
        <v>70599</v>
      </c>
      <c r="K34" s="93">
        <v>70598.875</v>
      </c>
      <c r="L34" s="93">
        <v>71166.25</v>
      </c>
      <c r="M34" s="93"/>
      <c r="N34" s="93">
        <v>74370</v>
      </c>
      <c r="O34" s="93">
        <v>69650</v>
      </c>
      <c r="P34" s="93">
        <v>111.98166509000001</v>
      </c>
      <c r="Q34" s="93"/>
      <c r="R34" s="93"/>
      <c r="S34" s="93"/>
      <c r="T34" s="93"/>
      <c r="U34" s="93"/>
      <c r="V34" s="92">
        <v>46095.373206018521</v>
      </c>
      <c r="W34" s="1" t="s">
        <v>264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284</v>
      </c>
      <c r="F35" s="1" t="s">
        <v>191</v>
      </c>
      <c r="G35" s="1" t="s">
        <v>59</v>
      </c>
      <c r="H35" s="93">
        <v>2078</v>
      </c>
      <c r="I35" s="93">
        <v>2078</v>
      </c>
      <c r="J35" s="93">
        <v>2078.0500000000002</v>
      </c>
      <c r="K35" s="93">
        <v>2078.0250000000001</v>
      </c>
      <c r="L35" s="93">
        <v>2102.25</v>
      </c>
      <c r="M35" s="93"/>
      <c r="N35" s="93">
        <v>2209.4499999999998</v>
      </c>
      <c r="O35" s="93">
        <v>2056.1</v>
      </c>
      <c r="P35" s="93">
        <v>824.96082965999994</v>
      </c>
      <c r="Q35" s="93"/>
      <c r="R35" s="93"/>
      <c r="S35" s="93"/>
      <c r="T35" s="93"/>
      <c r="U35" s="93"/>
      <c r="V35" s="92">
        <v>46095.373206018521</v>
      </c>
      <c r="W35" s="1" t="s">
        <v>264</v>
      </c>
    </row>
    <row r="36" spans="1:23" x14ac:dyDescent="0.4">
      <c r="A36" s="1" t="s">
        <v>317</v>
      </c>
      <c r="B36" s="1">
        <v>297507399</v>
      </c>
      <c r="C36" s="1" t="s">
        <v>320</v>
      </c>
      <c r="D36" s="1" t="s">
        <v>24</v>
      </c>
      <c r="E36" s="1" t="s">
        <v>321</v>
      </c>
      <c r="F36" s="1" t="s">
        <v>60</v>
      </c>
      <c r="G36" s="1" t="s">
        <v>59</v>
      </c>
      <c r="H36" s="93">
        <v>4.3</v>
      </c>
      <c r="I36" s="93">
        <v>-1</v>
      </c>
      <c r="J36" s="93">
        <v>-1</v>
      </c>
      <c r="K36" s="93">
        <v>-1</v>
      </c>
      <c r="L36" s="93">
        <v>5.35</v>
      </c>
      <c r="M36" s="93"/>
      <c r="N36" s="93">
        <v>5.1100000000000003</v>
      </c>
      <c r="O36" s="93">
        <v>3.76</v>
      </c>
      <c r="P36" s="93">
        <v>1957</v>
      </c>
      <c r="Q36" s="93">
        <v>0.79716026823882513</v>
      </c>
      <c r="R36" s="93">
        <v>-0.21376024026296289</v>
      </c>
      <c r="S36" s="93">
        <v>9.7170641044802848E-3</v>
      </c>
      <c r="T36" s="93">
        <v>0.1050583423512963</v>
      </c>
      <c r="U36" s="93">
        <v>-6.7162337566242236E-2</v>
      </c>
      <c r="V36" s="92">
        <v>46095.373206018521</v>
      </c>
      <c r="W36" s="1" t="s">
        <v>264</v>
      </c>
    </row>
    <row r="37" spans="1:23" x14ac:dyDescent="0.4">
      <c r="A37" s="1" t="s">
        <v>318</v>
      </c>
      <c r="B37" s="1">
        <v>297509218</v>
      </c>
      <c r="C37" s="1" t="s">
        <v>320</v>
      </c>
      <c r="D37" s="1" t="s">
        <v>24</v>
      </c>
      <c r="E37" s="1" t="s">
        <v>322</v>
      </c>
      <c r="F37" s="1" t="s">
        <v>60</v>
      </c>
      <c r="G37" s="1" t="s">
        <v>59</v>
      </c>
      <c r="H37" s="93">
        <v>0.5</v>
      </c>
      <c r="I37" s="93">
        <v>-1</v>
      </c>
      <c r="J37" s="93">
        <v>-1</v>
      </c>
      <c r="K37" s="93">
        <v>-1</v>
      </c>
      <c r="L37" s="93">
        <v>0.55000000000000004</v>
      </c>
      <c r="M37" s="93"/>
      <c r="N37" s="93">
        <v>0.55000000000000004</v>
      </c>
      <c r="O37" s="93">
        <v>0.39</v>
      </c>
      <c r="P37" s="93">
        <v>390</v>
      </c>
      <c r="Q37" s="93">
        <v>0.78003273026450248</v>
      </c>
      <c r="R37" s="93">
        <v>-3.7228576152962482E-2</v>
      </c>
      <c r="S37" s="93">
        <v>2.7816999846245593E-3</v>
      </c>
      <c r="T37" s="93">
        <v>3.0357650321152063E-2</v>
      </c>
      <c r="U37" s="93">
        <v>-1.6835601338734796E-2</v>
      </c>
      <c r="V37" s="92">
        <v>46095.373206018521</v>
      </c>
      <c r="W37" s="1" t="s">
        <v>264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>
        <v>46086.543078703704</v>
      </c>
      <c r="B2" s="84" t="s">
        <v>299</v>
      </c>
      <c r="C2" s="84" t="s">
        <v>300</v>
      </c>
    </row>
    <row r="3" spans="1:3" x14ac:dyDescent="0.4">
      <c r="A3" s="87">
        <v>46086.543090277781</v>
      </c>
      <c r="B3" s="84" t="s">
        <v>299</v>
      </c>
      <c r="C3" s="84" t="s">
        <v>301</v>
      </c>
    </row>
    <row r="4" spans="1:3" x14ac:dyDescent="0.4">
      <c r="A4" s="87">
        <v>46086.54310185185</v>
      </c>
      <c r="B4" s="84" t="s">
        <v>299</v>
      </c>
      <c r="C4" s="84" t="s">
        <v>302</v>
      </c>
    </row>
    <row r="5" spans="1:3" x14ac:dyDescent="0.4">
      <c r="A5" s="85">
        <v>46090.383530092593</v>
      </c>
      <c r="B5" s="1" t="s">
        <v>299</v>
      </c>
      <c r="C5" s="1" t="s">
        <v>300</v>
      </c>
    </row>
    <row r="6" spans="1:3" x14ac:dyDescent="0.4">
      <c r="A6" s="85">
        <v>46090.38354166667</v>
      </c>
      <c r="B6" s="1" t="s">
        <v>299</v>
      </c>
      <c r="C6" s="1" t="s">
        <v>301</v>
      </c>
    </row>
    <row r="7" spans="1:3" x14ac:dyDescent="0.4">
      <c r="A7" s="85">
        <v>46090.38354166667</v>
      </c>
      <c r="B7" s="81" t="s">
        <v>299</v>
      </c>
      <c r="C7" s="81" t="s">
        <v>302</v>
      </c>
    </row>
    <row r="8" spans="1:3" x14ac:dyDescent="0.4">
      <c r="A8" s="85">
        <v>46090.869409722225</v>
      </c>
      <c r="B8" s="81" t="s">
        <v>299</v>
      </c>
      <c r="C8" s="81" t="s">
        <v>300</v>
      </c>
    </row>
    <row r="9" spans="1:3" x14ac:dyDescent="0.4">
      <c r="A9" s="85">
        <v>46090.869409722225</v>
      </c>
      <c r="B9" s="81" t="s">
        <v>299</v>
      </c>
      <c r="C9" s="81" t="s">
        <v>301</v>
      </c>
    </row>
    <row r="10" spans="1:3" x14ac:dyDescent="0.4">
      <c r="A10" s="85">
        <v>46090.869409722225</v>
      </c>
      <c r="B10" s="1" t="s">
        <v>299</v>
      </c>
      <c r="C10" s="1" t="s">
        <v>302</v>
      </c>
    </row>
    <row r="11" spans="1:3" x14ac:dyDescent="0.4">
      <c r="A11" s="85">
        <v>46092.415810185186</v>
      </c>
      <c r="B11" s="1" t="s">
        <v>299</v>
      </c>
      <c r="C11" s="1" t="s">
        <v>300</v>
      </c>
    </row>
    <row r="12" spans="1:3" x14ac:dyDescent="0.4">
      <c r="A12" s="85">
        <v>46092.415821759256</v>
      </c>
      <c r="B12" s="1" t="s">
        <v>299</v>
      </c>
      <c r="C12" s="1" t="s">
        <v>301</v>
      </c>
    </row>
    <row r="13" spans="1:3" x14ac:dyDescent="0.4">
      <c r="A13" s="85">
        <v>46092.415821759256</v>
      </c>
      <c r="B13" s="1" t="s">
        <v>299</v>
      </c>
      <c r="C13" s="1" t="s">
        <v>302</v>
      </c>
    </row>
    <row r="14" spans="1:3" x14ac:dyDescent="0.4">
      <c r="A14" s="85">
        <v>46095.370937500003</v>
      </c>
      <c r="B14" s="1" t="s">
        <v>299</v>
      </c>
      <c r="C14" s="1" t="s">
        <v>300</v>
      </c>
    </row>
    <row r="15" spans="1:3" x14ac:dyDescent="0.4">
      <c r="A15" s="85">
        <v>46095.370949074073</v>
      </c>
      <c r="B15" s="1" t="s">
        <v>299</v>
      </c>
      <c r="C15" s="1" t="s">
        <v>301</v>
      </c>
    </row>
    <row r="16" spans="1:3" x14ac:dyDescent="0.4">
      <c r="A16" s="85">
        <v>46095.370949074073</v>
      </c>
      <c r="B16" s="1" t="s">
        <v>299</v>
      </c>
      <c r="C16" s="1" t="s">
        <v>319</v>
      </c>
    </row>
    <row r="17" spans="1:3" x14ac:dyDescent="0.4">
      <c r="A17" s="85">
        <v>46095.371539351851</v>
      </c>
      <c r="B17" s="1" t="s">
        <v>299</v>
      </c>
      <c r="C17" s="1" t="s">
        <v>300</v>
      </c>
    </row>
    <row r="18" spans="1:3" x14ac:dyDescent="0.4">
      <c r="A18" s="85">
        <v>46095.371539351851</v>
      </c>
      <c r="B18" s="1" t="s">
        <v>299</v>
      </c>
      <c r="C18" s="1" t="s">
        <v>301</v>
      </c>
    </row>
    <row r="19" spans="1:3" x14ac:dyDescent="0.4">
      <c r="A19" s="85">
        <v>46095.371539351851</v>
      </c>
      <c r="B19" s="1" t="s">
        <v>299</v>
      </c>
      <c r="C19" s="1" t="s">
        <v>319</v>
      </c>
    </row>
    <row r="20" spans="1:3" x14ac:dyDescent="0.4">
      <c r="A20" s="85"/>
    </row>
    <row r="21" spans="1:3" x14ac:dyDescent="0.4">
      <c r="A21" s="85"/>
    </row>
    <row r="22" spans="1:3" x14ac:dyDescent="0.4">
      <c r="A22" s="85"/>
    </row>
    <row r="23" spans="1:3" x14ac:dyDescent="0.4">
      <c r="A23" s="85"/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2026-03-14T09:00:59Z</dcterms:modified>
</cp:coreProperties>
</file>