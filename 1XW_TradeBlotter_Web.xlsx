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80" documentId="13_ncr:1_{6F5069F1-F0E7-4440-AA6D-4AFA11BBED1B}" xr6:coauthVersionLast="47" xr6:coauthVersionMax="47" xr10:uidLastSave="{1721B188-5711-4DE2-BEB0-E56C6EADEA29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DatePLB">OFFSET(PLB!$B$3,0,0,COUNTA(PLB!$B:$B),1)</definedName>
    <definedName name="DynInPLBPLB">OFFSET(PLB!$R$3,0,0,COUNTA(PLB!$R:$R)-1,1)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DynPerfPLB">OFFSET(PLB!$L$3,0,0,COUNTA(PLB!$L:$L)-1,1)</definedName>
    <definedName name="DynPLBPLB">OFFSET(PLB!$Q$3,0,0,COUNTA(PLB!$Q:$Q)-1,1)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42" i="6" l="1"/>
  <c r="W42" i="6"/>
  <c r="V42" i="6"/>
  <c r="U42" i="6"/>
  <c r="T42" i="6" s="1"/>
  <c r="Z23" i="3"/>
  <c r="O23" i="3"/>
  <c r="J23" i="3"/>
  <c r="G23" i="3"/>
  <c r="U7" i="2"/>
  <c r="T7" i="2"/>
  <c r="R7" i="2"/>
  <c r="N7" i="2"/>
  <c r="E7" i="2" a="1"/>
  <c r="C7" i="2"/>
  <c r="B7" i="2"/>
  <c r="R6" i="2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R23" i="3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I23" i="3" l="1" a="1"/>
  <c r="I23" i="3" s="1"/>
  <c r="Y23" i="3" a="1"/>
  <c r="Y23" i="3" s="1"/>
  <c r="X23" i="3" a="1"/>
  <c r="X23" i="3" s="1"/>
  <c r="X21" i="3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3" i="3" l="1"/>
  <c r="M23" i="3" s="1"/>
  <c r="L22" i="3"/>
  <c r="M22" i="3" s="1"/>
  <c r="L21" i="3"/>
  <c r="O19" i="3"/>
  <c r="S23" i="3" l="1"/>
  <c r="T23" i="3" s="1"/>
  <c r="N23" i="3" a="1"/>
  <c r="N23" i="3" s="1"/>
  <c r="K23" i="3" s="1"/>
  <c r="U23" i="3" s="1"/>
  <c r="V23" i="3" s="1"/>
  <c r="N21" i="3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E5" i="2" l="1"/>
  <c r="E7" i="2"/>
  <c r="E6" i="2"/>
  <c r="L34" i="4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T19" i="3"/>
  <c r="M19" i="3"/>
  <c r="G7" i="2" s="1" a="1"/>
  <c r="G7" i="2" s="1"/>
  <c r="D6" i="2" l="1" a="1"/>
  <c r="D6" i="2" s="1"/>
  <c r="F6" i="2" s="1"/>
  <c r="D7" i="2" a="1"/>
  <c r="D7" i="2" s="1"/>
  <c r="F7" i="2" s="1"/>
  <c r="G5" i="2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M7" i="2" s="1"/>
  <c r="K6" i="2"/>
  <c r="L6" i="2" s="1"/>
  <c r="J6" i="2"/>
  <c r="H7" i="2" s="1"/>
  <c r="C12" i="3" a="1"/>
  <c r="C12" i="3" s="1"/>
  <c r="J7" i="2" l="1"/>
  <c r="K7" i="2"/>
  <c r="L7" i="2" s="1"/>
  <c r="P7" i="2"/>
  <c r="Q7" i="2" s="1"/>
  <c r="O7" i="2"/>
  <c r="C14" i="3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<sst xmlns="http://schemas.openxmlformats.org/spreadsheetml/2006/main" count="1162" uniqueCount="328">
  <si>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</si>
  <si>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</si>
  <si>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</si>
  <si>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</si>
  <si>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</si>
  <si>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</si>
  <si>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</si>
  <si>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</si>
  <si>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</si>
  <si>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</si>
  <si>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</si>
  <si>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</si>
  <si>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</si>
  <si>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</si>
  <si>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</si>
  <si>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</si>
  <si>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</si>
  <si>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</si>
  <si>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</si>
  <si>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</si>
  <si>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</si>
  <si>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</si>
  <si>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</si>
  <si>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</si>
  <si>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</si>
  <si>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</si>
  <si>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</si>
  <si>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</si>
  <si>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</si>
  <si>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</si>
  <si>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</si>
  <si>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</si>
  <si>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</si>
  <si>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</si>
  <si>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</si>
  <si>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</si>
  <si>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</si>
  <si>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</si>
  <si>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</si>
  <si>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</si>
  <si>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</si>
  <si>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</si>
  <si>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</si>
  <si>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</si>
  <si>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</si>
  <si>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</si>
  <si>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</si>
  <si>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</si>
  <si>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</si>
  <si>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</si>
  <si>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</si>
  <si>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</si>
  <si>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</si>
  <si>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</si>
  <si>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</si>
  <si>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</si>
  <si>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</si>
  <si>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</si>
  <si>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</si>
  <si>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</si>
  <si>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</si>
  <si>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</si>
  <si>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</si>
  <si>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</si>
  <si>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</si>
  <si>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</si>
  <si>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</si>
  <si>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</si>
  <si>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</si>
  <si>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</si>
  <si>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</si>
  <si>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</si>
  <si>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</si>
  <si>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</si>
  <si>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</si>
  <si>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</si>
  <si>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</si>
  <si>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</si>
  <si>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</si>
  <si>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</si>
  <si>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</si>
  <si>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</si>
  <si>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</si>
  <si>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</si>
  <si>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</si>
  <si>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</si>
  <si>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</si>
  <si>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</si>
  <si>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</si>
  <si>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</si>
  <si>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</si>
  <si>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</si>
  <si>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</si>
  <si>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</si>
  <si>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</si>
  <si>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</si>
  <si>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</si>
  <si>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</si>
  <si>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</si>
  <si>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</si>
  <si>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</si>
  <si>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</si>
  <si>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</si>
  <si>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</si>
  <si>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</si>
  <si>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</si>
  <si>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</si>
  <si>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</si>
  <si>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</si>
  <si>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</si>
  <si>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</si>
  <si>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</si>
  <si>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</si>
  <si>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</si>
  <si>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</si>
  <si>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</si>
  <si>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</si>
  <si>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</si>
  <si>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</si>
  <si>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</si>
  <si>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</si>
  <si>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</si>
  <si>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</si>
  <si>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</si>
  <si>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</si>
  <si>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</si>
  <si>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</si>
  <si>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</si>
  <si>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</si>
  <si>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</si>
  <si>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</si>
  <si>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</si>
  <si>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</si>
  <si>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</si>
  <si>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</si>
  <si>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</si>
  <si>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</si>
  <si>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</si>
  <si>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</si>
  <si>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</si>
  <si>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</si>
  <si>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</si>
  <si>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</si>
  <si>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</si>
  <si>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</si>
  <si>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</si>
  <si>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</si>
  <si>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</si>
  <si>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</si>
  <si>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</si>
  <si>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</si>
  <si>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</si>
  <si>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</si>
  <si>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</si>
  <si>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</si>
  <si>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</si>
  <si>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</si>
  <si>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</si>
  <si>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</si>
  <si>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</si>
  <si>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</si>
  <si>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</si>
  <si>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</si>
  <si>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</si>
  <si>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</si>
  <si>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</si>
  <si>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</si>
  <si>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</si>
  <si>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</si>
  <si>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</si>
  <si>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</si>
  <si>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</si>
  <si>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</si>
  <si>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</si>
  <si>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</si>
  <si>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</si>
  <si>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</si>
  <si>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</si>
  <si>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</si>
  <si>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</si>
  <si>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</si>
  <si>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</si>
  <si>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</si>
  <si>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</si>
  <si>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</si>
  <si>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</si>
  <si>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</si>
  <si>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</si>
  <si>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</si>
  <si>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</si>
  <si>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</si>
  <si>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</si>
  <si>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</si>
  <si>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</si>
  <si>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</si>
  <si>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</si>
  <si>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</si>
  <si>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</si>
  <si>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</si>
  <si>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</si>
  <si>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</si>
  <si>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</si>
  <si>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</si>
  <si>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</si>
  <si>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</si>
  <si>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</si>
  <si>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</si>
  <si>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</si>
  <si>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</si>
  <si>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</si>
  <si>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</si>
  <si>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</si>
  <si>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</si>
  <si>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</si>
  <si>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</si>
  <si>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</si>
  <si>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</si>
  <si>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</si>
  <si>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</si>
  <si>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</si>
  <si>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</si>
  <si>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</si>
  <si>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</si>
  <si>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</si>
  <si>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</si>
  <si>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</si>
  <si>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</si>
  <si>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</si>
  <si>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</si>
  <si>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</si>
  <si>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</si>
  <si>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</si>
  <si>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</si>
  <si>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</si>
  <si>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</si>
  <si>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</si>
  <si>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</si>
  <si>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</si>
  <si>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</si>
  <si>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</si>
  <si>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</si>
  <si>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</si>
  <si>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</si>
  <si>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</si>
  <si>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</si>
  <si>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</si>
  <si>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</si>
  <si>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</si>
  <si>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</si>
  <si>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</si>
  <si>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</si>
  <si>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</si>
  <si>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</si>
  <si>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</si>
  <si>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</si>
  <si>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</si>
  <si>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</si>
  <si>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</si>
  <si>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</si>
  <si>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</si>
  <si>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</si>
  <si>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</si>
  <si>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</si>
  <si>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</si>
  <si>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</si>
  <si>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</si>
  <si>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</si>
  <si>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NGM26</t>
  </si>
  <si>
    <t>RBM6</t>
  </si>
  <si>
    <t>GCM6</t>
  </si>
  <si>
    <t>SIM6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</si>
  <si>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</si>
  <si>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</si>
  <si>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</si>
  <si>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</si>
  <si>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</si>
  <si>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</si>
  <si>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</si>
  <si>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</si>
  <si>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</si>
  <si>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</si>
  <si>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</si>
  <si>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</si>
  <si>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</si>
  <si>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</si>
  <si>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</si>
  <si>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</si>
  <si>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</si>
  <si>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</si>
  <si>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</si>
  <si>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</si>
  <si>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</si>
  <si>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</si>
  <si>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</si>
  <si>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</si>
  <si>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</si>
  <si>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</si>
  <si>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</si>
  <si>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</si>
  <si>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</si>
  <si>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</si>
  <si>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</si>
  <si>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</si>
  <si>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</si>
  <si>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</si>
  <si>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</si>
  <si>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</si>
  <si>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</si>
  <si>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</si>
  <si>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FOP</t>
  </si>
  <si>
    <t>LOM6 P7500</t>
  </si>
  <si>
    <t>LOM6 P5500</t>
  </si>
  <si>
    <t>Long ETH Spot</t>
  </si>
  <si>
    <t>Long CC Futures</t>
  </si>
  <si>
    <t>Long CL Put Spread</t>
  </si>
  <si>
    <t>CL JUN26 55 P</t>
  </si>
  <si>
    <t>CLM6</t>
  </si>
  <si>
    <t>CL JUN26 75 P</t>
  </si>
  <si>
    <t>Crypto</t>
  </si>
  <si>
    <t>NO_DATA</t>
  </si>
  <si>
    <t>Last</t>
  </si>
  <si>
    <t>Iran war de-escalation</t>
  </si>
  <si>
    <t>Massive weekly / daily blow-off</t>
  </si>
  <si>
    <t>HGK6</t>
  </si>
  <si>
    <t>Long HG Futures</t>
  </si>
  <si>
    <t>Daily 200SMA test and bounce (after H&amp;S top)</t>
  </si>
  <si>
    <t>Structural deficit (EV, AI, ore grade decay). War de-escalation and improved sentiment</t>
  </si>
  <si>
    <t>HG 27MAY26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</si>
</sst>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3.4965906320099105E-3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3.4965906320099105E-3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1003.4965906320099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6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</c:numCache>
            </c:numRef>
          </c:cat>
          <c:val>
            <c:numRef>
              <c:f>[0]!DynInPLBPLB</c:f>
              <c:numCache>
                <c:formatCode>0.00%</c:formatCode>
                <c:ptCount val="5"/>
                <c:pt idx="0">
                  <c:v>0</c:v>
                </c:pt>
                <c:pt idx="1">
                  <c:v>-1.0000000000000009E-2</c:v>
                </c:pt>
                <c:pt idx="2">
                  <c:v>-1.9900000000000029E-2</c:v>
                </c:pt>
                <c:pt idx="3">
                  <c:v>-2.9701000000000088E-2</c:v>
                </c:pt>
                <c:pt idx="4">
                  <c:v>-3.9403990000000055E-2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6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</c:numCache>
            </c:numRef>
          </c:cat>
          <c:val>
            <c:numRef>
              <c:f>[0]!DynPLBPLB</c:f>
              <c:numCache>
                <c:formatCode>0.00%</c:formatCode>
                <c:ptCount val="5"/>
                <c:pt idx="0">
                  <c:v>0</c:v>
                </c:pt>
                <c:pt idx="1">
                  <c:v>5.2224063201000703E-4</c:v>
                </c:pt>
                <c:pt idx="2">
                  <c:v>-9.482981774310062E-3</c:v>
                </c:pt>
                <c:pt idx="3">
                  <c:v>-1.9388151956566846E-2</c:v>
                </c:pt>
                <c:pt idx="4">
                  <c:v>-2.919427043700118E-2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[0]!DynDatePLB</c:f>
              <c:numCache>
                <c:formatCode>d\-mmm\-yy</c:formatCode>
                <c:ptCount val="6"/>
                <c:pt idx="0">
                  <c:v>46081</c:v>
                </c:pt>
                <c:pt idx="1">
                  <c:v>46088</c:v>
                </c:pt>
                <c:pt idx="2">
                  <c:v>46095</c:v>
                </c:pt>
                <c:pt idx="3">
                  <c:v>46102</c:v>
                </c:pt>
                <c:pt idx="4">
                  <c:v>46109</c:v>
                </c:pt>
              </c:numCache>
            </c:numRef>
          </c:cat>
          <c:val>
            <c:numRef>
              <c:f>[0]!DynPerfPLB</c:f>
              <c:numCache>
                <c:formatCode>0.00%</c:formatCode>
                <c:ptCount val="5"/>
                <c:pt idx="0">
                  <c:v>0</c:v>
                </c:pt>
                <c:pt idx="1">
                  <c:v>5.2224063201000703E-4</c:v>
                </c:pt>
                <c:pt idx="2">
                  <c:v>-2.4566693679900498E-3</c:v>
                </c:pt>
                <c:pt idx="3">
                  <c:v>-1.1508893679901266E-3</c:v>
                </c:pt>
                <c:pt idx="4">
                  <c:v>4.7164063200999529E-4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46106</v>
      </c>
    </row>
    <row r="2" spans="2:11" x14ac:dyDescent="0.4">
      <c r="B2" s="32" t="s">
        <v>108</v>
      </c>
      <c r="C2" s="37" t="s">
        <v>320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1003496.5906320099</v>
      </c>
      <c r="E3" s="47" t="s">
        <v>124</v>
      </c>
      <c r="F3" s="47" t="s">
        <v>296</v>
      </c>
      <c r="G3" s="47"/>
      <c r="H3" s="28"/>
    </row>
    <row r="4" spans="2:11" x14ac:dyDescent="0.4">
      <c r="B4" s="32" t="s">
        <v>52</v>
      </c>
      <c r="C4" s="28">
        <f>SUM(N18:N1012)</f>
        <v>3496.5906320099402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3.4965906320099105E-3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3.4965906320099105E-3</v>
      </c>
      <c r="D6" s="3"/>
      <c r="E6" s="47" t="s">
        <v>318</v>
      </c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34575.049999999952</v>
      </c>
      <c r="D7" s="3">
        <f ca="1">C7/C3</f>
        <v>3.4454576450752381E-2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38071.64063200989</v>
      </c>
      <c r="D8" s="3">
        <f ca="1">C5+D7</f>
        <v>3.7951167082762291E-2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232455</v>
      </c>
      <c r="D9" s="3">
        <f ca="1">C9/$C$3</f>
        <v>0.23164503215063048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10889.999999999998</v>
      </c>
      <c r="D11" s="3">
        <f t="shared" ca="1" si="0"/>
        <v>1.0852054806824399E-2</v>
      </c>
    </row>
    <row r="12" spans="2:11" x14ac:dyDescent="0.4">
      <c r="B12" s="32" t="s">
        <v>112</v>
      </c>
      <c r="C12" s="28" cm="1">
        <f t="array" ref="C12">SUM((PLB!G4:G999="O")*(PLB!E4:E999))</f>
        <v>25792.5</v>
      </c>
      <c r="D12" s="3">
        <f t="shared" ca="1" si="0"/>
        <v>2.5702628430212888E-2</v>
      </c>
    </row>
    <row r="13" spans="2:11" x14ac:dyDescent="0.4">
      <c r="B13" s="32" t="s">
        <v>135</v>
      </c>
      <c r="C13" s="28">
        <f t="array" ref="C13">SUM((PLB!G4:G999="O")*(PLB!D4:D999))</f>
        <v>-50.600000000009004</v>
      </c>
      <c r="D13" s="3">
        <f t="shared" ca="1" si="0"/>
        <v>-5.0423689001415276E-5</v>
      </c>
      <c r="F13" s="59"/>
      <c r="G13" s="59"/>
    </row>
    <row r="14" spans="2:11" x14ac:dyDescent="0.4">
      <c r="B14" s="32" t="s">
        <v>136</v>
      </c>
      <c r="C14" s="28">
        <f>C12+C13</f>
        <v>25741.899999999991</v>
      </c>
      <c r="D14" s="3">
        <f t="shared" ca="1" si="0"/>
        <v>2.5652204741211472E-2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3024.9499999999553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318</v>
      </c>
      <c r="F19" s="10" t="s">
        <v>296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2181.9499999999998</v>
      </c>
      <c r="AB19" s="29"/>
    </row>
    <row r="20" spans="2:28" x14ac:dyDescent="0.4">
      <c r="B20" s="9" t="s">
        <v>287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3136</v>
      </c>
      <c r="M20" s="28">
        <f t="shared" ref="M20" si="9">I20*J20*L20</f>
        <v>94080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-2978.9100000000035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2931</v>
      </c>
      <c r="T20" s="3">
        <f t="shared" ref="T20" si="11">IF(S20&gt;0,IF(ISNUMBER(S20/L20-1),S20/L20-1,0),0)</f>
        <v>-6.5369897959183687E-2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-6.3999681122449026E-2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3136</v>
      </c>
      <c r="AB20" s="29"/>
    </row>
    <row r="21" spans="2:28" x14ac:dyDescent="0.4">
      <c r="B21" s="9" t="s">
        <v>310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4.0999999999999996</v>
      </c>
      <c r="M21" s="28">
        <f t="shared" ref="M21:M22" si="16">I21*J21*L21</f>
        <v>12299.999999999998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1672.8899999999958</v>
      </c>
      <c r="O21" s="29">
        <f>VLOOKUP(D21,Multiplier!B:H,3,0)</f>
        <v>2.1</v>
      </c>
      <c r="P21" s="27">
        <v>3.54</v>
      </c>
      <c r="Q21" s="27"/>
      <c r="R21" s="28">
        <f t="shared" ref="R21:R22" si="17">(1-Q21)*P21*J21*H21</f>
        <v>10620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4.0999999999999996</v>
      </c>
      <c r="AB21" s="29"/>
    </row>
    <row r="22" spans="2:28" x14ac:dyDescent="0.4">
      <c r="B22" s="9" t="s">
        <v>311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0.47</v>
      </c>
      <c r="M22" s="28">
        <f t="shared" si="16"/>
        <v>-1410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-367.11000000000013</v>
      </c>
      <c r="O22" s="29">
        <f>VLOOKUP(D22,Multiplier!B:H,3,0)</f>
        <v>2.1</v>
      </c>
      <c r="P22" s="27">
        <v>0.34</v>
      </c>
      <c r="Q22" s="27"/>
      <c r="R22" s="28">
        <f t="shared" si="17"/>
        <v>-1020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0.47</v>
      </c>
      <c r="AB22" s="29"/>
    </row>
    <row r="23" spans="2:28" x14ac:dyDescent="0.4">
      <c r="B23" s="9" t="s">
        <v>323</v>
      </c>
      <c r="C23" s="10">
        <v>4</v>
      </c>
      <c r="D23" s="10" t="s">
        <v>25</v>
      </c>
      <c r="E23" s="10" t="s">
        <v>124</v>
      </c>
      <c r="F23" s="10" t="s">
        <v>6</v>
      </c>
      <c r="G23" s="28">
        <f>VLOOKUP(D23,Multiplier!B:I,8,0)</f>
        <v>2</v>
      </c>
      <c r="H23" s="11">
        <v>1</v>
      </c>
      <c r="I23" s="28">
        <f t="array" ref="I23">ROUND(SUM((Trades!V$2:V$9999)*(Trades!U$2:U$9999=Blotter!B23)*(Trades!$T$2:T$9999=Blotter!C23)),8)</f>
        <v>1</v>
      </c>
      <c r="J23" s="28">
        <f>VLOOKUP(D23,Multiplier!B:D,2,0)</f>
        <v>25000</v>
      </c>
      <c r="K23" s="29">
        <f t="shared" ref="K23" si="22">L23-N23/(H23*J23)</f>
        <v>5.4700988000000006</v>
      </c>
      <c r="L23" s="29">
        <f t="shared" ref="L23" si="23">IF(I23=0,IF(H23&gt;0,X23,Y23),Z23)</f>
        <v>5.5350000000000001</v>
      </c>
      <c r="M23" s="28">
        <f t="shared" ref="M23" si="24">I23*J23*L23</f>
        <v>138375</v>
      </c>
      <c r="N23" s="95">
        <f t="array" ref="N23">-SUM((Trades!T$2:T$9999=Blotter!C23)*(Trades!U$2:U$9999=Blotter!B23)*(Trades!V$2:V$9999)*(Trades!W$2:W$9999))*J23+SUM((Trades!T$2:T$9999=Blotter!C23)*(Trades!U$2:U$9999=Blotter!B23)*(Trades!X$2:X$9999))+(L23*I23)*J23</f>
        <v>1622.5299999999988</v>
      </c>
      <c r="O23" s="29">
        <f>VLOOKUP(D23,Multiplier!B:H,3,0)</f>
        <v>0.1918</v>
      </c>
      <c r="P23" s="27">
        <v>0.28770000000000001</v>
      </c>
      <c r="Q23" s="27"/>
      <c r="R23" s="28">
        <f t="shared" ref="R23" si="25">(1-Q23)*P23*J23*H23</f>
        <v>7192.5</v>
      </c>
      <c r="S23" s="29">
        <f t="shared" ref="S23" si="26">IF(OR(F23="Futures",F23="Spot"),IF(I23=0,0,IF(I23&gt;0,L23-O23,L23+O23)),0)</f>
        <v>5.3432000000000004</v>
      </c>
      <c r="T23" s="3">
        <f t="shared" ref="T23" si="27">IF(S23&gt;0,IF(ISNUMBER(S23/L23-1),S23/L23-1,0),0)</f>
        <v>-3.465221318879852E-2</v>
      </c>
      <c r="U23" s="29">
        <f t="shared" ref="U23" si="28">IF(OR(F23="Futures",F23="Stocks"),IF(I23=0,0,IF(I23&gt;0,K23-P23,K23+P23)),0)</f>
        <v>5.1823988000000005</v>
      </c>
      <c r="V23" s="3">
        <f t="shared" ref="V23" si="29">IF(U23&gt;0,IF(ISNUMBER(U23/L23-1),U23/L23-1,0),0)</f>
        <v>-6.3703920505871703E-2</v>
      </c>
      <c r="X23" s="34">
        <f t="array" ref="X23">IF(ISNUMBER(SUM((Trades!T$2:T$9999=Blotter!C23)*(Trades!U$2:U$9999=Blotter!B23)*(Trades!W$2:W$9999)*(Trades!V$2:V$9999)*(Trades!V$2:V$9999&lt;0))/SUM((Trades!T$2:T$9999=Blotter!C23)*(Trades!U$2:U$9999=Blotter!B23)*(Trades!V$2:V$9999)*(Trades!V$2:V$9999&lt;0))),SUM((Trades!T$2:T$9999=Blotter!C23)*(Trades!U$2:U$9999=Blotter!B23)*(Trades!W$2:W$9999)*(Trades!V$2:V$9999)*(Trades!V$2:V$9999&lt;0))/SUM((Trades!T$2:T$9999=Blotter!C23)*(Trades!U$2:U$9999=Blotter!B23)*(Trades!V$2:V$9999)*(Trades!V$2:V$9999&lt;0)),0)</f>
        <v>0</v>
      </c>
      <c r="Y23" s="34">
        <f t="array" ref="Y23">IF(ISNUMBER(SUM((Trades!T$2:T$9999=Blotter!C23)*(Trades!U$2:U$9999=Blotter!B23)*(Trades!W$2:W$9999)*(Trades!V$2:V$9999)*(Trades!V$2:V$9999&gt;0))/SUM((Trades!T$2:T$9999=Blotter!C23)*(Trades!U$2:U$9999=Blotter!B23)*(Trades!V$2:V$9999)*(Trades!V$2:V$9999&gt;0))),SUM((Trades!T$2:T$9999=Blotter!C23)*(Trades!U$2:U$9999=Blotter!B23)*(Trades!W$2:W$9999)*(Trades!V$2:V$9999)*(Trades!V$2:V$9999&gt;0))/SUM((Trades!T$2:T$9999=Blotter!C23)*(Trades!U$2:U$9999=Blotter!B23)*(Trades!V$2:V$9999)*(Trades!V$2:V$9999&gt;0)),0)</f>
        <v>5.47</v>
      </c>
      <c r="Z23" s="35">
        <f>IF(C$2="Last",IF(ISNUMBER(VLOOKUP(B23,Prices!A:L,8,0)),VLOOKUP(B23,Prices!A:L,8,0),0),IF(ISNUMBER(VLOOKUP(B23,Prices!A:L,12,0)),VLOOKUP(B23,Prices!A:L,12,0),0))</f>
        <v>5.5350000000000001</v>
      </c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12920</v>
      </c>
      <c r="H4" s="6">
        <f>-G4</f>
        <v>-12920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99</v>
      </c>
      <c r="G12" s="65">
        <f>(F12-D12)*E12</f>
        <v>1299.9999999999545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3024.9499999999553</v>
      </c>
      <c r="H13" s="6">
        <f>SUM(H3:H12)</f>
        <v>34575.049999999952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>
      <selection activeCell="J1" sqref="J1"/>
    </sheetView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3496.5906320099402</v>
      </c>
      <c r="J5" s="70">
        <f t="shared" si="2"/>
        <v>1003496.5906320099</v>
      </c>
      <c r="K5" s="70">
        <f t="shared" si="3"/>
        <v>1000</v>
      </c>
      <c r="L5" s="71">
        <f t="shared" si="4"/>
        <v>1003.4965906320099</v>
      </c>
      <c r="M5" s="72">
        <f t="shared" si="5"/>
        <v>3.4965906320099105E-3</v>
      </c>
      <c r="N5" s="73">
        <f t="shared" ref="N5" si="6">L5/L4-1</f>
        <v>3.4965906320099105E-3</v>
      </c>
      <c r="O5" s="75">
        <f>STDEVP(N$4:N5)*SQRT(12)</f>
        <v>6.0562726279105358E-3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312</v>
      </c>
      <c r="W4" s="1" t="s">
        <v>303</v>
      </c>
      <c r="X4" s="1" t="s">
        <v>304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-2978.9100000000035</v>
      </c>
      <c r="E5" s="6">
        <f t="array" ref="E5">SUM((Blotter!B$19:C$1013=C5)*(Blotter!R$19:R$1013)*1)</f>
        <v>9000</v>
      </c>
      <c r="F5" s="30">
        <f t="shared" ref="F5" si="1">IF(ISNUMBER(D5/E5),D5/E5,0)</f>
        <v>-0.3309900000000004</v>
      </c>
      <c r="G5" s="36" t="str">
        <f t="array" ref="G5">IF(SUM((Blotter!C$19:C$1013=PLB!C5)*(Blotter!M$19:M$1013))=0,"C","O")</f>
        <v>O</v>
      </c>
      <c r="H5" s="16">
        <f>J4+D5</f>
        <v>997543.33063201001</v>
      </c>
      <c r="I5" s="16"/>
      <c r="J5" s="16">
        <f>H5+I5</f>
        <v>997543.33063201001</v>
      </c>
      <c r="K5" s="3">
        <f>H5/J4-1</f>
        <v>-2.9773551041887281E-3</v>
      </c>
      <c r="L5" s="3">
        <f>(1+K5)*(1+L4)-1</f>
        <v>-2.4566693679900498E-3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313</v>
      </c>
      <c r="W5" s="1" t="s">
        <v>305</v>
      </c>
      <c r="X5" s="1" t="s">
        <v>306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1305.7799999999957</v>
      </c>
      <c r="E6" s="6">
        <f t="array" ref="E6">SUM((Blotter!B$19:C$1013=C6)*(Blotter!R$19:R$1013)*1)</f>
        <v>9600</v>
      </c>
      <c r="F6" s="30">
        <f t="shared" ref="F6" si="4">IF(ISNUMBER(D6/E6),D6/E6,0)</f>
        <v>0.13601874999999955</v>
      </c>
      <c r="G6" s="36" t="str">
        <f t="array" ref="G6">IF(SUM((Blotter!C$19:C$1013=PLB!C6)*(Blotter!M$19:M$1013))=0,"C","O")</f>
        <v>O</v>
      </c>
      <c r="H6" s="16">
        <f>J5+D6</f>
        <v>998849.11063201004</v>
      </c>
      <c r="I6" s="16"/>
      <c r="J6" s="16">
        <f>H6+I6</f>
        <v>998849.11063201004</v>
      </c>
      <c r="K6" s="3">
        <f>H6/J5-1</f>
        <v>1.3089957698104726E-3</v>
      </c>
      <c r="L6" s="3">
        <f>(1+K6)*(1+L5)-1</f>
        <v>-1.1508893679901266E-3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314</v>
      </c>
      <c r="W6" s="49" t="s">
        <v>321</v>
      </c>
      <c r="X6" s="1" t="s">
        <v>322</v>
      </c>
    </row>
    <row r="7" spans="2:28" x14ac:dyDescent="0.4">
      <c r="B7" s="40">
        <f>B6+7</f>
        <v>46109</v>
      </c>
      <c r="C7" s="5">
        <f>C6+1</f>
        <v>4</v>
      </c>
      <c r="D7" s="6">
        <f t="array" ref="D7">SUM((Blotter!C$19:C$1013=C7)*(Blotter!N$19:N$1013)*1)</f>
        <v>1622.5299999999988</v>
      </c>
      <c r="E7" s="6">
        <f t="array" ref="E7">SUM((Blotter!B$19:C$1013=C7)*(Blotter!R$19:R$1013)*1)</f>
        <v>7192.5</v>
      </c>
      <c r="F7" s="30">
        <f t="shared" ref="F7" si="7">IF(ISNUMBER(D7/E7),D7/E7,0)</f>
        <v>0.2255863746958636</v>
      </c>
      <c r="G7" s="36" t="str">
        <f t="array" ref="G7">IF(SUM((Blotter!C$19:C$1013=PLB!C7)*(Blotter!M$19:M$1013))=0,"C","O")</f>
        <v>O</v>
      </c>
      <c r="H7" s="16">
        <f>J6+D7</f>
        <v>1000471.6406320101</v>
      </c>
      <c r="I7" s="16"/>
      <c r="J7" s="16">
        <f>H7+I7</f>
        <v>1000471.6406320101</v>
      </c>
      <c r="K7" s="3">
        <f>H7/J6-1</f>
        <v>1.6243995041187453E-3</v>
      </c>
      <c r="L7" s="3">
        <f>(1+K7)*(1+L6)-1</f>
        <v>4.7164063200999529E-4</v>
      </c>
      <c r="M7" s="6">
        <f>O6-IF(G7="O",O6*1%,-D7)</f>
        <v>970805.72956299875</v>
      </c>
      <c r="N7" s="16">
        <f>I7</f>
        <v>0</v>
      </c>
      <c r="O7" s="6">
        <f>M7+N7</f>
        <v>970805.72956299875</v>
      </c>
      <c r="P7" s="3">
        <f>M7/O6-1</f>
        <v>-1.0000000000000009E-2</v>
      </c>
      <c r="Q7" s="3">
        <f>(1+P7)*(1+Q6)-1</f>
        <v>-2.919427043700118E-2</v>
      </c>
      <c r="R7" s="3">
        <f>(1-1%)*(1+R6)-1</f>
        <v>-3.9403990000000055E-2</v>
      </c>
      <c r="T7" s="40">
        <f t="shared" ref="T7" si="8">B7</f>
        <v>46109</v>
      </c>
      <c r="U7" s="5">
        <f t="shared" ref="U7" si="9">C7</f>
        <v>4</v>
      </c>
      <c r="V7" s="1" t="s">
        <v>324</v>
      </c>
      <c r="W7" s="1" t="s">
        <v>326</v>
      </c>
      <c r="X7" s="1" t="s">
        <v>325</v>
      </c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>
      <selection activeCell="A32" sqref="A32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>
      <selection activeCell="D10" sqref="D10"/>
    </sheetView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0.1918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1.3903371567605145</v>
      </c>
      <c r="I10" s="61">
        <f t="shared" si="4"/>
        <v>2</v>
      </c>
      <c r="J10" s="18">
        <v>4.03</v>
      </c>
      <c r="K10" s="3">
        <f>J10*H10*C10/$N$3</f>
        <v>0.14007646854362182</v>
      </c>
      <c r="L10" s="3">
        <f>J10*I10*C10/$N$3</f>
        <v>0.20150000000000001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298</v>
      </c>
      <c r="B2" s="1" t="s">
        <v>59</v>
      </c>
      <c r="C2" s="1" t="s">
        <v>58</v>
      </c>
      <c r="D2" s="1" t="s">
        <v>287</v>
      </c>
      <c r="E2" s="1" t="s">
        <v>299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298</v>
      </c>
      <c r="B3" s="1" t="s">
        <v>59</v>
      </c>
      <c r="C3" s="1" t="s">
        <v>58</v>
      </c>
      <c r="D3" s="1" t="s">
        <v>287</v>
      </c>
      <c r="E3" s="1" t="s">
        <v>299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298</v>
      </c>
      <c r="B4" s="1" t="s">
        <v>59</v>
      </c>
      <c r="C4" s="1" t="s">
        <v>300</v>
      </c>
      <c r="D4" s="1" t="s">
        <v>301</v>
      </c>
      <c r="E4" s="1" t="s">
        <v>301</v>
      </c>
      <c r="G4" s="1" t="s">
        <v>302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297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297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297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297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297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297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297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297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297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297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297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297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297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297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297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297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297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297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297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A40" s="1" t="s">
        <v>298</v>
      </c>
      <c r="B40" s="1" t="s">
        <v>59</v>
      </c>
      <c r="C40" s="1" t="s">
        <v>309</v>
      </c>
      <c r="D40" s="1" t="s">
        <v>311</v>
      </c>
      <c r="E40" s="1" t="s">
        <v>315</v>
      </c>
      <c r="F40" s="1" t="s">
        <v>60</v>
      </c>
      <c r="G40" s="1" t="s">
        <v>316</v>
      </c>
      <c r="H40" s="1">
        <v>1000</v>
      </c>
      <c r="I40" s="1">
        <v>55</v>
      </c>
      <c r="J40" s="44">
        <v>46156</v>
      </c>
      <c r="K40" s="1" t="s">
        <v>307</v>
      </c>
      <c r="L40" s="44">
        <v>46097</v>
      </c>
      <c r="M40" s="1" t="s">
        <v>297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298</v>
      </c>
      <c r="B41" s="1" t="s">
        <v>59</v>
      </c>
      <c r="C41" s="1" t="s">
        <v>309</v>
      </c>
      <c r="D41" s="1" t="s">
        <v>310</v>
      </c>
      <c r="E41" s="1" t="s">
        <v>317</v>
      </c>
      <c r="F41" s="1" t="s">
        <v>60</v>
      </c>
      <c r="G41" s="1" t="s">
        <v>316</v>
      </c>
      <c r="H41" s="1">
        <v>1000</v>
      </c>
      <c r="I41" s="1">
        <v>75</v>
      </c>
      <c r="J41" s="44">
        <v>46156</v>
      </c>
      <c r="K41" s="1" t="s">
        <v>307</v>
      </c>
      <c r="L41" s="44">
        <v>46097</v>
      </c>
      <c r="M41" s="1" t="s">
        <v>86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A42" s="1" t="s">
        <v>298</v>
      </c>
      <c r="B42" s="1" t="s">
        <v>59</v>
      </c>
      <c r="C42" s="1" t="s">
        <v>58</v>
      </c>
      <c r="D42" s="1" t="s">
        <v>323</v>
      </c>
      <c r="E42" s="1" t="s">
        <v>327</v>
      </c>
      <c r="F42" s="1" t="s">
        <v>81</v>
      </c>
      <c r="G42" s="1" t="s">
        <v>25</v>
      </c>
      <c r="H42" s="1">
        <v>25000</v>
      </c>
      <c r="J42" s="44">
        <v>46169</v>
      </c>
      <c r="L42" s="44">
        <v>46104</v>
      </c>
      <c r="M42" s="1" t="s">
        <v>86</v>
      </c>
      <c r="N42" s="1">
        <v>1</v>
      </c>
      <c r="O42" s="1">
        <v>5.47</v>
      </c>
      <c r="P42" s="1">
        <v>136750</v>
      </c>
      <c r="Q42" s="1">
        <v>-2.4700000000000002</v>
      </c>
      <c r="R42" s="1" t="s">
        <v>59</v>
      </c>
      <c r="T42" s="43">
        <f>IF(ISNUMBER(VLOOKUP(U42,Blotter!B:C,2,0)),VLOOKUP(U42,Blotter!B:C,2,0),"")</f>
        <v>4</v>
      </c>
      <c r="U42" s="42" t="str">
        <f t="shared" ref="U42" si="20">D42</f>
        <v>HGK6</v>
      </c>
      <c r="V42" s="42">
        <f t="shared" ref="V42" si="21">N42</f>
        <v>1</v>
      </c>
      <c r="W42" s="42">
        <f t="shared" ref="W42" si="22">O42</f>
        <v>5.47</v>
      </c>
      <c r="X42" s="42">
        <f t="shared" ref="X42" si="23">Q42</f>
        <v>-2.4700000000000002</v>
      </c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workbookViewId="0">
      <selection activeCell="G13" sqref="G13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259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323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>
        <v>202605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287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258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253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254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255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256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257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260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261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295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310</v>
      </c>
      <c r="C36" s="88" t="s">
        <v>309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307</v>
      </c>
      <c r="J36" s="88">
        <v>1000</v>
      </c>
      <c r="K36" s="88" t="s">
        <v>308</v>
      </c>
      <c r="M36" s="88"/>
    </row>
    <row r="37" spans="1:13" x14ac:dyDescent="0.4">
      <c r="A37" s="88">
        <v>1</v>
      </c>
      <c r="B37" s="9" t="s">
        <v>311</v>
      </c>
      <c r="C37" s="88" t="s">
        <v>309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307</v>
      </c>
      <c r="J37" s="88">
        <v>1000</v>
      </c>
      <c r="K37" s="88" t="s">
        <v>308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H19" sqref="H19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262</v>
      </c>
      <c r="F2" s="81" t="s">
        <v>79</v>
      </c>
      <c r="G2" s="81" t="s">
        <v>59</v>
      </c>
      <c r="H2" s="91">
        <v>6648.5</v>
      </c>
      <c r="I2" s="91">
        <v>6648.25</v>
      </c>
      <c r="J2" s="91">
        <v>6648.5</v>
      </c>
      <c r="K2" s="91">
        <v>6648.375</v>
      </c>
      <c r="L2" s="91">
        <v>6606</v>
      </c>
      <c r="M2" s="91">
        <v>6646.5</v>
      </c>
      <c r="N2" s="91">
        <v>6684.75</v>
      </c>
      <c r="O2" s="91">
        <v>6631.25</v>
      </c>
      <c r="P2" s="91">
        <v>581969</v>
      </c>
      <c r="Q2" s="91"/>
      <c r="R2" s="91"/>
      <c r="S2" s="91"/>
      <c r="T2" s="91"/>
      <c r="U2" s="91"/>
      <c r="V2" s="85">
        <v>46106.640856481485</v>
      </c>
      <c r="W2" s="81" t="s">
        <v>263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264</v>
      </c>
      <c r="F3" s="81" t="s">
        <v>79</v>
      </c>
      <c r="G3" s="81" t="s">
        <v>59</v>
      </c>
      <c r="H3" s="91">
        <v>24426.5</v>
      </c>
      <c r="I3" s="91">
        <v>24426.5</v>
      </c>
      <c r="J3" s="91">
        <v>24427.25</v>
      </c>
      <c r="K3" s="91">
        <v>24426.875</v>
      </c>
      <c r="L3" s="91">
        <v>24213.75</v>
      </c>
      <c r="M3" s="91">
        <v>24420</v>
      </c>
      <c r="N3" s="91">
        <v>24539.75</v>
      </c>
      <c r="O3" s="91">
        <v>24320.5</v>
      </c>
      <c r="P3" s="91">
        <v>209095</v>
      </c>
      <c r="Q3" s="91"/>
      <c r="R3" s="91"/>
      <c r="S3" s="91"/>
      <c r="T3" s="91"/>
      <c r="U3" s="91"/>
      <c r="V3" s="85">
        <v>46106.640856481485</v>
      </c>
      <c r="W3" s="81" t="s">
        <v>263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265</v>
      </c>
      <c r="F4" s="81" t="s">
        <v>79</v>
      </c>
      <c r="G4" s="81" t="s">
        <v>59</v>
      </c>
      <c r="H4" s="91">
        <v>2552.4</v>
      </c>
      <c r="I4" s="91">
        <v>2552</v>
      </c>
      <c r="J4" s="91">
        <v>2552.1999999999998</v>
      </c>
      <c r="K4" s="91">
        <v>2552.1</v>
      </c>
      <c r="L4" s="91">
        <v>2522.3000000000002</v>
      </c>
      <c r="M4" s="91">
        <v>2551.1</v>
      </c>
      <c r="N4" s="91">
        <v>2565.3000000000002</v>
      </c>
      <c r="O4" s="91">
        <v>2535.1999999999998</v>
      </c>
      <c r="P4" s="91">
        <v>65848</v>
      </c>
      <c r="Q4" s="91"/>
      <c r="R4" s="91"/>
      <c r="S4" s="91"/>
      <c r="T4" s="91"/>
      <c r="U4" s="91"/>
      <c r="V4" s="85">
        <v>46106.640856481485</v>
      </c>
      <c r="W4" s="81" t="s">
        <v>263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266</v>
      </c>
      <c r="F5" s="81" t="s">
        <v>80</v>
      </c>
      <c r="G5" s="81" t="s">
        <v>56</v>
      </c>
      <c r="H5" s="91">
        <v>23205</v>
      </c>
      <c r="I5" s="91">
        <v>23202</v>
      </c>
      <c r="J5" s="91">
        <v>23206</v>
      </c>
      <c r="K5" s="91">
        <v>23204</v>
      </c>
      <c r="L5" s="91">
        <v>22833</v>
      </c>
      <c r="M5" s="91">
        <v>23119</v>
      </c>
      <c r="N5" s="91">
        <v>23283</v>
      </c>
      <c r="O5" s="91">
        <v>23004</v>
      </c>
      <c r="P5" s="91">
        <v>19756</v>
      </c>
      <c r="Q5" s="91"/>
      <c r="R5" s="91"/>
      <c r="S5" s="91"/>
      <c r="T5" s="91"/>
      <c r="U5" s="91"/>
      <c r="V5" s="85">
        <v>46106.640856481485</v>
      </c>
      <c r="W5" s="81" t="s">
        <v>263</v>
      </c>
      <c r="X5" s="81"/>
      <c r="Y5" s="81"/>
      <c r="Z5" s="81"/>
    </row>
    <row r="6" spans="1:32" x14ac:dyDescent="0.4">
      <c r="A6" s="81" t="s">
        <v>259</v>
      </c>
      <c r="B6" s="81">
        <v>635680486</v>
      </c>
      <c r="C6" s="81" t="s">
        <v>58</v>
      </c>
      <c r="D6" s="81" t="s">
        <v>62</v>
      </c>
      <c r="E6" s="81" t="s">
        <v>293</v>
      </c>
      <c r="F6" s="81" t="s">
        <v>79</v>
      </c>
      <c r="G6" s="81" t="s">
        <v>57</v>
      </c>
      <c r="H6" s="91">
        <v>53605</v>
      </c>
      <c r="I6" s="91">
        <v>53600</v>
      </c>
      <c r="J6" s="91">
        <v>53610</v>
      </c>
      <c r="K6" s="91">
        <v>53605</v>
      </c>
      <c r="L6" s="91">
        <v>52420</v>
      </c>
      <c r="M6" s="91">
        <v>53060</v>
      </c>
      <c r="N6" s="91">
        <v>54125</v>
      </c>
      <c r="O6" s="91">
        <v>53030</v>
      </c>
      <c r="P6" s="91">
        <v>18174</v>
      </c>
      <c r="Q6" s="91"/>
      <c r="R6" s="91"/>
      <c r="S6" s="91"/>
      <c r="T6" s="91"/>
      <c r="U6" s="91"/>
      <c r="V6" s="85">
        <v>46106.640856481485</v>
      </c>
      <c r="W6" s="81" t="s">
        <v>263</v>
      </c>
      <c r="X6" s="81"/>
      <c r="Y6" s="81"/>
      <c r="Z6" s="81"/>
    </row>
    <row r="7" spans="1:32" x14ac:dyDescent="0.4">
      <c r="A7" s="1" t="s">
        <v>176</v>
      </c>
      <c r="B7" s="1">
        <v>0</v>
      </c>
      <c r="C7" s="1" t="s">
        <v>58</v>
      </c>
      <c r="D7" s="1" t="s">
        <v>24</v>
      </c>
      <c r="F7" s="1" t="s">
        <v>60</v>
      </c>
      <c r="G7" s="1" t="s">
        <v>59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2">
        <v>46106.640856481485</v>
      </c>
      <c r="W7" s="1" t="s">
        <v>319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267</v>
      </c>
      <c r="F8" s="1" t="s">
        <v>60</v>
      </c>
      <c r="G8" s="1" t="s">
        <v>59</v>
      </c>
      <c r="H8" s="93">
        <v>3.008</v>
      </c>
      <c r="I8" s="93">
        <v>3.0070000000000001</v>
      </c>
      <c r="J8" s="93">
        <v>3.0089999999999999</v>
      </c>
      <c r="K8" s="93">
        <v>3.008</v>
      </c>
      <c r="L8" s="93">
        <v>3.0379999999999998</v>
      </c>
      <c r="M8" s="93">
        <v>2.9940000000000002</v>
      </c>
      <c r="N8" s="93">
        <v>3.0139999999999998</v>
      </c>
      <c r="O8" s="93">
        <v>2.9550000000000001</v>
      </c>
      <c r="P8" s="93">
        <v>10032</v>
      </c>
      <c r="Q8" s="93"/>
      <c r="R8" s="93"/>
      <c r="S8" s="93"/>
      <c r="T8" s="93"/>
      <c r="U8" s="93"/>
      <c r="V8" s="92">
        <v>46106.640856481485</v>
      </c>
      <c r="W8" s="1" t="s">
        <v>263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268</v>
      </c>
      <c r="F9" s="1" t="s">
        <v>60</v>
      </c>
      <c r="G9" s="1" t="s">
        <v>59</v>
      </c>
      <c r="H9" s="93">
        <v>2.8675999999999999</v>
      </c>
      <c r="I9" s="93">
        <v>2.8675999999999999</v>
      </c>
      <c r="J9" s="93">
        <v>2.8683000000000001</v>
      </c>
      <c r="K9" s="93">
        <v>2.86795</v>
      </c>
      <c r="L9" s="93">
        <v>2.9902000000000002</v>
      </c>
      <c r="M9" s="93">
        <v>2.8841000000000001</v>
      </c>
      <c r="N9" s="93">
        <v>2.91</v>
      </c>
      <c r="O9" s="93">
        <v>2.7875999999999999</v>
      </c>
      <c r="P9" s="93">
        <v>27480</v>
      </c>
      <c r="Q9" s="93"/>
      <c r="R9" s="93"/>
      <c r="S9" s="93"/>
      <c r="T9" s="93"/>
      <c r="U9" s="93"/>
      <c r="V9" s="92">
        <v>46106.640856481485</v>
      </c>
      <c r="W9" s="1" t="s">
        <v>263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269</v>
      </c>
      <c r="F10" s="1" t="s">
        <v>81</v>
      </c>
      <c r="G10" s="1" t="s">
        <v>59</v>
      </c>
      <c r="H10" s="93">
        <v>4583.5</v>
      </c>
      <c r="I10" s="93">
        <v>4583.3</v>
      </c>
      <c r="J10" s="93">
        <v>4583.8999999999996</v>
      </c>
      <c r="K10" s="93">
        <v>4583.6000000000004</v>
      </c>
      <c r="L10" s="93">
        <v>4434.1000000000004</v>
      </c>
      <c r="M10" s="93">
        <v>4506.1000000000004</v>
      </c>
      <c r="N10" s="93">
        <v>4634</v>
      </c>
      <c r="O10" s="93">
        <v>4491.7</v>
      </c>
      <c r="P10" s="93">
        <v>55878</v>
      </c>
      <c r="Q10" s="93"/>
      <c r="R10" s="93"/>
      <c r="S10" s="93"/>
      <c r="T10" s="93"/>
      <c r="U10" s="93"/>
      <c r="V10" s="92">
        <v>46106.640856481485</v>
      </c>
      <c r="W10" s="1" t="s">
        <v>263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270</v>
      </c>
      <c r="F11" s="1" t="s">
        <v>81</v>
      </c>
      <c r="G11" s="1" t="s">
        <v>59</v>
      </c>
      <c r="H11" s="93">
        <v>72.614999999999995</v>
      </c>
      <c r="I11" s="93">
        <v>72.8</v>
      </c>
      <c r="J11" s="93">
        <v>72.84</v>
      </c>
      <c r="K11" s="93">
        <v>72.819999999999993</v>
      </c>
      <c r="L11" s="93">
        <v>69.819999999999993</v>
      </c>
      <c r="M11" s="93">
        <v>72</v>
      </c>
      <c r="N11" s="93">
        <v>74.894999999999996</v>
      </c>
      <c r="O11" s="93">
        <v>71.650000000000006</v>
      </c>
      <c r="P11" s="93">
        <v>231</v>
      </c>
      <c r="Q11" s="93"/>
      <c r="R11" s="93"/>
      <c r="S11" s="93"/>
      <c r="T11" s="93"/>
      <c r="U11" s="93"/>
      <c r="V11" s="92">
        <v>46106.640856481485</v>
      </c>
      <c r="W11" s="1" t="s">
        <v>263</v>
      </c>
    </row>
    <row r="12" spans="1:32" x14ac:dyDescent="0.4">
      <c r="A12" s="1" t="s">
        <v>323</v>
      </c>
      <c r="B12" s="1">
        <v>473509991</v>
      </c>
      <c r="C12" s="1" t="s">
        <v>58</v>
      </c>
      <c r="D12" s="1" t="s">
        <v>25</v>
      </c>
      <c r="E12" s="1" t="s">
        <v>323</v>
      </c>
      <c r="F12" s="1" t="s">
        <v>81</v>
      </c>
      <c r="G12" s="1" t="s">
        <v>59</v>
      </c>
      <c r="H12" s="93">
        <v>5.5350000000000001</v>
      </c>
      <c r="I12" s="93">
        <v>5.5339999999999998</v>
      </c>
      <c r="J12" s="93">
        <v>5.5350000000000001</v>
      </c>
      <c r="K12" s="93">
        <v>5.5344999999999995</v>
      </c>
      <c r="L12" s="93">
        <v>5.4550000000000001</v>
      </c>
      <c r="M12" s="93">
        <v>5.5585000000000004</v>
      </c>
      <c r="N12" s="93">
        <v>5.58</v>
      </c>
      <c r="O12" s="93">
        <v>5.5004999999999997</v>
      </c>
      <c r="P12" s="93">
        <v>25956</v>
      </c>
      <c r="Q12" s="93"/>
      <c r="R12" s="93"/>
      <c r="S12" s="93"/>
      <c r="T12" s="93"/>
      <c r="U12" s="93"/>
      <c r="V12" s="92">
        <v>46106.640856481485</v>
      </c>
      <c r="W12" s="1" t="s">
        <v>263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282</v>
      </c>
      <c r="F13" s="1" t="s">
        <v>82</v>
      </c>
      <c r="G13" s="1" t="s">
        <v>59</v>
      </c>
      <c r="H13" s="93">
        <v>461.5</v>
      </c>
      <c r="I13" s="93">
        <v>461.5</v>
      </c>
      <c r="J13" s="93">
        <v>461.75</v>
      </c>
      <c r="K13" s="93">
        <v>461.625</v>
      </c>
      <c r="L13" s="93">
        <v>462.5</v>
      </c>
      <c r="M13" s="93">
        <v>461.25</v>
      </c>
      <c r="N13" s="93">
        <v>462.5</v>
      </c>
      <c r="O13" s="93">
        <v>458</v>
      </c>
      <c r="P13" s="93">
        <v>51230</v>
      </c>
      <c r="Q13" s="93"/>
      <c r="R13" s="93"/>
      <c r="S13" s="93"/>
      <c r="T13" s="93"/>
      <c r="U13" s="93"/>
      <c r="V13" s="92">
        <v>46106.640856481485</v>
      </c>
      <c r="W13" s="1" t="s">
        <v>263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283</v>
      </c>
      <c r="F14" s="1" t="s">
        <v>82</v>
      </c>
      <c r="G14" s="1" t="s">
        <v>59</v>
      </c>
      <c r="H14" s="93">
        <v>589.25</v>
      </c>
      <c r="I14" s="93">
        <v>589</v>
      </c>
      <c r="J14" s="93">
        <v>589.25</v>
      </c>
      <c r="K14" s="93">
        <v>589.125</v>
      </c>
      <c r="L14" s="93">
        <v>590</v>
      </c>
      <c r="M14" s="93">
        <v>589</v>
      </c>
      <c r="N14" s="93">
        <v>591.25</v>
      </c>
      <c r="O14" s="93">
        <v>579.25</v>
      </c>
      <c r="P14" s="93">
        <v>32771</v>
      </c>
      <c r="Q14" s="93"/>
      <c r="R14" s="93"/>
      <c r="S14" s="93"/>
      <c r="T14" s="93"/>
      <c r="U14" s="93"/>
      <c r="V14" s="92">
        <v>46106.640856481485</v>
      </c>
      <c r="W14" s="1" t="s">
        <v>263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284</v>
      </c>
      <c r="F15" s="1" t="s">
        <v>82</v>
      </c>
      <c r="G15" s="1" t="s">
        <v>59</v>
      </c>
      <c r="H15" s="93">
        <v>1161</v>
      </c>
      <c r="I15" s="93">
        <v>1161</v>
      </c>
      <c r="J15" s="93">
        <v>1161.25</v>
      </c>
      <c r="K15" s="93">
        <v>1161.125</v>
      </c>
      <c r="L15" s="93">
        <v>1155</v>
      </c>
      <c r="M15" s="93">
        <v>1153.5</v>
      </c>
      <c r="N15" s="93">
        <v>1162.75</v>
      </c>
      <c r="O15" s="93">
        <v>1151.5</v>
      </c>
      <c r="P15" s="93">
        <v>34951</v>
      </c>
      <c r="Q15" s="93"/>
      <c r="R15" s="93"/>
      <c r="S15" s="93"/>
      <c r="T15" s="93"/>
      <c r="U15" s="93"/>
      <c r="V15" s="92">
        <v>46106.640856481485</v>
      </c>
      <c r="W15" s="1" t="s">
        <v>263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285</v>
      </c>
      <c r="F16" s="1" t="s">
        <v>64</v>
      </c>
      <c r="G16" s="1" t="s">
        <v>59</v>
      </c>
      <c r="H16" s="93">
        <v>15.49</v>
      </c>
      <c r="I16" s="93">
        <v>15.49</v>
      </c>
      <c r="J16" s="93">
        <v>15.5</v>
      </c>
      <c r="K16" s="93">
        <v>15.495000000000001</v>
      </c>
      <c r="L16" s="93">
        <v>15.88</v>
      </c>
      <c r="M16" s="93">
        <v>15.8</v>
      </c>
      <c r="N16" s="93">
        <v>15.83</v>
      </c>
      <c r="O16" s="93">
        <v>15.32</v>
      </c>
      <c r="P16" s="93">
        <v>52102</v>
      </c>
      <c r="Q16" s="93"/>
      <c r="R16" s="93"/>
      <c r="S16" s="93"/>
      <c r="T16" s="93"/>
      <c r="U16" s="93"/>
      <c r="V16" s="92">
        <v>46106.640856481485</v>
      </c>
      <c r="W16" s="1" t="s">
        <v>263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286</v>
      </c>
      <c r="F17" s="1" t="s">
        <v>64</v>
      </c>
      <c r="G17" s="1" t="s">
        <v>59</v>
      </c>
      <c r="H17" s="93">
        <v>316.39999999999998</v>
      </c>
      <c r="I17" s="93">
        <v>316.55</v>
      </c>
      <c r="J17" s="93">
        <v>316.64999999999998</v>
      </c>
      <c r="K17" s="93">
        <v>316.60000000000002</v>
      </c>
      <c r="L17" s="93">
        <v>317.85000000000002</v>
      </c>
      <c r="M17" s="93">
        <v>317.5</v>
      </c>
      <c r="N17" s="93">
        <v>318.5</v>
      </c>
      <c r="O17" s="93">
        <v>311.45</v>
      </c>
      <c r="P17" s="93">
        <v>7732</v>
      </c>
      <c r="Q17" s="93"/>
      <c r="R17" s="93"/>
      <c r="S17" s="93"/>
      <c r="T17" s="93"/>
      <c r="U17" s="93"/>
      <c r="V17" s="92">
        <v>46106.640856481485</v>
      </c>
      <c r="W17" s="1" t="s">
        <v>263</v>
      </c>
    </row>
    <row r="18" spans="1:23" x14ac:dyDescent="0.4">
      <c r="A18" s="1" t="s">
        <v>287</v>
      </c>
      <c r="B18" s="1">
        <v>707621000</v>
      </c>
      <c r="C18" s="1" t="s">
        <v>58</v>
      </c>
      <c r="D18" s="1" t="s">
        <v>34</v>
      </c>
      <c r="E18" s="1" t="s">
        <v>287</v>
      </c>
      <c r="F18" s="1" t="s">
        <v>64</v>
      </c>
      <c r="G18" s="1" t="s">
        <v>59</v>
      </c>
      <c r="H18" s="93">
        <v>3136</v>
      </c>
      <c r="I18" s="93">
        <v>3134</v>
      </c>
      <c r="J18" s="93">
        <v>3136</v>
      </c>
      <c r="K18" s="93">
        <v>3135</v>
      </c>
      <c r="L18" s="93">
        <v>3235</v>
      </c>
      <c r="M18" s="93">
        <v>3220</v>
      </c>
      <c r="N18" s="93">
        <v>3233</v>
      </c>
      <c r="O18" s="93">
        <v>3121</v>
      </c>
      <c r="P18" s="93">
        <v>5945</v>
      </c>
      <c r="Q18" s="93"/>
      <c r="R18" s="93"/>
      <c r="S18" s="93"/>
      <c r="T18" s="93"/>
      <c r="U18" s="93"/>
      <c r="V18" s="92">
        <v>46106.640856481485</v>
      </c>
      <c r="W18" s="1" t="s">
        <v>263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288</v>
      </c>
      <c r="F19" s="1" t="s">
        <v>64</v>
      </c>
      <c r="G19" s="1" t="s">
        <v>59</v>
      </c>
      <c r="H19" s="93">
        <v>67.62</v>
      </c>
      <c r="I19" s="93">
        <v>67.61</v>
      </c>
      <c r="J19" s="93">
        <v>67.63</v>
      </c>
      <c r="K19" s="93">
        <v>67.62</v>
      </c>
      <c r="L19" s="93">
        <v>67.62</v>
      </c>
      <c r="M19" s="93">
        <v>67.349999999999994</v>
      </c>
      <c r="N19" s="93">
        <v>68.37</v>
      </c>
      <c r="O19" s="93">
        <v>67.349999999999994</v>
      </c>
      <c r="P19" s="93">
        <v>13810</v>
      </c>
      <c r="Q19" s="93"/>
      <c r="R19" s="93"/>
      <c r="S19" s="93"/>
      <c r="T19" s="93"/>
      <c r="U19" s="93"/>
      <c r="V19" s="92">
        <v>46106.640856481485</v>
      </c>
      <c r="W19" s="1" t="s">
        <v>263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289</v>
      </c>
      <c r="F20" s="1" t="s">
        <v>79</v>
      </c>
      <c r="G20" s="1" t="s">
        <v>59</v>
      </c>
      <c r="H20" s="93">
        <v>235.07499999999999</v>
      </c>
      <c r="I20" s="93">
        <v>235.02500000000001</v>
      </c>
      <c r="J20" s="93">
        <v>235.1</v>
      </c>
      <c r="K20" s="93">
        <v>235.0625</v>
      </c>
      <c r="L20" s="93">
        <v>235.375</v>
      </c>
      <c r="M20" s="93">
        <v>235.57499999999999</v>
      </c>
      <c r="N20" s="93">
        <v>235.625</v>
      </c>
      <c r="O20" s="93">
        <v>234.2</v>
      </c>
      <c r="P20" s="93">
        <v>3517</v>
      </c>
      <c r="Q20" s="93"/>
      <c r="R20" s="93"/>
      <c r="S20" s="93"/>
      <c r="T20" s="93"/>
      <c r="U20" s="93"/>
      <c r="V20" s="92">
        <v>46106.640856481485</v>
      </c>
      <c r="W20" s="1" t="s">
        <v>263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290</v>
      </c>
      <c r="F21" s="1" t="s">
        <v>79</v>
      </c>
      <c r="G21" s="1" t="s">
        <v>59</v>
      </c>
      <c r="H21" s="93">
        <v>351.35</v>
      </c>
      <c r="I21" s="93">
        <v>351.32499999999999</v>
      </c>
      <c r="J21" s="93">
        <v>351.45</v>
      </c>
      <c r="K21" s="93">
        <v>351.38749999999999</v>
      </c>
      <c r="L21" s="93">
        <v>350.7</v>
      </c>
      <c r="M21" s="93">
        <v>351</v>
      </c>
      <c r="N21" s="93">
        <v>352.35</v>
      </c>
      <c r="O21" s="93">
        <v>349.52499999999998</v>
      </c>
      <c r="P21" s="93">
        <v>2074</v>
      </c>
      <c r="Q21" s="93"/>
      <c r="R21" s="93"/>
      <c r="S21" s="93"/>
      <c r="T21" s="93"/>
      <c r="U21" s="93"/>
      <c r="V21" s="92">
        <v>46106.640856481485</v>
      </c>
      <c r="W21" s="1" t="s">
        <v>263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291</v>
      </c>
      <c r="F22" s="1" t="s">
        <v>79</v>
      </c>
      <c r="G22" s="1" t="s">
        <v>59</v>
      </c>
      <c r="H22" s="93">
        <v>91.325000000000003</v>
      </c>
      <c r="I22" s="93">
        <v>91.3</v>
      </c>
      <c r="J22" s="93">
        <v>91.325000000000003</v>
      </c>
      <c r="K22" s="93">
        <v>91.3125</v>
      </c>
      <c r="L22" s="93">
        <v>91.05</v>
      </c>
      <c r="M22" s="93">
        <v>90.75</v>
      </c>
      <c r="N22" s="93">
        <v>91.5</v>
      </c>
      <c r="O22" s="93">
        <v>90.525000000000006</v>
      </c>
      <c r="P22" s="93">
        <v>3201</v>
      </c>
      <c r="Q22" s="93"/>
      <c r="R22" s="93"/>
      <c r="S22" s="93"/>
      <c r="T22" s="93"/>
      <c r="U22" s="93"/>
      <c r="V22" s="92">
        <v>46106.640856481485</v>
      </c>
      <c r="W22" s="1" t="s">
        <v>263</v>
      </c>
    </row>
    <row r="23" spans="1:23" x14ac:dyDescent="0.4">
      <c r="A23" s="1" t="s">
        <v>258</v>
      </c>
      <c r="B23" s="1">
        <v>792232100</v>
      </c>
      <c r="C23" s="1" t="s">
        <v>58</v>
      </c>
      <c r="D23" s="1" t="s">
        <v>38</v>
      </c>
      <c r="E23" s="1" t="s">
        <v>271</v>
      </c>
      <c r="F23" s="1" t="s">
        <v>64</v>
      </c>
      <c r="G23" s="1" t="s">
        <v>59</v>
      </c>
      <c r="H23" s="93">
        <v>99.314999999999998</v>
      </c>
      <c r="I23" s="93">
        <v>99.305000000000007</v>
      </c>
      <c r="J23" s="93">
        <v>99.31</v>
      </c>
      <c r="K23" s="93">
        <v>99.307500000000005</v>
      </c>
      <c r="L23" s="93">
        <v>99.24</v>
      </c>
      <c r="M23" s="93">
        <v>98.954999999999998</v>
      </c>
      <c r="N23" s="93">
        <v>99.34</v>
      </c>
      <c r="O23" s="93">
        <v>98.86</v>
      </c>
      <c r="P23" s="93">
        <v>15812</v>
      </c>
      <c r="Q23" s="93"/>
      <c r="R23" s="93"/>
      <c r="S23" s="93"/>
      <c r="T23" s="93"/>
      <c r="U23" s="93"/>
      <c r="V23" s="92">
        <v>46106.640856481485</v>
      </c>
      <c r="W23" s="1" t="s">
        <v>263</v>
      </c>
    </row>
    <row r="24" spans="1:23" x14ac:dyDescent="0.4">
      <c r="A24" s="1" t="s">
        <v>253</v>
      </c>
      <c r="B24" s="1">
        <v>496647057</v>
      </c>
      <c r="C24" s="1" t="s">
        <v>58</v>
      </c>
      <c r="D24" s="1" t="s">
        <v>56</v>
      </c>
      <c r="E24" s="1" t="s">
        <v>272</v>
      </c>
      <c r="F24" s="1" t="s">
        <v>79</v>
      </c>
      <c r="G24" s="1" t="s">
        <v>59</v>
      </c>
      <c r="H24" s="93">
        <v>1.1618999999999999</v>
      </c>
      <c r="I24" s="93">
        <v>1.16185</v>
      </c>
      <c r="J24" s="93">
        <v>1.1618999999999999</v>
      </c>
      <c r="K24" s="93">
        <v>1.161875</v>
      </c>
      <c r="L24" s="93">
        <v>1.16265</v>
      </c>
      <c r="M24" s="93">
        <v>1.1653</v>
      </c>
      <c r="N24" s="93">
        <v>1.1675500000000001</v>
      </c>
      <c r="O24" s="93">
        <v>1.1611499999999999</v>
      </c>
      <c r="P24" s="93">
        <v>127064</v>
      </c>
      <c r="Q24" s="93"/>
      <c r="R24" s="93"/>
      <c r="S24" s="93"/>
      <c r="T24" s="93"/>
      <c r="U24" s="93"/>
      <c r="V24" s="92">
        <v>46106.640856481485</v>
      </c>
      <c r="W24" s="1" t="s">
        <v>263</v>
      </c>
    </row>
    <row r="25" spans="1:23" x14ac:dyDescent="0.4">
      <c r="A25" s="1" t="s">
        <v>254</v>
      </c>
      <c r="B25" s="1">
        <v>496647091</v>
      </c>
      <c r="C25" s="1" t="s">
        <v>58</v>
      </c>
      <c r="D25" s="1" t="s">
        <v>74</v>
      </c>
      <c r="E25" s="1" t="s">
        <v>273</v>
      </c>
      <c r="F25" s="1" t="s">
        <v>79</v>
      </c>
      <c r="G25" s="1" t="s">
        <v>59</v>
      </c>
      <c r="H25" s="93">
        <v>1.3365</v>
      </c>
      <c r="I25" s="93">
        <v>1.3364</v>
      </c>
      <c r="J25" s="93">
        <v>1.3365</v>
      </c>
      <c r="K25" s="93">
        <v>1.3364500000000001</v>
      </c>
      <c r="L25" s="93">
        <v>1.3380000000000001</v>
      </c>
      <c r="M25" s="93">
        <v>1.3408</v>
      </c>
      <c r="N25" s="93">
        <v>1.3432999999999999</v>
      </c>
      <c r="O25" s="93">
        <v>1.3357000000000001</v>
      </c>
      <c r="P25" s="93">
        <v>61665</v>
      </c>
      <c r="Q25" s="93"/>
      <c r="R25" s="93"/>
      <c r="S25" s="93"/>
      <c r="T25" s="93"/>
      <c r="U25" s="93"/>
      <c r="V25" s="92">
        <v>46106.640856481485</v>
      </c>
      <c r="W25" s="1" t="s">
        <v>263</v>
      </c>
    </row>
    <row r="26" spans="1:23" x14ac:dyDescent="0.4">
      <c r="A26" s="1" t="s">
        <v>255</v>
      </c>
      <c r="B26" s="1">
        <v>496647108</v>
      </c>
      <c r="C26" s="1" t="s">
        <v>58</v>
      </c>
      <c r="D26" s="1" t="s">
        <v>57</v>
      </c>
      <c r="E26" s="1" t="s">
        <v>274</v>
      </c>
      <c r="F26" s="1" t="s">
        <v>79</v>
      </c>
      <c r="G26" s="1" t="s">
        <v>59</v>
      </c>
      <c r="H26" s="93">
        <v>6.3274999999999998E-3</v>
      </c>
      <c r="I26" s="93">
        <v>6.3270000000000002E-3</v>
      </c>
      <c r="J26" s="93">
        <v>6.3274999999999998E-3</v>
      </c>
      <c r="K26" s="93">
        <v>6.3272499999999995E-3</v>
      </c>
      <c r="L26" s="93">
        <v>6.3350000000000004E-3</v>
      </c>
      <c r="M26" s="93">
        <v>6.3445000000000003E-3</v>
      </c>
      <c r="N26" s="93">
        <v>6.3505000000000002E-3</v>
      </c>
      <c r="O26" s="93">
        <v>6.3249999999999999E-3</v>
      </c>
      <c r="P26" s="93">
        <v>76968</v>
      </c>
      <c r="Q26" s="93"/>
      <c r="R26" s="93"/>
      <c r="S26" s="93"/>
      <c r="T26" s="93"/>
      <c r="U26" s="93"/>
      <c r="V26" s="92">
        <v>46106.640856481485</v>
      </c>
      <c r="W26" s="1" t="s">
        <v>263</v>
      </c>
    </row>
    <row r="27" spans="1:23" x14ac:dyDescent="0.4">
      <c r="A27" s="1" t="s">
        <v>256</v>
      </c>
      <c r="B27" s="1">
        <v>496879111</v>
      </c>
      <c r="C27" s="1" t="s">
        <v>58</v>
      </c>
      <c r="D27" s="1" t="s">
        <v>76</v>
      </c>
      <c r="E27" s="1" t="s">
        <v>275</v>
      </c>
      <c r="F27" s="1" t="s">
        <v>79</v>
      </c>
      <c r="G27" s="1" t="s">
        <v>59</v>
      </c>
      <c r="H27" s="93">
        <v>0.72785</v>
      </c>
      <c r="I27" s="93">
        <v>0.72785</v>
      </c>
      <c r="J27" s="93">
        <v>0.72789999999999999</v>
      </c>
      <c r="K27" s="93">
        <v>0.72787500000000005</v>
      </c>
      <c r="L27" s="93">
        <v>0.7288</v>
      </c>
      <c r="M27" s="93">
        <v>0.72894999999999999</v>
      </c>
      <c r="N27" s="93">
        <v>0.72985</v>
      </c>
      <c r="O27" s="93">
        <v>0.72714999999999996</v>
      </c>
      <c r="P27" s="93">
        <v>41014</v>
      </c>
      <c r="Q27" s="93"/>
      <c r="R27" s="93"/>
      <c r="S27" s="93"/>
      <c r="T27" s="93"/>
      <c r="U27" s="93"/>
      <c r="V27" s="92">
        <v>46106.640856481485</v>
      </c>
      <c r="W27" s="1" t="s">
        <v>263</v>
      </c>
    </row>
    <row r="28" spans="1:23" x14ac:dyDescent="0.4">
      <c r="A28" s="1" t="s">
        <v>257</v>
      </c>
      <c r="B28" s="1">
        <v>496647009</v>
      </c>
      <c r="C28" s="1" t="s">
        <v>58</v>
      </c>
      <c r="D28" s="1" t="s">
        <v>78</v>
      </c>
      <c r="E28" s="1" t="s">
        <v>276</v>
      </c>
      <c r="F28" s="1" t="s">
        <v>79</v>
      </c>
      <c r="G28" s="1" t="s">
        <v>59</v>
      </c>
      <c r="H28" s="93">
        <v>0.69479999999999997</v>
      </c>
      <c r="I28" s="93">
        <v>0.69474999999999998</v>
      </c>
      <c r="J28" s="93">
        <v>0.69479999999999997</v>
      </c>
      <c r="K28" s="93">
        <v>0.69477499999999992</v>
      </c>
      <c r="L28" s="93">
        <v>0.69584999999999997</v>
      </c>
      <c r="M28" s="93">
        <v>0.69845000000000002</v>
      </c>
      <c r="N28" s="93">
        <v>0.6996</v>
      </c>
      <c r="O28" s="93">
        <v>0.69350000000000001</v>
      </c>
      <c r="P28" s="93">
        <v>77611</v>
      </c>
      <c r="Q28" s="93"/>
      <c r="R28" s="93"/>
      <c r="S28" s="93"/>
      <c r="T28" s="93"/>
      <c r="U28" s="93"/>
      <c r="V28" s="92">
        <v>46106.640856481485</v>
      </c>
      <c r="W28" s="1" t="s">
        <v>263</v>
      </c>
    </row>
    <row r="29" spans="1:23" x14ac:dyDescent="0.4">
      <c r="A29" s="1" t="s">
        <v>260</v>
      </c>
      <c r="B29" s="1">
        <v>815824224</v>
      </c>
      <c r="C29" s="1" t="s">
        <v>58</v>
      </c>
      <c r="D29" s="1" t="s">
        <v>46</v>
      </c>
      <c r="E29" s="1" t="s">
        <v>277</v>
      </c>
      <c r="F29" s="1" t="s">
        <v>82</v>
      </c>
      <c r="G29" s="1" t="s">
        <v>59</v>
      </c>
      <c r="H29" s="93">
        <v>113.375</v>
      </c>
      <c r="I29" s="93">
        <v>113.375</v>
      </c>
      <c r="J29" s="93">
        <v>113.40625</v>
      </c>
      <c r="K29" s="93">
        <v>113.390625</v>
      </c>
      <c r="L29" s="93">
        <v>112.625</v>
      </c>
      <c r="M29" s="93">
        <v>113</v>
      </c>
      <c r="N29" s="93">
        <v>113.78125</v>
      </c>
      <c r="O29" s="93">
        <v>112.96875</v>
      </c>
      <c r="P29" s="93">
        <v>281236</v>
      </c>
      <c r="Q29" s="93"/>
      <c r="R29" s="93"/>
      <c r="S29" s="93"/>
      <c r="T29" s="93"/>
      <c r="U29" s="93"/>
      <c r="V29" s="92">
        <v>46106.640856481485</v>
      </c>
      <c r="W29" s="1" t="s">
        <v>263</v>
      </c>
    </row>
    <row r="30" spans="1:23" x14ac:dyDescent="0.4">
      <c r="A30" s="1" t="s">
        <v>261</v>
      </c>
      <c r="B30" s="1">
        <v>815824229</v>
      </c>
      <c r="C30" s="1" t="s">
        <v>58</v>
      </c>
      <c r="D30" s="1" t="s">
        <v>67</v>
      </c>
      <c r="E30" s="1" t="s">
        <v>292</v>
      </c>
      <c r="F30" s="1" t="s">
        <v>82</v>
      </c>
      <c r="G30" s="1" t="s">
        <v>59</v>
      </c>
      <c r="H30" s="93">
        <v>110.8125</v>
      </c>
      <c r="I30" s="93">
        <v>110.8125</v>
      </c>
      <c r="J30" s="93">
        <v>110.828125</v>
      </c>
      <c r="K30" s="93">
        <v>110.8203125</v>
      </c>
      <c r="L30" s="93">
        <v>110.421875</v>
      </c>
      <c r="M30" s="93">
        <v>110.671875</v>
      </c>
      <c r="N30" s="93">
        <v>111.046875</v>
      </c>
      <c r="O30" s="93">
        <v>110.625</v>
      </c>
      <c r="P30" s="93">
        <v>1312701</v>
      </c>
      <c r="Q30" s="93"/>
      <c r="R30" s="93"/>
      <c r="S30" s="93"/>
      <c r="T30" s="93"/>
      <c r="U30" s="93"/>
      <c r="V30" s="92">
        <v>46106.640856481485</v>
      </c>
      <c r="W30" s="1" t="s">
        <v>263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294</v>
      </c>
      <c r="F31" s="1" t="s">
        <v>80</v>
      </c>
      <c r="G31" s="1" t="s">
        <v>56</v>
      </c>
      <c r="H31" s="93">
        <v>125.87</v>
      </c>
      <c r="I31" s="93">
        <v>125.87</v>
      </c>
      <c r="J31" s="93">
        <v>125.88</v>
      </c>
      <c r="K31" s="93">
        <v>125.875</v>
      </c>
      <c r="L31" s="93">
        <v>125.36</v>
      </c>
      <c r="M31" s="93">
        <v>125.83</v>
      </c>
      <c r="N31" s="93">
        <v>126.11</v>
      </c>
      <c r="O31" s="93">
        <v>125.56</v>
      </c>
      <c r="P31" s="93">
        <v>1053010</v>
      </c>
      <c r="Q31" s="93"/>
      <c r="R31" s="93"/>
      <c r="S31" s="93"/>
      <c r="T31" s="93"/>
      <c r="U31" s="93"/>
      <c r="V31" s="92">
        <v>46106.640856481485</v>
      </c>
      <c r="W31" s="1" t="s">
        <v>263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278</v>
      </c>
      <c r="F32" s="1" t="s">
        <v>80</v>
      </c>
      <c r="G32" s="1" t="s">
        <v>56</v>
      </c>
      <c r="H32" s="93">
        <v>110.96</v>
      </c>
      <c r="I32" s="93">
        <v>110.96</v>
      </c>
      <c r="J32" s="93">
        <v>110.98</v>
      </c>
      <c r="K32" s="93">
        <v>110.97</v>
      </c>
      <c r="L32" s="93">
        <v>109.8</v>
      </c>
      <c r="M32" s="93">
        <v>110.28</v>
      </c>
      <c r="N32" s="93">
        <v>111.28</v>
      </c>
      <c r="O32" s="93">
        <v>109.96</v>
      </c>
      <c r="P32" s="93">
        <v>162914</v>
      </c>
      <c r="Q32" s="93"/>
      <c r="R32" s="93"/>
      <c r="S32" s="93"/>
      <c r="T32" s="93"/>
      <c r="U32" s="93"/>
      <c r="V32" s="92">
        <v>46106.640856481485</v>
      </c>
      <c r="W32" s="1" t="s">
        <v>263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279</v>
      </c>
      <c r="F33" s="1" t="s">
        <v>80</v>
      </c>
      <c r="G33" s="1" t="s">
        <v>56</v>
      </c>
      <c r="H33" s="93">
        <v>116.93</v>
      </c>
      <c r="I33" s="93">
        <v>116.93</v>
      </c>
      <c r="J33" s="93">
        <v>116.94</v>
      </c>
      <c r="K33" s="93">
        <v>116.935</v>
      </c>
      <c r="L33" s="93">
        <v>116.04</v>
      </c>
      <c r="M33" s="93">
        <v>116.61</v>
      </c>
      <c r="N33" s="93">
        <v>117.16</v>
      </c>
      <c r="O33" s="93">
        <v>116.36</v>
      </c>
      <c r="P33" s="93">
        <v>402744</v>
      </c>
      <c r="Q33" s="93"/>
      <c r="R33" s="93"/>
      <c r="S33" s="93"/>
      <c r="T33" s="93"/>
      <c r="U33" s="93"/>
      <c r="V33" s="92">
        <v>46106.640856481485</v>
      </c>
      <c r="W33" s="1" t="s">
        <v>263</v>
      </c>
    </row>
    <row r="34" spans="1:23" x14ac:dyDescent="0.4">
      <c r="A34" s="1" t="s">
        <v>295</v>
      </c>
      <c r="B34" s="1">
        <v>479624278</v>
      </c>
      <c r="C34" s="1" t="s">
        <v>187</v>
      </c>
      <c r="D34" s="1" t="s">
        <v>44</v>
      </c>
      <c r="E34" s="1" t="s">
        <v>280</v>
      </c>
      <c r="F34" s="1" t="s">
        <v>191</v>
      </c>
      <c r="G34" s="1" t="s">
        <v>59</v>
      </c>
      <c r="H34" s="93">
        <v>71418.5</v>
      </c>
      <c r="I34" s="93">
        <v>71418.5</v>
      </c>
      <c r="J34" s="93">
        <v>71418.75</v>
      </c>
      <c r="K34" s="93">
        <v>71418.625</v>
      </c>
      <c r="L34" s="93">
        <v>69310.5</v>
      </c>
      <c r="M34" s="93"/>
      <c r="N34" s="93">
        <v>72360</v>
      </c>
      <c r="O34" s="93">
        <v>68655</v>
      </c>
      <c r="P34" s="93">
        <v>154.05609971999999</v>
      </c>
      <c r="Q34" s="93"/>
      <c r="R34" s="93"/>
      <c r="S34" s="93"/>
      <c r="T34" s="93"/>
      <c r="U34" s="93"/>
      <c r="V34" s="92">
        <v>46106.640856481485</v>
      </c>
      <c r="W34" s="1" t="s">
        <v>263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281</v>
      </c>
      <c r="F35" s="1" t="s">
        <v>191</v>
      </c>
      <c r="G35" s="1" t="s">
        <v>59</v>
      </c>
      <c r="H35" s="93">
        <v>2181.9499999999998</v>
      </c>
      <c r="I35" s="93">
        <v>2182.0500000000002</v>
      </c>
      <c r="J35" s="93">
        <v>2182.1</v>
      </c>
      <c r="K35" s="93">
        <v>2182.0749999999998</v>
      </c>
      <c r="L35" s="93">
        <v>2115.5</v>
      </c>
      <c r="M35" s="93"/>
      <c r="N35" s="93">
        <v>2198.6</v>
      </c>
      <c r="O35" s="93">
        <v>2103</v>
      </c>
      <c r="P35" s="93">
        <v>2143.2549456800002</v>
      </c>
      <c r="Q35" s="93"/>
      <c r="R35" s="93"/>
      <c r="S35" s="93"/>
      <c r="T35" s="93"/>
      <c r="U35" s="93"/>
      <c r="V35" s="92">
        <v>46106.640856481485</v>
      </c>
      <c r="W35" s="1" t="s">
        <v>263</v>
      </c>
    </row>
    <row r="36" spans="1:23" x14ac:dyDescent="0.4">
      <c r="A36" s="1" t="s">
        <v>310</v>
      </c>
      <c r="B36" s="1">
        <v>297507399</v>
      </c>
      <c r="C36" s="1" t="s">
        <v>309</v>
      </c>
      <c r="D36" s="1" t="s">
        <v>24</v>
      </c>
      <c r="E36" s="1" t="s">
        <v>310</v>
      </c>
      <c r="F36" s="1" t="s">
        <v>60</v>
      </c>
      <c r="G36" s="1" t="s">
        <v>59</v>
      </c>
      <c r="H36" s="93">
        <v>4.0999999999999996</v>
      </c>
      <c r="I36" s="93">
        <v>3.86</v>
      </c>
      <c r="J36" s="93">
        <v>3.91</v>
      </c>
      <c r="K36" s="93">
        <v>3.8849999999999998</v>
      </c>
      <c r="L36" s="93">
        <v>3.23</v>
      </c>
      <c r="M36" s="93"/>
      <c r="N36" s="93">
        <v>4.3899999999999997</v>
      </c>
      <c r="O36" s="93">
        <v>3.9</v>
      </c>
      <c r="P36" s="93">
        <v>363</v>
      </c>
      <c r="Q36" s="93">
        <v>0.70559420108447768</v>
      </c>
      <c r="R36" s="93">
        <v>-0.2532412287832147</v>
      </c>
      <c r="S36" s="93">
        <v>1.4208315346921152E-2</v>
      </c>
      <c r="T36" s="93">
        <v>0.10370583147492995</v>
      </c>
      <c r="U36" s="93">
        <v>-7.2902923411306997E-2</v>
      </c>
      <c r="V36" s="92">
        <v>46106.640856481485</v>
      </c>
      <c r="W36" s="1" t="s">
        <v>263</v>
      </c>
    </row>
    <row r="37" spans="1:23" x14ac:dyDescent="0.4">
      <c r="A37" s="1" t="s">
        <v>311</v>
      </c>
      <c r="B37" s="1">
        <v>297509218</v>
      </c>
      <c r="C37" s="1" t="s">
        <v>309</v>
      </c>
      <c r="D37" s="1" t="s">
        <v>24</v>
      </c>
      <c r="E37" s="1" t="s">
        <v>311</v>
      </c>
      <c r="F37" s="1" t="s">
        <v>60</v>
      </c>
      <c r="G37" s="1" t="s">
        <v>59</v>
      </c>
      <c r="H37" s="93">
        <v>0.47</v>
      </c>
      <c r="I37" s="93">
        <v>0.45</v>
      </c>
      <c r="J37" s="93">
        <v>0.47</v>
      </c>
      <c r="K37" s="93">
        <v>0.45999999999999996</v>
      </c>
      <c r="L37" s="93">
        <v>0.43</v>
      </c>
      <c r="M37" s="93"/>
      <c r="N37" s="93">
        <v>0.47</v>
      </c>
      <c r="O37" s="93">
        <v>0.47</v>
      </c>
      <c r="P37" s="93">
        <v>204</v>
      </c>
      <c r="Q37" s="93">
        <v>0.76564128313294511</v>
      </c>
      <c r="R37" s="93">
        <v>-4.1588926637533941E-2</v>
      </c>
      <c r="S37" s="93">
        <v>3.6458176819162075E-3</v>
      </c>
      <c r="T37" s="93">
        <v>3.2476826947874682E-2</v>
      </c>
      <c r="U37" s="93">
        <v>-2.4863250273228388E-2</v>
      </c>
      <c r="V37" s="92">
        <v>46106.640856481485</v>
      </c>
      <c r="W37" s="1" t="s">
        <v>263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52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/>
      <c r="B2" s="84"/>
      <c r="C2" s="84"/>
    </row>
    <row r="3" spans="1:3" x14ac:dyDescent="0.4">
      <c r="A3" s="87"/>
      <c r="B3" s="84"/>
      <c r="C3" s="84"/>
    </row>
    <row r="4" spans="1:3" x14ac:dyDescent="0.4">
      <c r="A4" s="87"/>
      <c r="B4" s="84"/>
      <c r="C4" s="84"/>
    </row>
    <row r="5" spans="1:3" x14ac:dyDescent="0.4">
      <c r="A5" s="85"/>
    </row>
    <row r="6" spans="1:3" x14ac:dyDescent="0.4">
      <c r="A6" s="85"/>
    </row>
    <row r="7" spans="1:3" x14ac:dyDescent="0.4">
      <c r="A7" s="85"/>
      <c r="B7" s="81"/>
      <c r="C7" s="81"/>
    </row>
    <row r="8" spans="1:3" x14ac:dyDescent="0.4">
      <c r="A8" s="85"/>
      <c r="B8" s="81"/>
      <c r="C8" s="81"/>
    </row>
    <row r="9" spans="1:3" x14ac:dyDescent="0.4">
      <c r="A9" s="85"/>
      <c r="B9" s="81"/>
      <c r="C9" s="81"/>
    </row>
    <row r="10" spans="1:3" x14ac:dyDescent="0.4">
      <c r="A10" s="85"/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  <row r="40" spans="1:1" x14ac:dyDescent="0.4">
      <c r="A40" s="85"/>
    </row>
    <row r="41" spans="1:1" x14ac:dyDescent="0.4">
      <c r="A41" s="85"/>
    </row>
    <row r="42" spans="1:1" x14ac:dyDescent="0.4">
      <c r="A42" s="85"/>
    </row>
    <row r="43" spans="1:1" x14ac:dyDescent="0.4">
      <c r="A43" s="85"/>
    </row>
    <row r="44" spans="1:1" x14ac:dyDescent="0.4">
      <c r="A44" s="85"/>
    </row>
    <row r="45" spans="1:1" x14ac:dyDescent="0.4">
      <c r="A45" s="85"/>
    </row>
    <row r="46" spans="1:1" x14ac:dyDescent="0.4">
      <c r="A46" s="85"/>
    </row>
    <row r="47" spans="1:1" x14ac:dyDescent="0.4">
      <c r="A47" s="85"/>
    </row>
    <row r="48" spans="1:1" x14ac:dyDescent="0.4">
      <c r="A48" s="85"/>
    </row>
    <row r="49" spans="1:1" x14ac:dyDescent="0.4">
      <c r="A49" s="85"/>
    </row>
    <row r="50" spans="1:1" x14ac:dyDescent="0.4">
      <c r="A50" s="85"/>
    </row>
    <row r="51" spans="1:1" x14ac:dyDescent="0.4">
      <c r="A51" s="85"/>
    </row>
    <row r="52" spans="1:1" x14ac:dyDescent="0.4">
      <c r="A52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2026-03-23T16:20:23Z</cp:lastPrinted>
  <dcterms:created xsi:type="dcterms:W3CDTF">2023-04-21T08:37:04Z</dcterms:created>
  <dcterms:modified xsi:type="dcterms:W3CDTF">2026-03-25T14:25:46Z</dcterms:modified>
</cp:coreProperties>
</file>