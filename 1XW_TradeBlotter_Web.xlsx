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350" documentId="13_ncr:1_{6F5069F1-F0E7-4440-AA6D-4AFA11BBED1B}" xr6:coauthVersionLast="47" xr6:coauthVersionMax="47" xr10:uidLastSave="{536A59FE-DAAC-43F7-881B-FCE6975C8D85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" i="2" l="1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C1" i="3"/>
  <c r="N5" i="6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/>
  <c r="X37" i="6"/>
  <c r="W37" i="6"/>
  <c r="V37" i="6"/>
  <c r="U37" i="6"/>
  <c r="T37" i="6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/>
  <c r="X33" i="6"/>
  <c r="W33" i="6"/>
  <c r="U33" i="6"/>
  <c r="T33" i="6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4" i="4"/>
  <c r="E34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E6" i="2" l="1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0" i="4"/>
  <c r="E20" i="4"/>
  <c r="U2" i="6" l="1"/>
  <c r="T2" i="6" s="1"/>
  <c r="X21" i="3" l="1" a="1"/>
  <c r="X21" i="3" s="1"/>
  <c r="Y22" i="3" a="1"/>
  <c r="Y22" i="3" s="1"/>
  <c r="I21" i="3" a="1"/>
  <c r="I21" i="3" s="1"/>
  <c r="I22" i="3" a="1"/>
  <c r="I22" i="3" s="1"/>
  <c r="X22" i="3" a="1"/>
  <c r="X22" i="3" s="1"/>
  <c r="Y21" i="3" a="1"/>
  <c r="Y21" i="3" s="1"/>
  <c r="I19" i="3" a="1"/>
  <c r="I19" i="3" s="1"/>
  <c r="I20" i="3" a="1"/>
  <c r="I20" i="3" s="1"/>
  <c r="L22" i="3" l="1"/>
  <c r="M22" i="3" s="1"/>
  <c r="L21" i="3"/>
  <c r="O19" i="3"/>
  <c r="N21" i="3" l="1" a="1"/>
  <c r="N21" i="3" s="1"/>
  <c r="K21" i="3" s="1"/>
  <c r="M21" i="3"/>
  <c r="N22" i="3" a="1"/>
  <c r="N22" i="3" s="1"/>
  <c r="K22" i="3" s="1"/>
  <c r="N20" i="3" a="1"/>
  <c r="X2" i="6"/>
  <c r="W2" i="6"/>
  <c r="V2" i="6"/>
  <c r="L20" i="3" s="1"/>
  <c r="S20" i="3" s="1"/>
  <c r="T20" i="3" s="1"/>
  <c r="N20" i="3" l="1"/>
  <c r="K20" i="3" s="1"/>
  <c r="U20" i="3" s="1"/>
  <c r="V20" i="3" s="1"/>
  <c r="X20" i="3" a="1"/>
  <c r="X20" i="3" s="1"/>
  <c r="Y20" i="3" a="1"/>
  <c r="Y20" i="3" s="1"/>
  <c r="M20" i="3"/>
  <c r="X19" i="3" a="1"/>
  <c r="X19" i="3" s="1"/>
  <c r="Y19" i="3" a="1"/>
  <c r="Y19" i="3" s="1"/>
  <c r="C4" i="2" l="1"/>
  <c r="U4" i="2" s="1"/>
  <c r="J19" i="3"/>
  <c r="R19" i="3" s="1"/>
  <c r="E5" i="2" s="1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34" i="4" s="1"/>
  <c r="H34" i="4" s="1"/>
  <c r="I34" i="4" s="1"/>
  <c r="G19" i="3" s="1"/>
  <c r="G3" i="4"/>
  <c r="E3" i="4"/>
  <c r="L34" i="4" l="1"/>
  <c r="K34" i="4"/>
  <c r="G13" i="7"/>
  <c r="N18" i="3" s="1"/>
  <c r="F20" i="4"/>
  <c r="H20" i="4" s="1"/>
  <c r="I20" i="4" s="1"/>
  <c r="F3" i="4"/>
  <c r="H3" i="4" s="1"/>
  <c r="I3" i="4" s="1"/>
  <c r="E4" i="2" a="1"/>
  <c r="E4" i="2" s="1"/>
  <c r="F5" i="4"/>
  <c r="H5" i="4" s="1"/>
  <c r="I5" i="4" s="1"/>
  <c r="F13" i="4"/>
  <c r="H13" i="4" s="1"/>
  <c r="I13" i="4" s="1"/>
  <c r="F17" i="4"/>
  <c r="H17" i="4" s="1"/>
  <c r="I17" i="4" s="1"/>
  <c r="F22" i="4"/>
  <c r="H22" i="4" s="1"/>
  <c r="I22" i="4" s="1"/>
  <c r="F4" i="4"/>
  <c r="H4" i="4" s="1"/>
  <c r="I4" i="4" s="1"/>
  <c r="F8" i="4"/>
  <c r="H8" i="4" s="1"/>
  <c r="I8" i="4" s="1"/>
  <c r="F12" i="4"/>
  <c r="H12" i="4" s="1"/>
  <c r="I12" i="4" s="1"/>
  <c r="F16" i="4"/>
  <c r="H16" i="4" s="1"/>
  <c r="I16" i="4" s="1"/>
  <c r="F21" i="4"/>
  <c r="H21" i="4" s="1"/>
  <c r="I21" i="4" s="1"/>
  <c r="F25" i="4"/>
  <c r="H25" i="4" s="1"/>
  <c r="I25" i="4" s="1"/>
  <c r="F29" i="4"/>
  <c r="H29" i="4" s="1"/>
  <c r="I29" i="4" s="1"/>
  <c r="F9" i="4"/>
  <c r="H9" i="4" s="1"/>
  <c r="I9" i="4" s="1"/>
  <c r="F26" i="4"/>
  <c r="H26" i="4" s="1"/>
  <c r="I26" i="4" s="1"/>
  <c r="F30" i="4"/>
  <c r="H30" i="4" s="1"/>
  <c r="I30" i="4" s="1"/>
  <c r="F7" i="4"/>
  <c r="H7" i="4" s="1"/>
  <c r="I7" i="4" s="1"/>
  <c r="F11" i="4"/>
  <c r="H11" i="4" s="1"/>
  <c r="I11" i="4" s="1"/>
  <c r="F15" i="4"/>
  <c r="H15" i="4" s="1"/>
  <c r="I15" i="4" s="1"/>
  <c r="F19" i="4"/>
  <c r="H19" i="4" s="1"/>
  <c r="I19" i="4" s="1"/>
  <c r="G20" i="3" s="1"/>
  <c r="F24" i="4"/>
  <c r="H24" i="4" s="1"/>
  <c r="I24" i="4" s="1"/>
  <c r="F28" i="4"/>
  <c r="H28" i="4" s="1"/>
  <c r="I28" i="4" s="1"/>
  <c r="F33" i="4"/>
  <c r="H33" i="4" s="1"/>
  <c r="I33" i="4" s="1"/>
  <c r="F6" i="4"/>
  <c r="H6" i="4" s="1"/>
  <c r="I6" i="4" s="1"/>
  <c r="F10" i="4"/>
  <c r="H10" i="4" s="1"/>
  <c r="I10" i="4" s="1"/>
  <c r="F14" i="4"/>
  <c r="H14" i="4" s="1"/>
  <c r="I14" i="4" s="1"/>
  <c r="F18" i="4"/>
  <c r="H18" i="4" s="1"/>
  <c r="I18" i="4" s="1"/>
  <c r="F23" i="4"/>
  <c r="H23" i="4" s="1"/>
  <c r="I23" i="4" s="1"/>
  <c r="F27" i="4"/>
  <c r="H27" i="4" s="1"/>
  <c r="I27" i="4" s="1"/>
  <c r="F31" i="4"/>
  <c r="H31" i="4" s="1"/>
  <c r="I31" i="4" s="1"/>
  <c r="F32" i="4"/>
  <c r="H32" i="4" s="1"/>
  <c r="I32" i="4" s="1"/>
  <c r="G21" i="3" l="1"/>
  <c r="G22" i="3"/>
  <c r="L20" i="4"/>
  <c r="K20" i="4"/>
  <c r="L18" i="4"/>
  <c r="K18" i="4"/>
  <c r="L4" i="4"/>
  <c r="K4" i="4"/>
  <c r="L10" i="4"/>
  <c r="K10" i="4"/>
  <c r="L7" i="4"/>
  <c r="K7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S19" i="3" s="1"/>
  <c r="N19" i="3" l="1" a="1"/>
  <c r="N19" i="3" s="1"/>
  <c r="D6" i="2" s="1" a="1"/>
  <c r="D6" i="2" s="1"/>
  <c r="F6" i="2" s="1"/>
  <c r="T19" i="3"/>
  <c r="M19" i="3"/>
  <c r="G5" i="2" l="1" a="1"/>
  <c r="G5" i="2" s="1"/>
  <c r="G6" i="2" a="1"/>
  <c r="G6" i="2" s="1"/>
  <c r="K19" i="3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H6" i="2" s="1"/>
  <c r="K5" i="2"/>
  <c r="L5" i="2" s="1"/>
  <c r="P5" i="2"/>
  <c r="Q5" i="2" s="1"/>
  <c r="O5" i="2"/>
  <c r="M6" i="2" s="1"/>
  <c r="F4" i="2"/>
  <c r="P6" i="2" l="1"/>
  <c r="Q6" i="2" s="1"/>
  <c r="O6" i="2"/>
  <c r="K6" i="2"/>
  <c r="L6" i="2" s="1"/>
  <c r="J6" i="2"/>
  <c r="C12" i="3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<sst xmlns="http://schemas.openxmlformats.org/spreadsheetml/2006/main" count="1222" uniqueCount="331">
  <si>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</si>
  <si>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</si>
  <si>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</si>
  <si>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</si>
  <si>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</si>
  <si>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</si>
  <si>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</si>
  <si>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</si>
  <si>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</si>
  <si>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</si>
  <si>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</si>
  <si>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</si>
  <si>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</si>
  <si>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</si>
  <si>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</si>
  <si>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</si>
  <si>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</si>
  <si>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</si>
  <si>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</si>
  <si>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</si>
  <si>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</si>
  <si>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</si>
  <si>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</si>
  <si>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</si>
  <si>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</si>
  <si>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</si>
  <si>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</si>
  <si>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</si>
  <si>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</si>
  <si>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</si>
  <si>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</si>
  <si>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</si>
  <si>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</si>
  <si>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</si>
  <si>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</si>
  <si>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</si>
  <si>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</si>
  <si>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</si>
  <si>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</si>
  <si>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</si>
  <si>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</si>
  <si>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</si>
  <si>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</si>
  <si>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</si>
  <si>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</si>
  <si>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</si>
  <si>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</si>
  <si>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</si>
  <si>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</si>
  <si>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</si>
  <si>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</si>
  <si>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</si>
  <si>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</si>
  <si>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</si>
  <si>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</si>
  <si>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</si>
  <si>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</si>
  <si>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</si>
  <si>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</si>
  <si>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</si>
  <si>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</si>
  <si>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</si>
  <si>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</si>
  <si>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</si>
  <si>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</si>
  <si>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</si>
  <si>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</si>
  <si>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</si>
  <si>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</si>
  <si>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</si>
  <si>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</si>
  <si>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</si>
  <si>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</si>
  <si>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</si>
  <si>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</si>
  <si>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</si>
  <si>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</si>
  <si>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</si>
  <si>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</si>
  <si>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</si>
  <si>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</si>
  <si>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</si>
  <si>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</si>
  <si>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</si>
  <si>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</si>
  <si>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</si>
  <si>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</si>
  <si>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</si>
  <si>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</si>
  <si>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</si>
  <si>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</si>
  <si>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</si>
  <si>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</si>
  <si>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</si>
  <si>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</si>
  <si>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</si>
  <si>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</si>
  <si>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</si>
  <si>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</si>
  <si>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</si>
  <si>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</si>
  <si>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</si>
  <si>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</si>
  <si>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</si>
  <si>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</si>
  <si>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</si>
  <si>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</si>
  <si>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</si>
  <si>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</si>
  <si>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</si>
  <si>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</si>
  <si>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</si>
  <si>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</si>
  <si>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</si>
  <si>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</si>
  <si>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</si>
  <si>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</si>
  <si>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</si>
  <si>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</si>
  <si>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</si>
  <si>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</si>
  <si>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</si>
  <si>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</si>
  <si>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</si>
  <si>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</si>
  <si>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</si>
  <si>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</si>
  <si>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</si>
  <si>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</si>
  <si>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</si>
  <si>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</si>
  <si>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</si>
  <si>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</si>
  <si>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</si>
  <si>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</si>
  <si>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</si>
  <si>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</si>
  <si>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</si>
  <si>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</si>
  <si>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</si>
  <si>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</si>
  <si>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</si>
  <si>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</si>
  <si>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</si>
  <si>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</si>
  <si>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</si>
  <si>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</si>
  <si>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</si>
  <si>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</si>
  <si>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</si>
  <si>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</si>
  <si>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</si>
  <si>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</si>
  <si>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</si>
  <si>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</si>
  <si>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</si>
  <si>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</si>
  <si>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</si>
  <si>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</si>
  <si>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</si>
  <si>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</si>
  <si>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</si>
  <si>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</si>
  <si>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</si>
  <si>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</si>
  <si>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</si>
  <si>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</si>
  <si>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</si>
  <si>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</si>
  <si>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</si>
  <si>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</si>
  <si>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</si>
  <si>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</si>
  <si>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</si>
  <si>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</si>
  <si>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</si>
  <si>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</si>
  <si>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</si>
  <si>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</si>
  <si>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</si>
  <si>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</si>
  <si>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</si>
  <si>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</si>
  <si>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</si>
  <si>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</si>
  <si>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</si>
  <si>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</si>
  <si>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</si>
  <si>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</si>
  <si>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</si>
  <si>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</si>
  <si>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</si>
  <si>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</si>
  <si>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</si>
  <si>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</si>
  <si>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</si>
  <si>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</si>
  <si>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</si>
  <si>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</si>
  <si>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</si>
  <si>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</si>
  <si>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</si>
  <si>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</si>
  <si>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</si>
  <si>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</si>
  <si>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</si>
  <si>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</si>
  <si>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</si>
  <si>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</si>
  <si>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</si>
  <si>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</si>
  <si>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</si>
  <si>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</si>
  <si>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</si>
  <si>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</si>
  <si>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</si>
  <si>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</si>
  <si>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</si>
  <si>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</si>
  <si>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</si>
  <si>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</si>
  <si>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</si>
  <si>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</si>
  <si>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</si>
  <si>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</si>
  <si>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</si>
  <si>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</si>
  <si>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</si>
  <si>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</si>
  <si>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</si>
  <si>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</si>
  <si>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</si>
  <si>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</si>
  <si>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</si>
  <si>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</si>
  <si>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</si>
  <si>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</si>
  <si>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</si>
  <si>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</si>
  <si>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</si>
  <si>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</si>
  <si>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</si>
  <si>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</si>
  <si>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</si>
  <si>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</si>
  <si>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</si>
  <si>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</si>
  <si>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</si>
  <si>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</si>
  <si>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</si>
  <si>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</si>
  <si>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</si>
  <si>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</si>
  <si>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</si>
  <si>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</si>
  <si>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</si>
  <si>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</si>
  <si>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</si>
  <si>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</si>
  <si>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</si>
  <si>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</si>
  <si>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</si>
  <si>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</si>
  <si>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</si>
  <si>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</si>
  <si>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</si>
  <si>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</si>
  <si>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</si>
  <si>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</si>
  <si>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</si>
  <si>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</si>
  <si>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</si>
  <si>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</si>
  <si>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</si>
  <si>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</si>
  <si>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</si>
  <si>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</si>
  <si>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</si>
  <si>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</si>
  <si>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</si>
  <si>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</si>
  <si>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</si>
  <si>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</si>
  <si>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</si>
  <si>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</si>
  <si>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</si>
  <si>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</si>
  <si>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</si>
  <si>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</si>
  <si>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</si>
  <si>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</si>
  <si>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</si>
  <si>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</si>
  <si>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</si>
  <si>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</si>
  <si>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</si>
  <si>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</si>
  <si>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</si>
  <si>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</si>
  <si>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</si>
  <si>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</si>
  <si>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</si>
  <si>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</si>
  <si>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</si>
  <si>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</si>
  <si>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</si>
  <si>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</si>
  <si>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</si>
  <si>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</si>
  <si>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</si>
  <si>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</si>
  <si>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</si>
  <si>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</si>
  <si>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</si>
  <si>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</si>
  <si>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</si>
  <si>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Loaded 36 contracts from Symbols sheet.</t>
  </si>
  <si>
    <t>FOP</t>
  </si>
  <si>
    <t>LOM6 P7500</t>
  </si>
  <si>
    <t>LOM6 P5500</t>
  </si>
  <si>
    <t>Long ETH Spot</t>
  </si>
  <si>
    <t>Long CC Futures</t>
  </si>
  <si>
    <t>Long CL Put Spread</t>
  </si>
  <si>
    <t>ERROR</t>
  </si>
  <si>
    <t>Loop error: (-2147352567, 'Exception occurred.', (0, None, None, None, 0, -2146777998), None). Reconnecting in 2s.</t>
  </si>
  <si>
    <t>Reconnected to TWS.</t>
  </si>
  <si>
    <t>CL JUN26 55 P</t>
  </si>
  <si>
    <t>CLM6</t>
  </si>
  <si>
    <t>CL JUN26 75 P</t>
  </si>
  <si>
    <t>Crypto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</si>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</sst>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2.9920606320097409E-3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2.9920606320097409E-3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1002.9920606320098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  <c:pt idx="1">
                  <c:v>-1.9900000000000029E-2</c:v>
                </c:pt>
                <c:pt idx="2">
                  <c:v>-2.9701000000000088E-2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46088</c:v>
                </c:pt>
                <c:pt idx="1">
                  <c:v>46095</c:v>
                </c:pt>
                <c:pt idx="2">
                  <c:v>46102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-9.482981774310062E-3</c:v>
                </c:pt>
                <c:pt idx="2">
                  <c:v>-1.9388151956566846E-2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3.3933306320099721E-3</c:v>
                </c:pt>
                <c:pt idx="2">
                  <c:v>1.2791106320100276E-3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161</v>
      </c>
      <c r="C1" s="79">
        <f ca="1">TODAY()</f>
        <v>46101</v>
      </c>
    </row>
    <row r="2" spans="2:11" x14ac:dyDescent="0.4">
      <c r="B2" s="32" t="s">
        <v>108</v>
      </c>
      <c r="C2" s="37" t="s">
        <v>330</v>
      </c>
      <c r="E2" s="47" t="s">
        <v>123</v>
      </c>
      <c r="F2" s="47" t="s">
        <v>6</v>
      </c>
      <c r="G2" s="47"/>
      <c r="H2" s="28"/>
    </row>
    <row r="3" spans="2:11" x14ac:dyDescent="0.4">
      <c r="B3" s="32" t="s">
        <v>113</v>
      </c>
      <c r="C3" s="28">
        <f ca="1">OFFSET(NAV!B1,MATCH(C1,NAV!B:B,1),8)</f>
        <v>1002992.0606320099</v>
      </c>
      <c r="E3" s="47" t="s">
        <v>124</v>
      </c>
      <c r="F3" s="47" t="s">
        <v>303</v>
      </c>
      <c r="G3" s="47"/>
      <c r="H3" s="28"/>
    </row>
    <row r="4" spans="2:11" x14ac:dyDescent="0.4">
      <c r="B4" s="32" t="s">
        <v>52</v>
      </c>
      <c r="C4" s="28">
        <f>SUM(N18:N1012)</f>
        <v>2992.0606320098982</v>
      </c>
      <c r="D4" s="3"/>
      <c r="E4" s="47" t="s">
        <v>20</v>
      </c>
      <c r="F4" s="47" t="s">
        <v>84</v>
      </c>
      <c r="G4" s="47"/>
      <c r="H4" s="28"/>
    </row>
    <row r="5" spans="2:11" x14ac:dyDescent="0.4">
      <c r="B5" s="32" t="s">
        <v>171</v>
      </c>
      <c r="C5" s="3">
        <f ca="1">OFFSET(NAV!B1,MATCH(C1,NAV!B:B,1),11)</f>
        <v>2.9920606320097409E-3</v>
      </c>
      <c r="D5" s="3"/>
      <c r="E5" s="47" t="s">
        <v>181</v>
      </c>
      <c r="F5" s="47" t="s">
        <v>50</v>
      </c>
      <c r="G5" s="47"/>
      <c r="H5" s="28"/>
      <c r="K5" s="51"/>
    </row>
    <row r="6" spans="2:11" x14ac:dyDescent="0.4">
      <c r="B6" s="32" t="s">
        <v>172</v>
      </c>
      <c r="C6" s="3">
        <f ca="1">OFFSET(NAV!B1,MATCH(C1,NAV!B:B,1),12)</f>
        <v>2.9920606320097409E-3</v>
      </c>
      <c r="D6" s="3"/>
      <c r="E6" s="47" t="s">
        <v>329</v>
      </c>
      <c r="F6" s="47"/>
      <c r="G6" s="47"/>
      <c r="H6" s="28"/>
      <c r="K6" s="51"/>
    </row>
    <row r="7" spans="2:11" x14ac:dyDescent="0.4">
      <c r="B7" s="32" t="s">
        <v>140</v>
      </c>
      <c r="C7" s="28">
        <f>Cash_Mgmt!H13</f>
        <v>34687.049999999952</v>
      </c>
      <c r="D7" s="3">
        <f ca="1">C7/C3</f>
        <v>3.4583573850168657E-2</v>
      </c>
      <c r="E7" s="47"/>
      <c r="F7" s="47"/>
      <c r="G7" s="47"/>
      <c r="H7" s="51"/>
      <c r="K7" s="51"/>
    </row>
    <row r="8" spans="2:11" x14ac:dyDescent="0.4">
      <c r="B8" s="32" t="s">
        <v>141</v>
      </c>
      <c r="C8" s="28">
        <f>C4+C7</f>
        <v>37679.110632009848</v>
      </c>
      <c r="D8" s="3">
        <f ca="1">C5+D7</f>
        <v>3.7575634482178398E-2</v>
      </c>
      <c r="G8" s="47"/>
      <c r="H8" s="51"/>
      <c r="K8" s="51"/>
    </row>
    <row r="9" spans="2:11" x14ac:dyDescent="0.4">
      <c r="B9" s="32" t="s">
        <v>109</v>
      </c>
      <c r="C9" s="28">
        <f t="array" ref="C9">SUM((F19:F112="Futures")*(M19:M112))</f>
        <v>99930</v>
      </c>
      <c r="D9" s="3">
        <f ca="1">C9/$C$3</f>
        <v>9.963189532829568E-2</v>
      </c>
      <c r="E9" s="47"/>
      <c r="F9" s="47"/>
      <c r="G9" s="47"/>
      <c r="H9" s="51"/>
      <c r="K9" s="51"/>
    </row>
    <row r="10" spans="2:11" x14ac:dyDescent="0.4">
      <c r="B10" s="32" t="s">
        <v>110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111</v>
      </c>
      <c r="C11" s="28">
        <f t="array" ref="C11">SUM((F19:F212="Put")*(M19:M212))</f>
        <v>7470</v>
      </c>
      <c r="D11" s="3">
        <f t="shared" ca="1" si="0"/>
        <v>7.4477159822112348E-3</v>
      </c>
    </row>
    <row r="12" spans="2:11" x14ac:dyDescent="0.4">
      <c r="B12" s="32" t="s">
        <v>112</v>
      </c>
      <c r="C12" s="28" cm="1">
        <f t="array" ref="C12">SUM((PLB!G4:G999="O")*(PLB!E4:E999))</f>
        <v>18600</v>
      </c>
      <c r="D12" s="3">
        <f t="shared" ca="1" si="0"/>
        <v>1.8544513690646448E-2</v>
      </c>
    </row>
    <row r="13" spans="2:11" x14ac:dyDescent="0.4">
      <c r="B13" s="32" t="s">
        <v>135</v>
      </c>
      <c r="C13" s="28">
        <f t="array" ref="C13">SUM((PLB!G4:G999="O")*(PLB!D4:D999))</f>
        <v>756.86999999999398</v>
      </c>
      <c r="D13" s="3">
        <f t="shared" ca="1" si="0"/>
        <v>7.5461215467954119E-4</v>
      </c>
      <c r="F13" s="59"/>
      <c r="G13" s="59"/>
    </row>
    <row r="14" spans="2:11" x14ac:dyDescent="0.4">
      <c r="B14" s="32" t="s">
        <v>136</v>
      </c>
      <c r="C14" s="28">
        <f>C12+C13</f>
        <v>19356.869999999995</v>
      </c>
      <c r="D14" s="3">
        <f t="shared" ca="1" si="0"/>
        <v>1.929912584532599E-2</v>
      </c>
    </row>
    <row r="17" spans="2:28" x14ac:dyDescent="0.4">
      <c r="B17" s="38" t="s">
        <v>83</v>
      </c>
      <c r="C17" s="4" t="s">
        <v>0</v>
      </c>
      <c r="D17" s="4" t="s">
        <v>1</v>
      </c>
      <c r="E17" s="4" t="s">
        <v>122</v>
      </c>
      <c r="F17" s="4" t="s">
        <v>2</v>
      </c>
      <c r="G17" s="4" t="s">
        <v>145</v>
      </c>
      <c r="H17" s="4" t="s">
        <v>102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107</v>
      </c>
      <c r="N17" s="4" t="s">
        <v>52</v>
      </c>
      <c r="O17" s="4" t="s">
        <v>14</v>
      </c>
      <c r="P17" s="4" t="s">
        <v>120</v>
      </c>
      <c r="Q17" s="4" t="s">
        <v>114</v>
      </c>
      <c r="R17" s="4" t="s">
        <v>121</v>
      </c>
      <c r="S17" s="4" t="s">
        <v>115</v>
      </c>
      <c r="T17" s="4" t="s">
        <v>117</v>
      </c>
      <c r="U17" s="4" t="s">
        <v>116</v>
      </c>
      <c r="V17" s="4" t="s">
        <v>118</v>
      </c>
      <c r="W17" s="32"/>
      <c r="X17" s="33" t="s">
        <v>105</v>
      </c>
      <c r="Y17" s="33" t="s">
        <v>104</v>
      </c>
      <c r="Z17" s="33" t="s">
        <v>106</v>
      </c>
    </row>
    <row r="18" spans="2:28" x14ac:dyDescent="0.4">
      <c r="B18" s="9" t="s">
        <v>133</v>
      </c>
      <c r="C18" s="12"/>
      <c r="D18" s="12"/>
      <c r="E18" s="10" t="s">
        <v>181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1712.9499999999098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188</v>
      </c>
      <c r="C19" s="10">
        <v>1</v>
      </c>
      <c r="D19" s="10" t="s">
        <v>190</v>
      </c>
      <c r="E19" s="10" t="s">
        <v>329</v>
      </c>
      <c r="F19" s="10" t="s">
        <v>303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0</v>
      </c>
      <c r="J19" s="28">
        <f>VLOOKUP(D19,Multiplier!B:D,2,0)</f>
        <v>1</v>
      </c>
      <c r="K19" s="29">
        <f t="shared" ref="K19" si="1">L19-N19/(H19*J19)</f>
        <v>1989.6625719211397</v>
      </c>
      <c r="L19" s="29">
        <f t="shared" ref="L19" si="2">IF(I19=0,IF(H19&gt;0,X19,Y19),Z19)</f>
        <v>2000.1073845613396</v>
      </c>
      <c r="M19" s="28">
        <f t="shared" ref="M19" si="3">I19*J19*L19</f>
        <v>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522.24063200999399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0</v>
      </c>
      <c r="T19" s="3">
        <f t="shared" ref="T19" si="5">IF(S19&gt;0,IF(ISNUMBER(S19/L19-1),S19/L19-1,0),0)</f>
        <v>0</v>
      </c>
      <c r="U19" s="29">
        <f>IF(OR(F19="Futures",F19="Spot"),IF(I19=0,0,IF(I19&gt;0,K19-P19,K19+P19)),0)</f>
        <v>0</v>
      </c>
      <c r="V19" s="3">
        <f t="shared" ref="V19" si="6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1983.0877791756002</v>
      </c>
      <c r="Z19" s="35">
        <f>IF(C$2="Last",IF(ISNUMBER(VLOOKUP(B19,Prices!A:L,8,0)),VLOOKUP(B19,Prices!A:L,8,0),0),IF(ISNUMBER(VLOOKUP(B19,Prices!A:L,12,0)),VLOOKUP(B19,Prices!A:L,12,0),0))</f>
        <v>2141.6999999999998</v>
      </c>
      <c r="AB19" s="29"/>
    </row>
    <row r="20" spans="2:28" x14ac:dyDescent="0.4">
      <c r="B20" s="9" t="s">
        <v>290</v>
      </c>
      <c r="C20" s="10">
        <v>2</v>
      </c>
      <c r="D20" s="10" t="s">
        <v>34</v>
      </c>
      <c r="E20" s="10" t="s">
        <v>124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3331</v>
      </c>
      <c r="M20" s="28">
        <f t="shared" ref="M20" si="9">I20*J20*L20</f>
        <v>99930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2871.0899999999965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3126</v>
      </c>
      <c r="T20" s="3">
        <f t="shared" ref="T20" si="11">IF(S20&gt;0,IF(ISNUMBER(S20/L20-1),S20/L20-1,0),0)</f>
        <v>-6.154308015610932E-2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-0.11879405583908731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3331</v>
      </c>
      <c r="AB20" s="29"/>
    </row>
    <row r="21" spans="2:28" x14ac:dyDescent="0.4">
      <c r="B21" s="9" t="s">
        <v>318</v>
      </c>
      <c r="C21" s="10">
        <v>3</v>
      </c>
      <c r="D21" s="10" t="s">
        <v>24</v>
      </c>
      <c r="E21" s="10" t="s">
        <v>124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2.91</v>
      </c>
      <c r="M21" s="28">
        <f t="shared" ref="M21:M22" si="16">I21*J21*L21</f>
        <v>8730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-1897.1100000000024</v>
      </c>
      <c r="O21" s="29">
        <f>VLOOKUP(D21,Multiplier!B:H,3,0)</f>
        <v>2.1</v>
      </c>
      <c r="P21" s="27">
        <v>3.54</v>
      </c>
      <c r="Q21" s="27"/>
      <c r="R21" s="28">
        <f t="shared" ref="R21:R22" si="17">(1-Q21)*P21*J21*H21</f>
        <v>10620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2.91</v>
      </c>
      <c r="AB21" s="29"/>
    </row>
    <row r="22" spans="2:28" x14ac:dyDescent="0.4">
      <c r="B22" s="9" t="s">
        <v>319</v>
      </c>
      <c r="C22" s="10">
        <v>3</v>
      </c>
      <c r="D22" s="10" t="s">
        <v>24</v>
      </c>
      <c r="E22" s="10" t="s">
        <v>124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0.34762999999999994</v>
      </c>
      <c r="L22" s="29">
        <f t="shared" si="15"/>
        <v>0.42</v>
      </c>
      <c r="M22" s="28">
        <f t="shared" si="16"/>
        <v>-1260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-217.11000000000013</v>
      </c>
      <c r="O22" s="29">
        <f>VLOOKUP(D22,Multiplier!B:H,3,0)</f>
        <v>2.1</v>
      </c>
      <c r="P22" s="27">
        <v>0.34</v>
      </c>
      <c r="Q22" s="27"/>
      <c r="R22" s="28">
        <f t="shared" si="17"/>
        <v>-1020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0.42</v>
      </c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C32" sqref="C32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139</v>
      </c>
      <c r="D2" s="4" t="s">
        <v>48</v>
      </c>
      <c r="E2" s="4" t="s">
        <v>10</v>
      </c>
      <c r="F2" s="4" t="s">
        <v>49</v>
      </c>
      <c r="G2" s="4" t="s">
        <v>130</v>
      </c>
      <c r="H2" s="2" t="s">
        <v>138</v>
      </c>
    </row>
    <row r="3" spans="2:8" x14ac:dyDescent="0.4">
      <c r="B3" s="17" t="s">
        <v>131</v>
      </c>
      <c r="C3" s="17"/>
      <c r="D3" s="10"/>
      <c r="E3" s="10"/>
      <c r="F3" s="10"/>
      <c r="G3" s="15">
        <v>-11195.05</v>
      </c>
      <c r="H3" s="6">
        <f>-G3</f>
        <v>11195.05</v>
      </c>
    </row>
    <row r="4" spans="2:8" x14ac:dyDescent="0.4">
      <c r="B4" s="17" t="s">
        <v>132</v>
      </c>
      <c r="C4" s="17"/>
      <c r="D4" s="10"/>
      <c r="E4" s="10"/>
      <c r="F4" s="10"/>
      <c r="G4" s="15">
        <v>12808</v>
      </c>
      <c r="H4" s="6">
        <f>-G4</f>
        <v>-12808</v>
      </c>
    </row>
    <row r="5" spans="2:8" x14ac:dyDescent="0.4">
      <c r="B5" s="17" t="s">
        <v>183</v>
      </c>
      <c r="C5" s="17"/>
      <c r="D5" s="10"/>
      <c r="E5" s="10"/>
      <c r="F5" s="10"/>
      <c r="G5" s="15"/>
      <c r="H5" s="6"/>
    </row>
    <row r="6" spans="2:8" x14ac:dyDescent="0.4">
      <c r="B6" s="17" t="s">
        <v>152</v>
      </c>
      <c r="C6" s="17"/>
      <c r="D6" s="10"/>
      <c r="E6" s="10"/>
      <c r="F6" s="10"/>
      <c r="G6" s="15"/>
      <c r="H6" s="6"/>
    </row>
    <row r="7" spans="2:8" x14ac:dyDescent="0.4">
      <c r="B7" s="17" t="s">
        <v>148</v>
      </c>
      <c r="C7" s="17"/>
      <c r="D7" s="10"/>
      <c r="E7" s="10"/>
      <c r="F7" s="10"/>
      <c r="G7" s="15"/>
      <c r="H7" s="6"/>
    </row>
    <row r="8" spans="2:8" x14ac:dyDescent="0.4">
      <c r="B8" s="17" t="s">
        <v>149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182</v>
      </c>
      <c r="C9" s="62"/>
      <c r="D9" s="27"/>
      <c r="E9" s="11"/>
      <c r="F9" s="29"/>
      <c r="G9" s="6"/>
      <c r="H9" s="6"/>
    </row>
    <row r="10" spans="2:8" x14ac:dyDescent="0.4">
      <c r="B10" s="17" t="s">
        <v>151</v>
      </c>
      <c r="C10" s="62"/>
      <c r="D10" s="27"/>
      <c r="E10" s="10"/>
      <c r="F10" s="29"/>
      <c r="G10" s="6"/>
      <c r="H10" s="6"/>
    </row>
    <row r="11" spans="2:8" x14ac:dyDescent="0.4">
      <c r="B11" s="17" t="s">
        <v>147</v>
      </c>
      <c r="C11" s="62"/>
      <c r="D11" s="27"/>
      <c r="E11" s="11"/>
      <c r="F11" s="29"/>
      <c r="G11" s="6"/>
      <c r="H11" s="6"/>
    </row>
    <row r="12" spans="2:8" x14ac:dyDescent="0.4">
      <c r="B12" s="52" t="s">
        <v>129</v>
      </c>
      <c r="C12" s="58"/>
      <c r="D12" s="54">
        <v>98.87</v>
      </c>
      <c r="E12" s="55">
        <v>10000</v>
      </c>
      <c r="F12" s="54">
        <v>98.88</v>
      </c>
      <c r="G12" s="65">
        <f>(F12-D12)*E12</f>
        <v>99.999999999909051</v>
      </c>
      <c r="H12" s="65">
        <f>(100-D12)*E12</f>
        <v>11299.999999999955</v>
      </c>
    </row>
    <row r="13" spans="2:8" x14ac:dyDescent="0.4">
      <c r="B13" s="17" t="s">
        <v>128</v>
      </c>
      <c r="C13" s="17"/>
      <c r="D13" s="10"/>
      <c r="E13" s="10"/>
      <c r="F13" s="10"/>
      <c r="G13" s="6">
        <f>SUM(G3:G12)</f>
        <v>1712.9499999999098</v>
      </c>
      <c r="H13" s="6">
        <f>SUM(H3:H12)</f>
        <v>34687.049999999952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161</v>
      </c>
      <c r="C2" s="4" t="s">
        <v>162</v>
      </c>
      <c r="D2" s="4" t="s">
        <v>163</v>
      </c>
      <c r="E2" s="4" t="s">
        <v>168</v>
      </c>
      <c r="F2" s="4" t="s">
        <v>164</v>
      </c>
      <c r="G2" s="4" t="s">
        <v>170</v>
      </c>
      <c r="H2" s="4" t="s">
        <v>165</v>
      </c>
      <c r="I2" s="4" t="s">
        <v>52</v>
      </c>
      <c r="J2" s="4" t="s">
        <v>169</v>
      </c>
      <c r="K2" s="4" t="s">
        <v>166</v>
      </c>
      <c r="L2" s="4" t="s">
        <v>146</v>
      </c>
      <c r="M2" s="4" t="s">
        <v>173</v>
      </c>
      <c r="N2" s="4" t="s">
        <v>174</v>
      </c>
      <c r="O2" s="4" t="s">
        <v>167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2992.0606320098982</v>
      </c>
      <c r="J5" s="70">
        <f t="shared" si="2"/>
        <v>1002992.0606320099</v>
      </c>
      <c r="K5" s="70">
        <f t="shared" si="3"/>
        <v>1000</v>
      </c>
      <c r="L5" s="71">
        <f t="shared" si="4"/>
        <v>1002.9920606320098</v>
      </c>
      <c r="M5" s="72">
        <f t="shared" si="5"/>
        <v>2.9920606320097409E-3</v>
      </c>
      <c r="N5" s="73">
        <f t="shared" ref="N5" si="6">L5/L4-1</f>
        <v>2.9920606320097409E-3</v>
      </c>
      <c r="O5" s="75">
        <f>STDEVP(N$4:N5)*SQRT(12)</f>
        <v>5.1824010339675168E-3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E6" sqref="E6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153</v>
      </c>
      <c r="I2" s="8" t="s">
        <v>157</v>
      </c>
      <c r="J2" s="8" t="s">
        <v>154</v>
      </c>
      <c r="K2" s="8" t="s">
        <v>158</v>
      </c>
      <c r="L2" s="8" t="s">
        <v>159</v>
      </c>
      <c r="M2" s="4" t="s">
        <v>155</v>
      </c>
      <c r="N2" s="8" t="s">
        <v>157</v>
      </c>
      <c r="O2" s="4" t="s">
        <v>156</v>
      </c>
      <c r="P2" s="4" t="s">
        <v>160</v>
      </c>
      <c r="Q2" s="4" t="s">
        <v>53</v>
      </c>
      <c r="R2" s="4" t="s">
        <v>85</v>
      </c>
      <c r="T2" s="38" t="s">
        <v>8</v>
      </c>
      <c r="U2" s="4" t="s">
        <v>0</v>
      </c>
      <c r="V2" s="38" t="s">
        <v>2</v>
      </c>
      <c r="W2" s="38" t="s">
        <v>125</v>
      </c>
      <c r="X2" s="38" t="s">
        <v>126</v>
      </c>
      <c r="Y2" s="12"/>
      <c r="Z2" s="38" t="s">
        <v>2</v>
      </c>
      <c r="AA2" s="38" t="s">
        <v>125</v>
      </c>
      <c r="AB2" s="38" t="s">
        <v>126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522.24063200999399</v>
      </c>
      <c r="E4" s="6">
        <f t="array" ref="E4">SUM((Blotter!B$19:C$1013=C4)*(Blotter!R$19:R$1013)*1)</f>
        <v>10500</v>
      </c>
      <c r="F4" s="30">
        <f t="shared" ref="F4" si="0">IF(ISNUMBER(D4/E4),D4/E4,0)</f>
        <v>4.9737203048570856E-2</v>
      </c>
      <c r="G4" s="36" t="str">
        <f t="array" ref="G4">IF(SUM((Blotter!C$19:C$1013=PLB!C4)*(Blotter!M$19:M$1013))=0,"C","O")</f>
        <v>C</v>
      </c>
      <c r="H4" s="16">
        <f>J3+D4</f>
        <v>1000522.24063201</v>
      </c>
      <c r="I4" s="16"/>
      <c r="J4" s="16">
        <f>H4+I4</f>
        <v>1000522.24063201</v>
      </c>
      <c r="K4" s="3">
        <f>H4/J3-1</f>
        <v>5.2224063201000703E-4</v>
      </c>
      <c r="L4" s="3">
        <f>(1+K4)*(1+L3)-1</f>
        <v>5.2224063201000703E-4</v>
      </c>
      <c r="M4" s="6">
        <f>O3-IF(G4="O",O3*1%,-D4)</f>
        <v>1000522.24063201</v>
      </c>
      <c r="N4" s="16">
        <f>I4</f>
        <v>0</v>
      </c>
      <c r="O4" s="6">
        <f>M4+N4</f>
        <v>1000522.24063201</v>
      </c>
      <c r="P4" s="3">
        <f>M4/O3-1</f>
        <v>5.2224063201000703E-4</v>
      </c>
      <c r="Q4" s="3">
        <f>(1+P4)*(1+Q3)-1</f>
        <v>5.2224063201000703E-4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320</v>
      </c>
      <c r="W4" s="1" t="s">
        <v>310</v>
      </c>
      <c r="X4" s="1" t="s">
        <v>311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2871.0899999999965</v>
      </c>
      <c r="E5" s="6">
        <f t="array" ref="E5">SUM((Blotter!B$19:C$1013=C5)*(Blotter!R$19:R$1013)*1)</f>
        <v>9000</v>
      </c>
      <c r="F5" s="30">
        <f t="shared" ref="F5" si="1">IF(ISNUMBER(D5/E5),D5/E5,0)</f>
        <v>0.31900999999999963</v>
      </c>
      <c r="G5" s="36" t="str">
        <f t="array" ref="G5">IF(SUM((Blotter!C$19:C$1013=PLB!C5)*(Blotter!M$19:M$1013))=0,"C","O")</f>
        <v>O</v>
      </c>
      <c r="H5" s="16">
        <f>J4+D5</f>
        <v>1003393.33063201</v>
      </c>
      <c r="I5" s="16"/>
      <c r="J5" s="16">
        <f>H5+I5</f>
        <v>1003393.33063201</v>
      </c>
      <c r="K5" s="3">
        <f>H5/J4-1</f>
        <v>2.8695913827825326E-3</v>
      </c>
      <c r="L5" s="3">
        <f>(1+K5)*(1+L4)-1</f>
        <v>3.3933306320099721E-3</v>
      </c>
      <c r="M5" s="6">
        <f>O4-IF(G5="O",O4*1%,-D5)</f>
        <v>990517.01822568988</v>
      </c>
      <c r="N5" s="16">
        <f>I5</f>
        <v>0</v>
      </c>
      <c r="O5" s="6">
        <f>M5+N5</f>
        <v>990517.01822568988</v>
      </c>
      <c r="P5" s="3">
        <f>M5/O4-1</f>
        <v>-1.0000000000000009E-2</v>
      </c>
      <c r="Q5" s="3">
        <f>(1+P5)*(1+Q4)-1</f>
        <v>-9.482981774310062E-3</v>
      </c>
      <c r="R5" s="3">
        <f>(1-1%)*(1+R4)-1</f>
        <v>-1.9900000000000029E-2</v>
      </c>
      <c r="T5" s="40">
        <f t="shared" ref="T5" si="2">B5</f>
        <v>46095</v>
      </c>
      <c r="U5" s="5">
        <f t="shared" ref="U5" si="3">C5</f>
        <v>2</v>
      </c>
      <c r="V5" s="1" t="s">
        <v>321</v>
      </c>
      <c r="W5" s="1" t="s">
        <v>312</v>
      </c>
      <c r="X5" s="1" t="s">
        <v>313</v>
      </c>
    </row>
    <row r="6" spans="2:28" x14ac:dyDescent="0.4">
      <c r="B6" s="40">
        <f>B5+7</f>
        <v>46102</v>
      </c>
      <c r="C6" s="5">
        <f>C5+1</f>
        <v>3</v>
      </c>
      <c r="D6" s="6">
        <f t="array" ref="D6">SUM((Blotter!C$19:C$1013=C6)*(Blotter!N$19:N$1013)*1)</f>
        <v>-2114.2200000000025</v>
      </c>
      <c r="E6" s="6">
        <f t="array" ref="E6">SUM((Blotter!B$19:C$1013=C6)*(Blotter!R$19:R$1013)*1)</f>
        <v>9600</v>
      </c>
      <c r="F6" s="30">
        <f t="shared" ref="F6" si="4">IF(ISNUMBER(D6/E6),D6/E6,0)</f>
        <v>-0.22023125000000027</v>
      </c>
      <c r="G6" s="36" t="str">
        <f t="array" ref="G6">IF(SUM((Blotter!C$19:C$1013=PLB!C6)*(Blotter!M$19:M$1013))=0,"C","O")</f>
        <v>O</v>
      </c>
      <c r="H6" s="16">
        <f>J5+D6</f>
        <v>1001279.11063201</v>
      </c>
      <c r="I6" s="16"/>
      <c r="J6" s="16">
        <f>H6+I6</f>
        <v>1001279.11063201</v>
      </c>
      <c r="K6" s="3">
        <f>H6/J5-1</f>
        <v>-2.1070700147750587E-3</v>
      </c>
      <c r="L6" s="3">
        <f>(1+K6)*(1+L5)-1</f>
        <v>1.2791106320100276E-3</v>
      </c>
      <c r="M6" s="6">
        <f>O5-IF(G6="O",O5*1%,-D6)</f>
        <v>980611.84804343304</v>
      </c>
      <c r="N6" s="16">
        <f>I6</f>
        <v>0</v>
      </c>
      <c r="O6" s="6">
        <f>M6+N6</f>
        <v>980611.84804343304</v>
      </c>
      <c r="P6" s="3">
        <f>M6/O5-1</f>
        <v>-9.9999999999998979E-3</v>
      </c>
      <c r="Q6" s="3">
        <f>(1+P6)*(1+Q5)-1</f>
        <v>-1.9388151956566846E-2</v>
      </c>
      <c r="R6" s="3">
        <f>(1-1%)*(1+R5)-1</f>
        <v>-2.9701000000000088E-2</v>
      </c>
      <c r="T6" s="40">
        <f t="shared" ref="T6" si="5">B6</f>
        <v>46102</v>
      </c>
      <c r="U6" s="5">
        <f t="shared" ref="U6" si="6">C6</f>
        <v>3</v>
      </c>
      <c r="V6" s="1" t="s">
        <v>322</v>
      </c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/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4"/>
  <sheetViews>
    <sheetView showGridLines="0" zoomScale="90" zoomScaleNormal="90" workbookViewId="0"/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144</v>
      </c>
      <c r="H2" s="4" t="s">
        <v>18</v>
      </c>
      <c r="I2" s="4" t="s">
        <v>143</v>
      </c>
      <c r="J2" s="4" t="s">
        <v>90</v>
      </c>
      <c r="K2" s="4" t="s">
        <v>178</v>
      </c>
      <c r="L2" s="4" t="s">
        <v>179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3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4" si="1">$Q$3</f>
        <v>1.5</v>
      </c>
      <c r="F4" s="21">
        <f t="shared" ref="F4:F34" si="2">$P$3</f>
        <v>1000000</v>
      </c>
      <c r="G4" s="22">
        <f t="shared" ref="G4:G34" si="3">$R$3</f>
        <v>0.01</v>
      </c>
      <c r="H4" s="23">
        <f t="shared" si="0"/>
        <v>2.6366093204139478</v>
      </c>
      <c r="I4" s="61">
        <f t="shared" ref="I4:I34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205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3.2520325203252032</v>
      </c>
      <c r="I19" s="61">
        <f t="shared" si="4"/>
        <v>4</v>
      </c>
      <c r="J19" s="18">
        <v>3230</v>
      </c>
      <c r="K19" s="3">
        <f>J19*H19*C19/$N$3</f>
        <v>0.10504065040650407</v>
      </c>
      <c r="L19" s="3">
        <f>J19*I19*C19/$N$3</f>
        <v>0.12920000000000001</v>
      </c>
    </row>
    <row r="20" spans="2:12" x14ac:dyDescent="0.4">
      <c r="B20" s="17" t="s">
        <v>65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9" t="s">
        <v>190</v>
      </c>
      <c r="C34" s="18">
        <v>1</v>
      </c>
      <c r="D34" s="19">
        <v>140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ref="H34" si="6">(F34*G34)/(C34*D34*E34)</f>
        <v>47.61904761904762</v>
      </c>
      <c r="I34" s="61">
        <f t="shared" si="4"/>
        <v>63</v>
      </c>
      <c r="J34" s="18">
        <v>1986</v>
      </c>
      <c r="K34" s="3">
        <f>J34*H34*C34/$N$3</f>
        <v>9.4571428571428584E-2</v>
      </c>
      <c r="L34" s="3">
        <f>J34*I34*C34/$N$3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101</v>
      </c>
      <c r="B1" s="2" t="s">
        <v>100</v>
      </c>
      <c r="C1" s="2" t="s">
        <v>99</v>
      </c>
      <c r="D1" s="2" t="s">
        <v>54</v>
      </c>
      <c r="E1" s="2" t="s">
        <v>98</v>
      </c>
      <c r="F1" s="2" t="s">
        <v>97</v>
      </c>
      <c r="G1" s="2" t="s">
        <v>96</v>
      </c>
      <c r="H1" s="2" t="s">
        <v>13</v>
      </c>
      <c r="I1" s="2" t="s">
        <v>55</v>
      </c>
      <c r="J1" s="48" t="s">
        <v>95</v>
      </c>
      <c r="K1" s="2" t="s">
        <v>94</v>
      </c>
      <c r="L1" s="48" t="s">
        <v>93</v>
      </c>
      <c r="M1" s="2" t="s">
        <v>92</v>
      </c>
      <c r="N1" s="2" t="s">
        <v>91</v>
      </c>
      <c r="O1" s="2" t="s">
        <v>90</v>
      </c>
      <c r="P1" s="2" t="s">
        <v>89</v>
      </c>
      <c r="Q1" s="2" t="s">
        <v>88</v>
      </c>
      <c r="R1" s="2" t="s">
        <v>87</v>
      </c>
      <c r="T1" s="2" t="s">
        <v>103</v>
      </c>
      <c r="U1" s="2" t="s">
        <v>12</v>
      </c>
      <c r="V1" s="2" t="s">
        <v>91</v>
      </c>
      <c r="W1" s="2" t="s">
        <v>90</v>
      </c>
      <c r="X1" s="2" t="s">
        <v>88</v>
      </c>
      <c r="Z1" s="1" t="s">
        <v>119</v>
      </c>
    </row>
    <row r="2" spans="1:31" x14ac:dyDescent="0.4">
      <c r="A2" s="1" t="s">
        <v>305</v>
      </c>
      <c r="B2" s="1" t="s">
        <v>59</v>
      </c>
      <c r="C2" s="1" t="s">
        <v>58</v>
      </c>
      <c r="D2" s="1" t="s">
        <v>290</v>
      </c>
      <c r="E2" s="1" t="s">
        <v>306</v>
      </c>
      <c r="F2" s="1" t="s">
        <v>64</v>
      </c>
      <c r="G2" s="1" t="s">
        <v>34</v>
      </c>
      <c r="H2" s="1">
        <v>10</v>
      </c>
      <c r="J2" s="44">
        <v>46156</v>
      </c>
      <c r="L2" s="44">
        <v>46090</v>
      </c>
      <c r="M2" s="1" t="s">
        <v>86</v>
      </c>
      <c r="N2" s="1">
        <v>1</v>
      </c>
      <c r="O2" s="1">
        <v>3235</v>
      </c>
      <c r="P2" s="1">
        <v>32350</v>
      </c>
      <c r="Q2" s="1">
        <v>-2.97</v>
      </c>
      <c r="R2" s="1" t="s">
        <v>59</v>
      </c>
      <c r="T2" s="43">
        <f>IF(ISNUMBER(VLOOKUP(U2,Blotter!B:C,2,0)),VLOOKUP(U2,Blotter!B:C,2,0),"")</f>
        <v>2</v>
      </c>
      <c r="U2" s="42" t="str">
        <f>D2</f>
        <v>CCK6</v>
      </c>
      <c r="V2" s="42">
        <f>N2</f>
        <v>1</v>
      </c>
      <c r="W2" s="42">
        <f>O2</f>
        <v>3235</v>
      </c>
      <c r="X2" s="42">
        <f>Q2</f>
        <v>-2.97</v>
      </c>
      <c r="Z2" s="1" t="s">
        <v>127</v>
      </c>
      <c r="AC2" s="44"/>
      <c r="AD2" s="45"/>
      <c r="AE2" s="41"/>
    </row>
    <row r="3" spans="1:31" x14ac:dyDescent="0.4">
      <c r="A3" s="1" t="s">
        <v>305</v>
      </c>
      <c r="B3" s="1" t="s">
        <v>59</v>
      </c>
      <c r="C3" s="1" t="s">
        <v>58</v>
      </c>
      <c r="D3" s="1" t="s">
        <v>290</v>
      </c>
      <c r="E3" s="1" t="s">
        <v>306</v>
      </c>
      <c r="F3" s="1" t="s">
        <v>64</v>
      </c>
      <c r="G3" s="1" t="s">
        <v>34</v>
      </c>
      <c r="H3" s="1">
        <v>10</v>
      </c>
      <c r="J3" s="44">
        <v>46156</v>
      </c>
      <c r="L3" s="44">
        <v>46090</v>
      </c>
      <c r="M3" s="1" t="s">
        <v>86</v>
      </c>
      <c r="N3" s="1">
        <v>2</v>
      </c>
      <c r="O3" s="1">
        <v>3235</v>
      </c>
      <c r="P3" s="1">
        <v>64700</v>
      </c>
      <c r="Q3" s="1">
        <v>-5.94</v>
      </c>
      <c r="R3" s="1" t="s">
        <v>59</v>
      </c>
      <c r="T3" s="43">
        <f>IF(ISNUMBER(VLOOKUP(U3,Blotter!B:C,2,0)),VLOOKUP(U3,Blotter!B:C,2,0),"")</f>
        <v>2</v>
      </c>
      <c r="U3" s="42" t="str">
        <f t="shared" ref="U3:U17" si="0">D3</f>
        <v>CCK6</v>
      </c>
      <c r="V3" s="42">
        <f t="shared" ref="V3:V17" si="1">N3</f>
        <v>2</v>
      </c>
      <c r="W3" s="42">
        <f t="shared" ref="W3:W17" si="2">O3</f>
        <v>3235</v>
      </c>
      <c r="X3" s="42">
        <f t="shared" ref="X3:X17" si="3">Q3</f>
        <v>-5.94</v>
      </c>
      <c r="AC3" s="44"/>
      <c r="AD3" s="45"/>
      <c r="AE3" s="41"/>
    </row>
    <row r="4" spans="1:31" x14ac:dyDescent="0.4">
      <c r="A4" s="1" t="s">
        <v>305</v>
      </c>
      <c r="B4" s="1" t="s">
        <v>59</v>
      </c>
      <c r="C4" s="1" t="s">
        <v>307</v>
      </c>
      <c r="D4" s="1" t="s">
        <v>308</v>
      </c>
      <c r="E4" s="1" t="s">
        <v>308</v>
      </c>
      <c r="G4" s="1" t="s">
        <v>309</v>
      </c>
      <c r="H4" s="1">
        <v>1</v>
      </c>
      <c r="L4" s="44">
        <v>46090</v>
      </c>
      <c r="M4" s="1" t="s">
        <v>86</v>
      </c>
      <c r="N4" s="1">
        <v>1000000</v>
      </c>
      <c r="O4" s="1">
        <v>98.875</v>
      </c>
      <c r="P4" s="1">
        <v>988750</v>
      </c>
      <c r="Q4" s="1">
        <v>-20</v>
      </c>
      <c r="R4" s="1" t="s">
        <v>59</v>
      </c>
      <c r="T4" s="43" t="str">
        <f>IF(ISNUMBER(VLOOKUP(U4,Blotter!B:C,2,0)),VLOOKUP(U4,Blotter!B:C,2,0),"")</f>
        <v/>
      </c>
      <c r="U4" s="42" t="str">
        <f t="shared" si="0"/>
        <v>T 2 1/2 03/31/27</v>
      </c>
      <c r="V4" s="42">
        <f t="shared" si="1"/>
        <v>1000000</v>
      </c>
      <c r="W4" s="42">
        <f t="shared" si="2"/>
        <v>98.875</v>
      </c>
      <c r="X4" s="42">
        <f t="shared" si="3"/>
        <v>-20</v>
      </c>
      <c r="AC4" s="44"/>
      <c r="AD4" s="45"/>
      <c r="AE4" s="41"/>
    </row>
    <row r="5" spans="1:31" x14ac:dyDescent="0.4">
      <c r="A5" s="1" t="s">
        <v>186</v>
      </c>
      <c r="B5" s="1" t="s">
        <v>59</v>
      </c>
      <c r="C5" s="1" t="s">
        <v>187</v>
      </c>
      <c r="D5" s="1" t="s">
        <v>188</v>
      </c>
      <c r="E5" s="1" t="s">
        <v>189</v>
      </c>
      <c r="H5" s="1">
        <v>1</v>
      </c>
      <c r="L5" s="44">
        <v>46084</v>
      </c>
      <c r="M5" s="1" t="s">
        <v>86</v>
      </c>
      <c r="N5" s="1">
        <f>6.1104122</f>
        <v>6.1104121999999998</v>
      </c>
      <c r="O5" s="1">
        <v>1983</v>
      </c>
      <c r="P5" s="1">
        <v>12116.947392599999</v>
      </c>
      <c r="Q5" s="1">
        <v>-21.810505307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6.1104121999999998</v>
      </c>
      <c r="W5" s="42">
        <f t="shared" si="2"/>
        <v>1983</v>
      </c>
      <c r="X5" s="42">
        <f t="shared" si="3"/>
        <v>-21.810505307</v>
      </c>
      <c r="AC5" s="44"/>
      <c r="AD5" s="45"/>
      <c r="AE5" s="41"/>
    </row>
    <row r="6" spans="1:31" x14ac:dyDescent="0.4">
      <c r="A6" s="1" t="s">
        <v>186</v>
      </c>
      <c r="B6" s="1" t="s">
        <v>59</v>
      </c>
      <c r="C6" s="1" t="s">
        <v>187</v>
      </c>
      <c r="D6" s="1" t="s">
        <v>188</v>
      </c>
      <c r="E6" s="1" t="s">
        <v>189</v>
      </c>
      <c r="H6" s="1">
        <v>1</v>
      </c>
      <c r="L6" s="44">
        <v>46084</v>
      </c>
      <c r="M6" s="1" t="s">
        <v>86</v>
      </c>
      <c r="N6" s="1">
        <v>5.8970321700000001</v>
      </c>
      <c r="O6" s="1">
        <v>1983.1</v>
      </c>
      <c r="P6" s="1">
        <v>11694.404496327001</v>
      </c>
      <c r="Q6" s="1">
        <v>-21.049928092999998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5.8970321700000001</v>
      </c>
      <c r="W6" s="42">
        <f t="shared" ref="W6" si="6">O6</f>
        <v>1983.1</v>
      </c>
      <c r="X6" s="42">
        <f t="shared" ref="X6" si="7">Q6</f>
        <v>-21.049928092999998</v>
      </c>
      <c r="AC6" s="44"/>
      <c r="AD6" s="45"/>
      <c r="AE6" s="41"/>
    </row>
    <row r="7" spans="1:31" x14ac:dyDescent="0.4">
      <c r="A7" s="1" t="s">
        <v>186</v>
      </c>
      <c r="B7" s="1" t="s">
        <v>59</v>
      </c>
      <c r="C7" s="1" t="s">
        <v>187</v>
      </c>
      <c r="D7" s="1" t="s">
        <v>188</v>
      </c>
      <c r="E7" s="1" t="s">
        <v>189</v>
      </c>
      <c r="H7" s="1">
        <v>1</v>
      </c>
      <c r="L7" s="44">
        <v>46084</v>
      </c>
      <c r="M7" s="1" t="s">
        <v>86</v>
      </c>
      <c r="N7" s="1">
        <v>3.9942700000000003E-3</v>
      </c>
      <c r="O7" s="1">
        <v>1983.1</v>
      </c>
      <c r="P7" s="1">
        <v>7.9210368369999999</v>
      </c>
      <c r="Q7" s="1">
        <v>-1.4257865999999999E-2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3.9942700000000003E-3</v>
      </c>
      <c r="W7" s="42">
        <f t="shared" si="2"/>
        <v>1983.1</v>
      </c>
      <c r="X7" s="42">
        <f t="shared" si="3"/>
        <v>-1.4257865999999999E-2</v>
      </c>
      <c r="AC7" s="44"/>
      <c r="AD7" s="45"/>
      <c r="AE7" s="41"/>
    </row>
    <row r="8" spans="1:31" x14ac:dyDescent="0.4">
      <c r="A8" s="1" t="s">
        <v>186</v>
      </c>
      <c r="B8" s="1" t="s">
        <v>59</v>
      </c>
      <c r="C8" s="1" t="s">
        <v>187</v>
      </c>
      <c r="D8" s="1" t="s">
        <v>188</v>
      </c>
      <c r="E8" s="1" t="s">
        <v>189</v>
      </c>
      <c r="H8" s="1">
        <v>1</v>
      </c>
      <c r="L8" s="44">
        <v>46084</v>
      </c>
      <c r="M8" s="1" t="s">
        <v>86</v>
      </c>
      <c r="N8" s="1">
        <v>0.54177474999999997</v>
      </c>
      <c r="O8" s="1">
        <v>1983.1</v>
      </c>
      <c r="P8" s="1">
        <v>1074.393506725</v>
      </c>
      <c r="Q8" s="1">
        <v>-1.933908312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0.54177474999999997</v>
      </c>
      <c r="W8" s="42">
        <f t="shared" si="2"/>
        <v>1983.1</v>
      </c>
      <c r="X8" s="42">
        <f t="shared" si="3"/>
        <v>-1.933908312</v>
      </c>
      <c r="AC8" s="44"/>
      <c r="AD8" s="45"/>
      <c r="AE8" s="41"/>
    </row>
    <row r="9" spans="1:31" x14ac:dyDescent="0.4">
      <c r="A9" s="1" t="s">
        <v>186</v>
      </c>
      <c r="B9" s="1" t="s">
        <v>59</v>
      </c>
      <c r="C9" s="1" t="s">
        <v>187</v>
      </c>
      <c r="D9" s="1" t="s">
        <v>188</v>
      </c>
      <c r="E9" s="1" t="s">
        <v>189</v>
      </c>
      <c r="H9" s="1">
        <v>1</v>
      </c>
      <c r="L9" s="44">
        <v>46084</v>
      </c>
      <c r="M9" s="1" t="s">
        <v>86</v>
      </c>
      <c r="N9" s="1">
        <v>1.5427200000000001</v>
      </c>
      <c r="O9" s="1">
        <v>1983.1</v>
      </c>
      <c r="P9" s="1">
        <v>3059.3680319999999</v>
      </c>
      <c r="Q9" s="1">
        <v>-5.5068624579999996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1.5427200000000001</v>
      </c>
      <c r="W9" s="42">
        <f t="shared" si="2"/>
        <v>1983.1</v>
      </c>
      <c r="X9" s="42">
        <f t="shared" si="3"/>
        <v>-5.5068624579999996</v>
      </c>
      <c r="AC9" s="44"/>
      <c r="AD9" s="45"/>
      <c r="AE9" s="41"/>
    </row>
    <row r="10" spans="1:31" x14ac:dyDescent="0.4">
      <c r="A10" s="1" t="s">
        <v>186</v>
      </c>
      <c r="B10" s="1" t="s">
        <v>59</v>
      </c>
      <c r="C10" s="1" t="s">
        <v>187</v>
      </c>
      <c r="D10" s="1" t="s">
        <v>188</v>
      </c>
      <c r="E10" s="1" t="s">
        <v>189</v>
      </c>
      <c r="H10" s="1">
        <v>1</v>
      </c>
      <c r="L10" s="44">
        <v>46084</v>
      </c>
      <c r="M10" s="1" t="s">
        <v>86</v>
      </c>
      <c r="N10" s="1">
        <v>0.22177047999999999</v>
      </c>
      <c r="O10" s="1">
        <v>1983.1</v>
      </c>
      <c r="P10" s="1">
        <v>439.79303888800001</v>
      </c>
      <c r="Q10" s="1">
        <v>-0.79162747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0.22177047999999999</v>
      </c>
      <c r="W10" s="42">
        <f t="shared" si="2"/>
        <v>1983.1</v>
      </c>
      <c r="X10" s="42">
        <f t="shared" si="3"/>
        <v>-0.79162747</v>
      </c>
      <c r="AC10" s="44"/>
      <c r="AD10" s="45"/>
      <c r="AE10" s="41"/>
    </row>
    <row r="11" spans="1:31" x14ac:dyDescent="0.4">
      <c r="A11" s="1" t="s">
        <v>186</v>
      </c>
      <c r="B11" s="1" t="s">
        <v>59</v>
      </c>
      <c r="C11" s="1" t="s">
        <v>187</v>
      </c>
      <c r="D11" s="1" t="s">
        <v>188</v>
      </c>
      <c r="E11" s="1" t="s">
        <v>189</v>
      </c>
      <c r="H11" s="1">
        <v>1</v>
      </c>
      <c r="L11" s="44">
        <v>46084</v>
      </c>
      <c r="M11" s="1" t="s">
        <v>86</v>
      </c>
      <c r="N11" s="1">
        <v>0.20808973</v>
      </c>
      <c r="O11" s="1">
        <v>1983.1</v>
      </c>
      <c r="P11" s="1">
        <v>412.66274356299999</v>
      </c>
      <c r="Q11" s="1">
        <v>-0.74279293800000001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0.20808973</v>
      </c>
      <c r="W11" s="42">
        <f t="shared" si="2"/>
        <v>1983.1</v>
      </c>
      <c r="X11" s="42">
        <f t="shared" si="3"/>
        <v>-0.74279293800000001</v>
      </c>
      <c r="AC11" s="44"/>
      <c r="AD11" s="45"/>
      <c r="AE11" s="41"/>
    </row>
    <row r="12" spans="1:31" x14ac:dyDescent="0.4">
      <c r="A12" s="1" t="s">
        <v>186</v>
      </c>
      <c r="B12" s="1" t="s">
        <v>59</v>
      </c>
      <c r="C12" s="1" t="s">
        <v>187</v>
      </c>
      <c r="D12" s="1" t="s">
        <v>188</v>
      </c>
      <c r="E12" s="1" t="s">
        <v>189</v>
      </c>
      <c r="H12" s="1">
        <v>1</v>
      </c>
      <c r="L12" s="44">
        <v>46084</v>
      </c>
      <c r="M12" s="1" t="s">
        <v>86</v>
      </c>
      <c r="N12" s="1">
        <v>1.6103536000000001</v>
      </c>
      <c r="O12" s="1">
        <v>1983.1</v>
      </c>
      <c r="P12" s="1">
        <v>3193.4922241600002</v>
      </c>
      <c r="Q12" s="1">
        <v>-5.7482860029999996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1.6103536000000001</v>
      </c>
      <c r="W12" s="42">
        <f t="shared" si="2"/>
        <v>1983.1</v>
      </c>
      <c r="X12" s="42">
        <f t="shared" si="3"/>
        <v>-5.7482860029999996</v>
      </c>
      <c r="AC12" s="44"/>
      <c r="AD12" s="45"/>
      <c r="AE12" s="41"/>
    </row>
    <row r="13" spans="1:31" x14ac:dyDescent="0.4">
      <c r="A13" s="1" t="s">
        <v>186</v>
      </c>
      <c r="B13" s="1" t="s">
        <v>59</v>
      </c>
      <c r="C13" s="1" t="s">
        <v>187</v>
      </c>
      <c r="D13" s="1" t="s">
        <v>188</v>
      </c>
      <c r="E13" s="1" t="s">
        <v>189</v>
      </c>
      <c r="H13" s="1">
        <v>1</v>
      </c>
      <c r="L13" s="44">
        <v>46084</v>
      </c>
      <c r="M13" s="1" t="s">
        <v>86</v>
      </c>
      <c r="N13" s="1">
        <v>0.21435478999999999</v>
      </c>
      <c r="O13" s="1">
        <v>1983.1</v>
      </c>
      <c r="P13" s="1">
        <v>425.08698404900002</v>
      </c>
      <c r="Q13" s="1">
        <v>-0.76515657100000001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0.21435478999999999</v>
      </c>
      <c r="W13" s="42">
        <f t="shared" si="2"/>
        <v>1983.1</v>
      </c>
      <c r="X13" s="42">
        <f t="shared" si="3"/>
        <v>-0.76515657100000001</v>
      </c>
      <c r="AC13" s="44"/>
      <c r="AD13" s="45"/>
      <c r="AE13" s="41"/>
    </row>
    <row r="14" spans="1:31" x14ac:dyDescent="0.4">
      <c r="A14" s="1" t="s">
        <v>186</v>
      </c>
      <c r="B14" s="1" t="s">
        <v>59</v>
      </c>
      <c r="C14" s="1" t="s">
        <v>187</v>
      </c>
      <c r="D14" s="1" t="s">
        <v>188</v>
      </c>
      <c r="E14" s="1" t="s">
        <v>189</v>
      </c>
      <c r="H14" s="1">
        <v>1</v>
      </c>
      <c r="L14" s="44">
        <v>46084</v>
      </c>
      <c r="M14" s="1" t="s">
        <v>86</v>
      </c>
      <c r="N14" s="1">
        <v>0.26617475000000002</v>
      </c>
      <c r="O14" s="1">
        <v>1983.1</v>
      </c>
      <c r="P14" s="1">
        <v>527.85114672500004</v>
      </c>
      <c r="Q14" s="1">
        <v>-0.95013206400000005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0.26617475000000002</v>
      </c>
      <c r="W14" s="42">
        <f t="shared" si="2"/>
        <v>1983.1</v>
      </c>
      <c r="X14" s="42">
        <f t="shared" si="3"/>
        <v>-0.95013206400000005</v>
      </c>
      <c r="AC14" s="44"/>
      <c r="AD14" s="45"/>
      <c r="AE14" s="41"/>
    </row>
    <row r="15" spans="1:31" x14ac:dyDescent="0.4">
      <c r="A15" s="1" t="s">
        <v>186</v>
      </c>
      <c r="B15" s="1" t="s">
        <v>59</v>
      </c>
      <c r="C15" s="1" t="s">
        <v>187</v>
      </c>
      <c r="D15" s="1" t="s">
        <v>188</v>
      </c>
      <c r="E15" s="1" t="s">
        <v>189</v>
      </c>
      <c r="H15" s="1">
        <v>1</v>
      </c>
      <c r="L15" s="44">
        <v>46084</v>
      </c>
      <c r="M15" s="1" t="s">
        <v>86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186</v>
      </c>
      <c r="B16" s="1" t="s">
        <v>59</v>
      </c>
      <c r="C16" s="1" t="s">
        <v>187</v>
      </c>
      <c r="D16" s="1" t="s">
        <v>188</v>
      </c>
      <c r="E16" s="1" t="s">
        <v>189</v>
      </c>
      <c r="H16" s="1">
        <v>1</v>
      </c>
      <c r="L16" s="44">
        <v>46084</v>
      </c>
      <c r="M16" s="1" t="s">
        <v>86</v>
      </c>
      <c r="N16" s="1">
        <v>6.1754577399999997</v>
      </c>
      <c r="O16" s="1">
        <v>1983.1</v>
      </c>
      <c r="P16" s="1">
        <v>12246.550244194001</v>
      </c>
      <c r="Q16" s="1">
        <v>-22.043790439999999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6.1754577399999997</v>
      </c>
      <c r="W16" s="42">
        <f t="shared" si="2"/>
        <v>1983.1</v>
      </c>
      <c r="X16" s="42">
        <f t="shared" si="3"/>
        <v>-22.043790439999999</v>
      </c>
      <c r="AC16" s="44"/>
      <c r="AD16" s="45"/>
      <c r="AE16" s="41"/>
    </row>
    <row r="17" spans="1:31" x14ac:dyDescent="0.4">
      <c r="A17" s="1" t="s">
        <v>186</v>
      </c>
      <c r="B17" s="1" t="s">
        <v>59</v>
      </c>
      <c r="C17" s="1" t="s">
        <v>187</v>
      </c>
      <c r="D17" s="1" t="s">
        <v>188</v>
      </c>
      <c r="E17" s="1" t="s">
        <v>189</v>
      </c>
      <c r="H17" s="1">
        <v>1</v>
      </c>
      <c r="L17" s="44">
        <v>46084</v>
      </c>
      <c r="M17" s="1" t="s">
        <v>86</v>
      </c>
      <c r="N17" s="1">
        <v>6.1710219200000003</v>
      </c>
      <c r="O17" s="1">
        <v>1983.1</v>
      </c>
      <c r="P17" s="1">
        <v>12237.753569552</v>
      </c>
      <c r="Q17" s="1">
        <v>-22.027956424999999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6.1710219200000003</v>
      </c>
      <c r="W17" s="42">
        <f t="shared" si="2"/>
        <v>1983.1</v>
      </c>
      <c r="X17" s="42">
        <f t="shared" si="3"/>
        <v>-22.027956424999999</v>
      </c>
      <c r="AC17" s="44"/>
      <c r="AD17" s="45"/>
      <c r="AE17" s="41"/>
    </row>
    <row r="18" spans="1:31" x14ac:dyDescent="0.4">
      <c r="A18" s="1" t="s">
        <v>186</v>
      </c>
      <c r="B18" s="1" t="s">
        <v>59</v>
      </c>
      <c r="C18" s="1" t="s">
        <v>187</v>
      </c>
      <c r="D18" s="1" t="s">
        <v>188</v>
      </c>
      <c r="E18" s="1" t="s">
        <v>189</v>
      </c>
      <c r="H18" s="1">
        <v>1</v>
      </c>
      <c r="L18" s="44">
        <v>46084</v>
      </c>
      <c r="M18" s="1" t="s">
        <v>86</v>
      </c>
      <c r="N18" s="1">
        <v>6.1193113600000002</v>
      </c>
      <c r="O18" s="1">
        <v>1983.1</v>
      </c>
      <c r="P18" s="1">
        <v>12135.206358015999</v>
      </c>
      <c r="Q18" s="1">
        <v>-21.843371443999999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6.1193113600000002</v>
      </c>
      <c r="W18" s="42">
        <f t="shared" ref="W18:W36" si="10">O18</f>
        <v>1983.1</v>
      </c>
      <c r="X18" s="42">
        <f t="shared" ref="X18:X36" si="11">Q18</f>
        <v>-21.843371443999999</v>
      </c>
      <c r="AC18" s="44"/>
      <c r="AD18" s="45"/>
      <c r="AE18" s="41"/>
    </row>
    <row r="19" spans="1:31" x14ac:dyDescent="0.4">
      <c r="A19" s="1" t="s">
        <v>186</v>
      </c>
      <c r="B19" s="1" t="s">
        <v>59</v>
      </c>
      <c r="C19" s="1" t="s">
        <v>187</v>
      </c>
      <c r="D19" s="1" t="s">
        <v>188</v>
      </c>
      <c r="E19" s="1" t="s">
        <v>189</v>
      </c>
      <c r="H19" s="1">
        <v>1</v>
      </c>
      <c r="L19" s="44">
        <v>46084</v>
      </c>
      <c r="M19" s="1" t="s">
        <v>86</v>
      </c>
      <c r="N19" s="1">
        <v>6.1193113600000002</v>
      </c>
      <c r="O19" s="1">
        <v>1983.1</v>
      </c>
      <c r="P19" s="1">
        <v>12135.206358015999</v>
      </c>
      <c r="Q19" s="1">
        <v>-21.843371443999999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6.1193113600000002</v>
      </c>
      <c r="W19" s="42">
        <f t="shared" si="10"/>
        <v>1983.1</v>
      </c>
      <c r="X19" s="42">
        <f t="shared" si="11"/>
        <v>-21.843371443999999</v>
      </c>
      <c r="AC19" s="44"/>
      <c r="AD19" s="45"/>
      <c r="AE19" s="41"/>
    </row>
    <row r="20" spans="1:31" x14ac:dyDescent="0.4">
      <c r="A20" s="1" t="s">
        <v>186</v>
      </c>
      <c r="B20" s="1" t="s">
        <v>59</v>
      </c>
      <c r="C20" s="1" t="s">
        <v>187</v>
      </c>
      <c r="D20" s="1" t="s">
        <v>188</v>
      </c>
      <c r="E20" s="1" t="s">
        <v>189</v>
      </c>
      <c r="H20" s="1">
        <v>1</v>
      </c>
      <c r="L20" s="44">
        <v>46084</v>
      </c>
      <c r="M20" s="1" t="s">
        <v>86</v>
      </c>
      <c r="N20" s="1">
        <v>2.6789095199999999</v>
      </c>
      <c r="O20" s="1">
        <v>1983.1</v>
      </c>
      <c r="P20" s="1">
        <v>5312.5454691120003</v>
      </c>
      <c r="Q20" s="1">
        <v>-9.5625818440000003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2.6789095199999999</v>
      </c>
      <c r="W20" s="42">
        <f t="shared" si="10"/>
        <v>1983.1</v>
      </c>
      <c r="X20" s="42">
        <f t="shared" si="11"/>
        <v>-9.5625818440000003</v>
      </c>
      <c r="AC20" s="44"/>
      <c r="AD20" s="45"/>
      <c r="AE20" s="41"/>
    </row>
    <row r="21" spans="1:31" x14ac:dyDescent="0.4">
      <c r="A21" s="1" t="s">
        <v>186</v>
      </c>
      <c r="B21" s="1" t="s">
        <v>59</v>
      </c>
      <c r="C21" s="1" t="s">
        <v>187</v>
      </c>
      <c r="D21" s="1" t="s">
        <v>188</v>
      </c>
      <c r="E21" s="1" t="s">
        <v>189</v>
      </c>
      <c r="H21" s="1">
        <v>1</v>
      </c>
      <c r="L21" s="44">
        <v>46087</v>
      </c>
      <c r="M21" s="1" t="s">
        <v>304</v>
      </c>
      <c r="N21" s="1">
        <v>-3</v>
      </c>
      <c r="O21" s="1">
        <v>2000</v>
      </c>
      <c r="P21" s="1">
        <v>-6000</v>
      </c>
      <c r="Q21" s="1">
        <v>-9.2536833119999997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-3</v>
      </c>
      <c r="W21" s="42">
        <f t="shared" si="10"/>
        <v>2000</v>
      </c>
      <c r="X21" s="42">
        <f t="shared" si="11"/>
        <v>-9.2536833119999997</v>
      </c>
      <c r="AC21" s="44"/>
      <c r="AD21" s="45"/>
      <c r="AE21" s="41"/>
    </row>
    <row r="22" spans="1:31" x14ac:dyDescent="0.4">
      <c r="A22" s="1" t="s">
        <v>186</v>
      </c>
      <c r="B22" s="1" t="s">
        <v>59</v>
      </c>
      <c r="C22" s="1" t="s">
        <v>187</v>
      </c>
      <c r="D22" s="1" t="s">
        <v>188</v>
      </c>
      <c r="E22" s="1" t="s">
        <v>189</v>
      </c>
      <c r="H22" s="1">
        <v>1</v>
      </c>
      <c r="L22" s="44">
        <v>46087</v>
      </c>
      <c r="M22" s="1" t="s">
        <v>304</v>
      </c>
      <c r="N22" s="1">
        <v>-5.4977520200000001</v>
      </c>
      <c r="O22" s="1">
        <v>2000</v>
      </c>
      <c r="P22" s="1">
        <v>-10995.50404</v>
      </c>
      <c r="Q22" s="1">
        <v>-16.49325606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-5.4977520200000001</v>
      </c>
      <c r="W22" s="42">
        <f t="shared" si="10"/>
        <v>2000</v>
      </c>
      <c r="X22" s="42">
        <f t="shared" si="11"/>
        <v>-16.49325606</v>
      </c>
      <c r="AC22" s="44"/>
      <c r="AD22" s="45"/>
      <c r="AE22" s="41"/>
    </row>
    <row r="23" spans="1:31" x14ac:dyDescent="0.4">
      <c r="A23" s="1" t="s">
        <v>186</v>
      </c>
      <c r="B23" s="1" t="s">
        <v>59</v>
      </c>
      <c r="C23" s="1" t="s">
        <v>187</v>
      </c>
      <c r="D23" s="1" t="s">
        <v>188</v>
      </c>
      <c r="E23" s="1" t="s">
        <v>189</v>
      </c>
      <c r="H23" s="1">
        <v>1</v>
      </c>
      <c r="L23" s="44">
        <v>46087</v>
      </c>
      <c r="M23" s="1" t="s">
        <v>304</v>
      </c>
      <c r="N23" s="1">
        <v>-5.5477520199999999</v>
      </c>
      <c r="O23" s="1">
        <v>2000</v>
      </c>
      <c r="P23" s="1">
        <v>-11095.50404</v>
      </c>
      <c r="Q23" s="1">
        <v>-16.643256059999999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-5.5477520199999999</v>
      </c>
      <c r="W23" s="42">
        <f t="shared" si="10"/>
        <v>2000</v>
      </c>
      <c r="X23" s="42">
        <f t="shared" si="11"/>
        <v>-16.643256059999999</v>
      </c>
      <c r="AC23" s="44"/>
      <c r="AD23" s="45"/>
      <c r="AE23" s="41"/>
    </row>
    <row r="24" spans="1:31" x14ac:dyDescent="0.4">
      <c r="A24" s="1" t="s">
        <v>186</v>
      </c>
      <c r="B24" s="1" t="s">
        <v>59</v>
      </c>
      <c r="C24" s="1" t="s">
        <v>187</v>
      </c>
      <c r="D24" s="1" t="s">
        <v>188</v>
      </c>
      <c r="E24" s="1" t="s">
        <v>189</v>
      </c>
      <c r="H24" s="1">
        <v>1</v>
      </c>
      <c r="L24" s="44">
        <v>46087</v>
      </c>
      <c r="M24" s="1" t="s">
        <v>304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186</v>
      </c>
      <c r="B25" s="1" t="s">
        <v>59</v>
      </c>
      <c r="C25" s="1" t="s">
        <v>187</v>
      </c>
      <c r="D25" s="1" t="s">
        <v>188</v>
      </c>
      <c r="E25" s="1" t="s">
        <v>189</v>
      </c>
      <c r="H25" s="1">
        <v>1</v>
      </c>
      <c r="L25" s="44">
        <v>46087</v>
      </c>
      <c r="M25" s="1" t="s">
        <v>304</v>
      </c>
      <c r="N25" s="1">
        <v>-0.05</v>
      </c>
      <c r="O25" s="1">
        <v>2000</v>
      </c>
      <c r="P25" s="1">
        <v>-100</v>
      </c>
      <c r="Q25" s="1">
        <v>-0.15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-0.05</v>
      </c>
      <c r="W25" s="42">
        <f t="shared" si="10"/>
        <v>2000</v>
      </c>
      <c r="X25" s="42">
        <f t="shared" si="11"/>
        <v>-0.15</v>
      </c>
      <c r="AC25" s="44"/>
      <c r="AD25" s="45"/>
      <c r="AE25" s="41"/>
    </row>
    <row r="26" spans="1:31" x14ac:dyDescent="0.4">
      <c r="A26" s="1" t="s">
        <v>186</v>
      </c>
      <c r="B26" s="1" t="s">
        <v>59</v>
      </c>
      <c r="C26" s="1" t="s">
        <v>187</v>
      </c>
      <c r="D26" s="1" t="s">
        <v>188</v>
      </c>
      <c r="E26" s="1" t="s">
        <v>189</v>
      </c>
      <c r="H26" s="1">
        <v>1</v>
      </c>
      <c r="L26" s="44">
        <v>46087</v>
      </c>
      <c r="M26" s="1" t="s">
        <v>304</v>
      </c>
      <c r="N26" s="1">
        <v>-0.2918</v>
      </c>
      <c r="O26" s="1">
        <v>2000</v>
      </c>
      <c r="P26" s="1">
        <v>-583.6</v>
      </c>
      <c r="Q26" s="1">
        <v>-0.87539999999999996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-0.2918</v>
      </c>
      <c r="W26" s="42">
        <f t="shared" si="10"/>
        <v>2000</v>
      </c>
      <c r="X26" s="42">
        <f t="shared" si="11"/>
        <v>-0.87539999999999996</v>
      </c>
      <c r="AC26" s="44"/>
      <c r="AD26" s="45"/>
      <c r="AE26" s="41"/>
    </row>
    <row r="27" spans="1:31" x14ac:dyDescent="0.4">
      <c r="A27" s="1" t="s">
        <v>186</v>
      </c>
      <c r="B27" s="1" t="s">
        <v>59</v>
      </c>
      <c r="C27" s="1" t="s">
        <v>187</v>
      </c>
      <c r="D27" s="1" t="s">
        <v>188</v>
      </c>
      <c r="E27" s="1" t="s">
        <v>189</v>
      </c>
      <c r="H27" s="1">
        <v>1</v>
      </c>
      <c r="L27" s="44">
        <v>46087</v>
      </c>
      <c r="M27" s="1" t="s">
        <v>304</v>
      </c>
      <c r="N27" s="1">
        <v>-5.7895520200000004</v>
      </c>
      <c r="O27" s="1">
        <v>2000</v>
      </c>
      <c r="P27" s="1">
        <v>-11579.10404</v>
      </c>
      <c r="Q27" s="1">
        <v>-17.368656059999999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-5.7895520200000004</v>
      </c>
      <c r="W27" s="42">
        <f t="shared" si="10"/>
        <v>2000</v>
      </c>
      <c r="X27" s="42">
        <f t="shared" si="11"/>
        <v>-17.368656059999999</v>
      </c>
      <c r="AC27" s="44"/>
      <c r="AD27" s="45"/>
      <c r="AE27" s="41"/>
    </row>
    <row r="28" spans="1:31" x14ac:dyDescent="0.4">
      <c r="A28" s="1" t="s">
        <v>186</v>
      </c>
      <c r="B28" s="1" t="s">
        <v>59</v>
      </c>
      <c r="C28" s="1" t="s">
        <v>187</v>
      </c>
      <c r="D28" s="1" t="s">
        <v>188</v>
      </c>
      <c r="E28" s="1" t="s">
        <v>189</v>
      </c>
      <c r="H28" s="1">
        <v>1</v>
      </c>
      <c r="L28" s="44">
        <v>46087</v>
      </c>
      <c r="M28" s="1" t="s">
        <v>304</v>
      </c>
      <c r="N28" s="1">
        <v>-0.24179999999999999</v>
      </c>
      <c r="O28" s="1">
        <v>2000</v>
      </c>
      <c r="P28" s="1">
        <v>-483.6</v>
      </c>
      <c r="Q28" s="1">
        <v>-0.72540000000000004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-0.24179999999999999</v>
      </c>
      <c r="W28" s="42">
        <f t="shared" si="10"/>
        <v>2000</v>
      </c>
      <c r="X28" s="42">
        <f t="shared" si="11"/>
        <v>-0.72540000000000004</v>
      </c>
      <c r="AC28" s="44"/>
      <c r="AD28" s="45"/>
      <c r="AE28" s="41"/>
    </row>
    <row r="29" spans="1:31" x14ac:dyDescent="0.4">
      <c r="A29" s="1" t="s">
        <v>186</v>
      </c>
      <c r="B29" s="1" t="s">
        <v>59</v>
      </c>
      <c r="C29" s="1" t="s">
        <v>187</v>
      </c>
      <c r="D29" s="1" t="s">
        <v>188</v>
      </c>
      <c r="E29" s="1" t="s">
        <v>189</v>
      </c>
      <c r="H29" s="1">
        <v>1</v>
      </c>
      <c r="L29" s="44">
        <v>46087</v>
      </c>
      <c r="M29" s="1" t="s">
        <v>304</v>
      </c>
      <c r="N29" s="1">
        <v>-0.24179999999999999</v>
      </c>
      <c r="O29" s="1">
        <v>2000</v>
      </c>
      <c r="P29" s="1">
        <v>-483.6</v>
      </c>
      <c r="Q29" s="1">
        <v>-0.72540000000000004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-0.24179999999999999</v>
      </c>
      <c r="W29" s="42">
        <f t="shared" si="10"/>
        <v>2000</v>
      </c>
      <c r="X29" s="42">
        <f t="shared" si="11"/>
        <v>-0.72540000000000004</v>
      </c>
      <c r="AC29" s="44"/>
      <c r="AD29" s="45"/>
      <c r="AE29" s="41"/>
    </row>
    <row r="30" spans="1:31" x14ac:dyDescent="0.4">
      <c r="A30" s="1" t="s">
        <v>186</v>
      </c>
      <c r="B30" s="1" t="s">
        <v>59</v>
      </c>
      <c r="C30" s="1" t="s">
        <v>187</v>
      </c>
      <c r="D30" s="1" t="s">
        <v>188</v>
      </c>
      <c r="E30" s="1" t="s">
        <v>189</v>
      </c>
      <c r="H30" s="1">
        <v>1</v>
      </c>
      <c r="L30" s="44">
        <v>46087</v>
      </c>
      <c r="M30" s="1" t="s">
        <v>304</v>
      </c>
      <c r="N30" s="1">
        <v>-5.9996570199999999</v>
      </c>
      <c r="O30" s="1">
        <v>2000</v>
      </c>
      <c r="P30" s="1">
        <v>-11999.314039999999</v>
      </c>
      <c r="Q30" s="1">
        <v>-17.998971059999999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-5.9996570199999999</v>
      </c>
      <c r="W30" s="42">
        <f t="shared" si="10"/>
        <v>2000</v>
      </c>
      <c r="X30" s="42">
        <f t="shared" si="11"/>
        <v>-17.998971059999999</v>
      </c>
      <c r="AC30" s="44"/>
      <c r="AD30" s="45"/>
      <c r="AE30" s="41"/>
    </row>
    <row r="31" spans="1:31" x14ac:dyDescent="0.4">
      <c r="A31" s="1" t="s">
        <v>186</v>
      </c>
      <c r="B31" s="1" t="s">
        <v>59</v>
      </c>
      <c r="C31" s="1" t="s">
        <v>187</v>
      </c>
      <c r="D31" s="1" t="s">
        <v>188</v>
      </c>
      <c r="E31" s="1" t="s">
        <v>189</v>
      </c>
      <c r="H31" s="1">
        <v>1</v>
      </c>
      <c r="L31" s="44">
        <v>46087</v>
      </c>
      <c r="M31" s="1" t="s">
        <v>304</v>
      </c>
      <c r="N31" s="1">
        <v>-2.4973153799999999</v>
      </c>
      <c r="O31" s="1">
        <v>2002.15</v>
      </c>
      <c r="P31" s="1">
        <v>-4999.9999880670002</v>
      </c>
      <c r="Q31" s="1">
        <v>-7.4999999820000003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-2.4973153799999999</v>
      </c>
      <c r="W31" s="42">
        <f t="shared" si="10"/>
        <v>2002.15</v>
      </c>
      <c r="X31" s="42">
        <f t="shared" si="11"/>
        <v>-7.4999999820000003</v>
      </c>
      <c r="AC31" s="44"/>
      <c r="AD31" s="45"/>
      <c r="AE31" s="41"/>
    </row>
    <row r="32" spans="1:31" x14ac:dyDescent="0.4">
      <c r="A32" s="1" t="s">
        <v>186</v>
      </c>
      <c r="B32" s="1" t="s">
        <v>59</v>
      </c>
      <c r="C32" s="1" t="s">
        <v>187</v>
      </c>
      <c r="D32" s="1" t="s">
        <v>188</v>
      </c>
      <c r="E32" s="1" t="s">
        <v>189</v>
      </c>
      <c r="H32" s="1">
        <v>1</v>
      </c>
      <c r="L32" s="44">
        <v>46087</v>
      </c>
      <c r="M32" s="1" t="s">
        <v>304</v>
      </c>
      <c r="N32" s="1">
        <v>-1.0847240199999999</v>
      </c>
      <c r="O32" s="1">
        <v>2000</v>
      </c>
      <c r="P32" s="1">
        <v>-2169.4480400000002</v>
      </c>
      <c r="Q32" s="1">
        <v>-3.2541720600000001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-1.0847240199999999</v>
      </c>
      <c r="W32" s="42">
        <f t="shared" si="10"/>
        <v>2000</v>
      </c>
      <c r="X32" s="42">
        <f t="shared" si="11"/>
        <v>-3.2541720600000001</v>
      </c>
      <c r="AC32" s="44"/>
      <c r="AD32" s="45"/>
      <c r="AE32" s="41"/>
    </row>
    <row r="33" spans="1:31" x14ac:dyDescent="0.4">
      <c r="A33" s="1" t="s">
        <v>186</v>
      </c>
      <c r="B33" s="1" t="s">
        <v>59</v>
      </c>
      <c r="C33" s="1" t="s">
        <v>187</v>
      </c>
      <c r="D33" s="1" t="s">
        <v>188</v>
      </c>
      <c r="E33" s="1" t="s">
        <v>189</v>
      </c>
      <c r="H33" s="1">
        <v>1</v>
      </c>
      <c r="L33" s="44">
        <v>46087</v>
      </c>
      <c r="M33" s="1" t="s">
        <v>304</v>
      </c>
      <c r="N33" s="1">
        <v>-0.21252689</v>
      </c>
      <c r="O33" s="1">
        <v>2000</v>
      </c>
      <c r="P33" s="1">
        <v>-425.05378000000002</v>
      </c>
      <c r="Q33" s="1">
        <v>-0.63758066999999996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-0.21252689</v>
      </c>
      <c r="W33" s="42">
        <f t="shared" si="10"/>
        <v>2000</v>
      </c>
      <c r="X33" s="42">
        <f t="shared" si="11"/>
        <v>-0.63758066999999996</v>
      </c>
      <c r="AC33" s="44"/>
      <c r="AD33" s="45"/>
      <c r="AE33" s="41"/>
    </row>
    <row r="34" spans="1:31" x14ac:dyDescent="0.4">
      <c r="A34" s="1" t="s">
        <v>186</v>
      </c>
      <c r="B34" s="1" t="s">
        <v>59</v>
      </c>
      <c r="C34" s="1" t="s">
        <v>187</v>
      </c>
      <c r="D34" s="1" t="s">
        <v>188</v>
      </c>
      <c r="E34" s="1" t="s">
        <v>189</v>
      </c>
      <c r="H34" s="1">
        <v>1</v>
      </c>
      <c r="L34" s="44">
        <v>46087</v>
      </c>
      <c r="M34" s="1" t="s">
        <v>304</v>
      </c>
      <c r="N34" s="1">
        <v>-2.2592068799999998</v>
      </c>
      <c r="O34" s="1">
        <v>2000</v>
      </c>
      <c r="P34" s="1">
        <v>-4518.4137600000004</v>
      </c>
      <c r="Q34" s="1">
        <v>-6.7776206400000003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-2.2592068799999998</v>
      </c>
      <c r="W34" s="42">
        <f t="shared" si="10"/>
        <v>2000</v>
      </c>
      <c r="X34" s="42">
        <f t="shared" si="11"/>
        <v>-6.7776206400000003</v>
      </c>
    </row>
    <row r="35" spans="1:31" x14ac:dyDescent="0.4">
      <c r="A35" s="1" t="s">
        <v>186</v>
      </c>
      <c r="B35" s="1" t="s">
        <v>59</v>
      </c>
      <c r="C35" s="1" t="s">
        <v>187</v>
      </c>
      <c r="D35" s="1" t="s">
        <v>188</v>
      </c>
      <c r="E35" s="1" t="s">
        <v>189</v>
      </c>
      <c r="H35" s="1">
        <v>1</v>
      </c>
      <c r="L35" s="44">
        <v>46087</v>
      </c>
      <c r="M35" s="1" t="s">
        <v>304</v>
      </c>
      <c r="N35" s="1">
        <v>-1.96740688</v>
      </c>
      <c r="O35" s="1">
        <v>2000</v>
      </c>
      <c r="P35" s="1">
        <v>-3934.81376</v>
      </c>
      <c r="Q35" s="1">
        <v>-5.9022206400000004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-1.96740688</v>
      </c>
      <c r="W35" s="42">
        <f t="shared" si="10"/>
        <v>2000</v>
      </c>
      <c r="X35" s="42">
        <f t="shared" si="11"/>
        <v>-5.9022206400000004</v>
      </c>
    </row>
    <row r="36" spans="1:31" x14ac:dyDescent="0.4">
      <c r="A36" s="1" t="s">
        <v>186</v>
      </c>
      <c r="B36" s="1" t="s">
        <v>59</v>
      </c>
      <c r="C36" s="1" t="s">
        <v>187</v>
      </c>
      <c r="D36" s="1" t="s">
        <v>188</v>
      </c>
      <c r="E36" s="1" t="s">
        <v>189</v>
      </c>
      <c r="H36" s="1">
        <v>1</v>
      </c>
      <c r="L36" s="44">
        <v>46087</v>
      </c>
      <c r="M36" s="1" t="s">
        <v>304</v>
      </c>
      <c r="N36" s="1">
        <v>-4.0489291700000001</v>
      </c>
      <c r="O36" s="1">
        <v>2000</v>
      </c>
      <c r="P36" s="1">
        <v>-8097.8583399999998</v>
      </c>
      <c r="Q36" s="1">
        <v>-12.146787509999999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-4.0489291700000001</v>
      </c>
      <c r="W36" s="42">
        <f t="shared" si="10"/>
        <v>2000</v>
      </c>
      <c r="X36" s="42">
        <f t="shared" si="11"/>
        <v>-12.146787509999999</v>
      </c>
    </row>
    <row r="37" spans="1:31" x14ac:dyDescent="0.4">
      <c r="A37" s="1" t="s">
        <v>186</v>
      </c>
      <c r="B37" s="1" t="s">
        <v>59</v>
      </c>
      <c r="C37" s="1" t="s">
        <v>187</v>
      </c>
      <c r="D37" s="1" t="s">
        <v>188</v>
      </c>
      <c r="E37" s="1" t="s">
        <v>189</v>
      </c>
      <c r="H37" s="1">
        <v>1</v>
      </c>
      <c r="L37" s="44">
        <v>46087</v>
      </c>
      <c r="M37" s="1" t="s">
        <v>304</v>
      </c>
      <c r="N37" s="1">
        <v>-3.5134851600000001</v>
      </c>
      <c r="O37" s="1">
        <v>2000</v>
      </c>
      <c r="P37" s="1">
        <v>-7026.9703200000004</v>
      </c>
      <c r="Q37" s="1">
        <v>-10.54045548</v>
      </c>
      <c r="R37" s="1" t="s">
        <v>59</v>
      </c>
      <c r="T37" s="43">
        <f>IF(ISNUMBER(VLOOKUP(U37,Blotter!B:C,2,0)),VLOOKUP(U37,Blotter!B:C,2,0),"")</f>
        <v>1</v>
      </c>
      <c r="U37" s="42" t="str">
        <f t="shared" ref="U37:U39" si="12">D37</f>
        <v>ETH.USD-PAXOS</v>
      </c>
      <c r="V37" s="42">
        <f t="shared" ref="V37:V39" si="13">N37</f>
        <v>-3.5134851600000001</v>
      </c>
      <c r="W37" s="42">
        <f t="shared" ref="W37:W39" si="14">O37</f>
        <v>2000</v>
      </c>
      <c r="X37" s="42">
        <f t="shared" ref="X37:X39" si="15">Q37</f>
        <v>-10.54045548</v>
      </c>
    </row>
    <row r="38" spans="1:31" x14ac:dyDescent="0.4">
      <c r="A38" s="1" t="s">
        <v>186</v>
      </c>
      <c r="B38" s="1" t="s">
        <v>59</v>
      </c>
      <c r="C38" s="1" t="s">
        <v>187</v>
      </c>
      <c r="D38" s="1" t="s">
        <v>188</v>
      </c>
      <c r="E38" s="1" t="s">
        <v>189</v>
      </c>
      <c r="H38" s="1">
        <v>1</v>
      </c>
      <c r="L38" s="44">
        <v>46087</v>
      </c>
      <c r="M38" s="1" t="s">
        <v>304</v>
      </c>
      <c r="N38" s="1">
        <v>-1.45325536</v>
      </c>
      <c r="O38" s="1">
        <v>2000</v>
      </c>
      <c r="P38" s="1">
        <v>-2906.5107200000002</v>
      </c>
      <c r="Q38" s="1">
        <v>-4.35976608</v>
      </c>
      <c r="R38" s="1" t="s">
        <v>59</v>
      </c>
      <c r="T38" s="43">
        <f>IF(ISNUMBER(VLOOKUP(U38,Blotter!B:C,2,0)),VLOOKUP(U38,Blotter!B:C,2,0),"")</f>
        <v>1</v>
      </c>
      <c r="U38" s="42" t="str">
        <f t="shared" si="12"/>
        <v>ETH.USD-PAXOS</v>
      </c>
      <c r="V38" s="42">
        <f t="shared" si="13"/>
        <v>-1.45325536</v>
      </c>
      <c r="W38" s="42">
        <f t="shared" si="14"/>
        <v>2000</v>
      </c>
      <c r="X38" s="42">
        <f t="shared" si="15"/>
        <v>-4.35976608</v>
      </c>
    </row>
    <row r="39" spans="1:31" x14ac:dyDescent="0.4">
      <c r="A39" s="1" t="s">
        <v>186</v>
      </c>
      <c r="B39" s="1" t="s">
        <v>59</v>
      </c>
      <c r="C39" s="1" t="s">
        <v>187</v>
      </c>
      <c r="D39" s="1" t="s">
        <v>188</v>
      </c>
      <c r="E39" s="1" t="s">
        <v>189</v>
      </c>
      <c r="H39" s="1">
        <v>1</v>
      </c>
      <c r="L39" s="44">
        <v>46087</v>
      </c>
      <c r="M39" s="1" t="s">
        <v>304</v>
      </c>
      <c r="N39" s="1">
        <v>-0.51348516</v>
      </c>
      <c r="O39" s="1">
        <v>2000</v>
      </c>
      <c r="P39" s="1">
        <v>-1026.9703199999999</v>
      </c>
      <c r="Q39" s="1">
        <v>-1.5404554800000001</v>
      </c>
      <c r="R39" s="1" t="s">
        <v>59</v>
      </c>
      <c r="T39" s="43">
        <f>IF(ISNUMBER(VLOOKUP(U39,Blotter!B:C,2,0)),VLOOKUP(U39,Blotter!B:C,2,0),"")</f>
        <v>1</v>
      </c>
      <c r="U39" s="42" t="str">
        <f t="shared" si="12"/>
        <v>ETH.USD-PAXOS</v>
      </c>
      <c r="V39" s="42">
        <f t="shared" si="13"/>
        <v>-0.51348516</v>
      </c>
      <c r="W39" s="42">
        <f t="shared" si="14"/>
        <v>2000</v>
      </c>
      <c r="X39" s="42">
        <f t="shared" si="15"/>
        <v>-1.5404554800000001</v>
      </c>
    </row>
    <row r="40" spans="1:31" x14ac:dyDescent="0.4">
      <c r="A40" s="1" t="s">
        <v>305</v>
      </c>
      <c r="B40" s="1" t="s">
        <v>59</v>
      </c>
      <c r="C40" s="1" t="s">
        <v>317</v>
      </c>
      <c r="D40" s="1" t="s">
        <v>319</v>
      </c>
      <c r="E40" s="1" t="s">
        <v>326</v>
      </c>
      <c r="F40" s="1" t="s">
        <v>60</v>
      </c>
      <c r="G40" s="1" t="s">
        <v>327</v>
      </c>
      <c r="H40" s="1">
        <v>1000</v>
      </c>
      <c r="I40" s="1">
        <v>55</v>
      </c>
      <c r="J40" s="44">
        <v>46156</v>
      </c>
      <c r="K40" s="1" t="s">
        <v>314</v>
      </c>
      <c r="L40" s="44">
        <v>46097</v>
      </c>
      <c r="M40" s="1" t="s">
        <v>304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305</v>
      </c>
      <c r="B41" s="1" t="s">
        <v>59</v>
      </c>
      <c r="C41" s="1" t="s">
        <v>317</v>
      </c>
      <c r="D41" s="1" t="s">
        <v>318</v>
      </c>
      <c r="E41" s="1" t="s">
        <v>328</v>
      </c>
      <c r="F41" s="1" t="s">
        <v>60</v>
      </c>
      <c r="G41" s="1" t="s">
        <v>327</v>
      </c>
      <c r="H41" s="1">
        <v>1000</v>
      </c>
      <c r="I41" s="1">
        <v>75</v>
      </c>
      <c r="J41" s="44">
        <v>46156</v>
      </c>
      <c r="K41" s="1" t="s">
        <v>314</v>
      </c>
      <c r="L41" s="44">
        <v>46097</v>
      </c>
      <c r="M41" s="1" t="s">
        <v>86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T42" s="43"/>
      <c r="U42" s="42"/>
      <c r="V42" s="42"/>
      <c r="W42" s="42"/>
      <c r="X42" s="42"/>
    </row>
    <row r="43" spans="1:31" x14ac:dyDescent="0.4">
      <c r="T43" s="43"/>
      <c r="U43" s="42"/>
      <c r="V43" s="42"/>
      <c r="W43" s="42"/>
      <c r="X43" s="42"/>
    </row>
    <row r="44" spans="1:31" x14ac:dyDescent="0.4">
      <c r="T44" s="43"/>
      <c r="U44" s="42"/>
      <c r="V44" s="42"/>
      <c r="W44" s="42"/>
      <c r="X44" s="42"/>
    </row>
    <row r="45" spans="1:31" x14ac:dyDescent="0.4">
      <c r="T45" s="43"/>
      <c r="U45" s="42"/>
      <c r="V45" s="42"/>
      <c r="W45" s="42"/>
      <c r="X45" s="42"/>
    </row>
    <row r="46" spans="1:31" x14ac:dyDescent="0.4">
      <c r="T46" s="43"/>
      <c r="U46" s="42"/>
      <c r="V46" s="42"/>
      <c r="W46" s="42"/>
      <c r="X46" s="42"/>
    </row>
    <row r="47" spans="1:31" x14ac:dyDescent="0.4">
      <c r="T47" s="43"/>
      <c r="U47" s="42"/>
      <c r="V47" s="42"/>
      <c r="W47" s="42"/>
      <c r="X47" s="42"/>
    </row>
    <row r="48" spans="1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204</v>
      </c>
      <c r="B1" s="56"/>
    </row>
    <row r="3" spans="1:2" x14ac:dyDescent="0.4">
      <c r="A3" s="80" t="s">
        <v>203</v>
      </c>
      <c r="B3" s="89" t="s">
        <v>202</v>
      </c>
    </row>
    <row r="4" spans="1:2" x14ac:dyDescent="0.4">
      <c r="A4" s="80" t="s">
        <v>201</v>
      </c>
      <c r="B4" s="89">
        <v>7497</v>
      </c>
    </row>
    <row r="5" spans="1:2" x14ac:dyDescent="0.4">
      <c r="A5" s="80" t="s">
        <v>200</v>
      </c>
      <c r="B5" s="89">
        <v>11</v>
      </c>
    </row>
    <row r="6" spans="1:2" x14ac:dyDescent="0.4">
      <c r="A6" s="80" t="s">
        <v>199</v>
      </c>
      <c r="B6" s="89">
        <v>0.25</v>
      </c>
    </row>
    <row r="7" spans="1:2" x14ac:dyDescent="0.4">
      <c r="A7" s="80" t="s">
        <v>198</v>
      </c>
      <c r="B7" s="89" t="s">
        <v>197</v>
      </c>
    </row>
    <row r="8" spans="1:2" x14ac:dyDescent="0.4">
      <c r="A8" s="80" t="s">
        <v>196</v>
      </c>
      <c r="B8" s="89">
        <v>3</v>
      </c>
    </row>
    <row r="10" spans="1:2" x14ac:dyDescent="0.4">
      <c r="A10" s="1" t="s">
        <v>195</v>
      </c>
    </row>
    <row r="11" spans="1:2" x14ac:dyDescent="0.4">
      <c r="A11" s="1" t="s">
        <v>194</v>
      </c>
    </row>
    <row r="12" spans="1:2" x14ac:dyDescent="0.4">
      <c r="A12" s="1" t="s">
        <v>193</v>
      </c>
    </row>
    <row r="13" spans="1:2" x14ac:dyDescent="0.4">
      <c r="A13" s="1" t="s">
        <v>192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topLeftCell="A11" workbookViewId="0">
      <selection activeCell="B36" sqref="B36:B37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218</v>
      </c>
      <c r="B1" s="82" t="s">
        <v>217</v>
      </c>
      <c r="C1" s="82" t="s">
        <v>216</v>
      </c>
      <c r="D1" s="82" t="s">
        <v>215</v>
      </c>
      <c r="E1" s="82" t="s">
        <v>214</v>
      </c>
      <c r="F1" s="82" t="s">
        <v>213</v>
      </c>
      <c r="G1" s="82" t="s">
        <v>212</v>
      </c>
      <c r="H1" s="82" t="s">
        <v>211</v>
      </c>
      <c r="I1" s="82" t="s">
        <v>210</v>
      </c>
      <c r="J1" s="82" t="s">
        <v>209</v>
      </c>
      <c r="K1" s="82" t="s">
        <v>208</v>
      </c>
      <c r="L1" s="82" t="s">
        <v>207</v>
      </c>
      <c r="M1" s="82" t="s">
        <v>206</v>
      </c>
    </row>
    <row r="2" spans="1:13" x14ac:dyDescent="0.4">
      <c r="A2" s="88">
        <v>1</v>
      </c>
      <c r="B2" s="88" t="s">
        <v>242</v>
      </c>
      <c r="C2" s="88" t="s">
        <v>58</v>
      </c>
      <c r="D2" s="88" t="s">
        <v>21</v>
      </c>
      <c r="E2" s="88" t="s">
        <v>79</v>
      </c>
      <c r="F2" s="88" t="s">
        <v>59</v>
      </c>
      <c r="G2" s="88" t="s">
        <v>205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243</v>
      </c>
      <c r="C3" s="88" t="s">
        <v>58</v>
      </c>
      <c r="D3" s="88" t="s">
        <v>22</v>
      </c>
      <c r="E3" s="88" t="s">
        <v>79</v>
      </c>
      <c r="F3" s="88" t="s">
        <v>59</v>
      </c>
      <c r="G3" s="88" t="s">
        <v>205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244</v>
      </c>
      <c r="C4" s="88" t="s">
        <v>58</v>
      </c>
      <c r="D4" s="88" t="s">
        <v>23</v>
      </c>
      <c r="E4" s="88" t="s">
        <v>79</v>
      </c>
      <c r="F4" s="88" t="s">
        <v>59</v>
      </c>
      <c r="G4" s="88" t="s">
        <v>205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245</v>
      </c>
      <c r="C5" s="88" t="s">
        <v>58</v>
      </c>
      <c r="D5" s="88" t="s">
        <v>61</v>
      </c>
      <c r="E5" s="88" t="s">
        <v>80</v>
      </c>
      <c r="F5" s="88" t="s">
        <v>56</v>
      </c>
      <c r="G5" s="88" t="s">
        <v>205</v>
      </c>
      <c r="H5" s="88"/>
      <c r="I5" s="88"/>
      <c r="J5" s="88"/>
      <c r="K5" s="88" t="s">
        <v>238</v>
      </c>
      <c r="L5" s="88"/>
      <c r="M5" s="88"/>
    </row>
    <row r="6" spans="1:13" x14ac:dyDescent="0.4">
      <c r="A6" s="88">
        <v>1</v>
      </c>
      <c r="B6" s="88" t="s">
        <v>260</v>
      </c>
      <c r="C6" s="88" t="s">
        <v>58</v>
      </c>
      <c r="D6" s="88" t="s">
        <v>62</v>
      </c>
      <c r="E6" s="88" t="s">
        <v>79</v>
      </c>
      <c r="F6" s="88" t="s">
        <v>57</v>
      </c>
      <c r="G6" s="88" t="s">
        <v>205</v>
      </c>
      <c r="H6" s="88"/>
      <c r="I6" s="88"/>
      <c r="J6" s="88">
        <v>500</v>
      </c>
      <c r="K6" s="88" t="s">
        <v>62</v>
      </c>
      <c r="L6" s="88"/>
      <c r="M6" s="88"/>
    </row>
    <row r="7" spans="1:13" x14ac:dyDescent="0.4">
      <c r="A7" s="88">
        <v>1</v>
      </c>
      <c r="B7" s="88" t="s">
        <v>176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249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205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250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205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251</v>
      </c>
      <c r="C10" s="88" t="s">
        <v>58</v>
      </c>
      <c r="D10" s="88" t="s">
        <v>26</v>
      </c>
      <c r="E10" s="88" t="s">
        <v>81</v>
      </c>
      <c r="F10" s="88" t="s">
        <v>59</v>
      </c>
      <c r="G10" s="88" t="s">
        <v>205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252</v>
      </c>
      <c r="C11" s="88" t="s">
        <v>58</v>
      </c>
      <c r="D11" s="88" t="s">
        <v>27</v>
      </c>
      <c r="E11" s="88" t="s">
        <v>81</v>
      </c>
      <c r="F11" s="88" t="s">
        <v>59</v>
      </c>
      <c r="G11" s="88" t="s">
        <v>205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253</v>
      </c>
      <c r="C12" s="88" t="s">
        <v>58</v>
      </c>
      <c r="D12" s="88" t="s">
        <v>25</v>
      </c>
      <c r="E12" s="88" t="s">
        <v>81</v>
      </c>
      <c r="F12" s="88" t="s">
        <v>59</v>
      </c>
      <c r="G12" s="88" t="s">
        <v>205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137</v>
      </c>
      <c r="C13" s="88" t="s">
        <v>58</v>
      </c>
      <c r="D13" s="88" t="s">
        <v>28</v>
      </c>
      <c r="E13" s="88" t="s">
        <v>82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175</v>
      </c>
      <c r="C14" s="88" t="s">
        <v>58</v>
      </c>
      <c r="D14" s="88" t="s">
        <v>29</v>
      </c>
      <c r="E14" s="88" t="s">
        <v>82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180</v>
      </c>
      <c r="C15" s="88" t="s">
        <v>58</v>
      </c>
      <c r="D15" s="88" t="s">
        <v>31</v>
      </c>
      <c r="E15" s="88" t="s">
        <v>82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134</v>
      </c>
      <c r="C16" s="88" t="s">
        <v>58</v>
      </c>
      <c r="D16" s="88" t="s">
        <v>32</v>
      </c>
      <c r="E16" s="88" t="s">
        <v>64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177</v>
      </c>
      <c r="C17" s="88" t="s">
        <v>58</v>
      </c>
      <c r="D17" s="88" t="s">
        <v>33</v>
      </c>
      <c r="E17" s="88" t="s">
        <v>64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290</v>
      </c>
      <c r="C18" s="88" t="s">
        <v>58</v>
      </c>
      <c r="D18" s="88" t="s">
        <v>34</v>
      </c>
      <c r="E18" s="88" t="s">
        <v>64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184</v>
      </c>
      <c r="C19" s="88" t="s">
        <v>58</v>
      </c>
      <c r="D19" s="88" t="s">
        <v>65</v>
      </c>
      <c r="E19" s="88" t="s">
        <v>64</v>
      </c>
      <c r="F19" s="88" t="s">
        <v>59</v>
      </c>
      <c r="G19" s="88">
        <v>202605</v>
      </c>
      <c r="H19" s="88"/>
      <c r="I19" s="88"/>
      <c r="J19" s="88"/>
      <c r="K19" s="88" t="s">
        <v>65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79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79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150</v>
      </c>
      <c r="C22" s="88" t="s">
        <v>58</v>
      </c>
      <c r="D22" s="88" t="s">
        <v>37</v>
      </c>
      <c r="E22" s="88" t="s">
        <v>79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259</v>
      </c>
      <c r="C23" s="88" t="s">
        <v>58</v>
      </c>
      <c r="D23" s="88" t="s">
        <v>38</v>
      </c>
      <c r="E23" s="88" t="s">
        <v>64</v>
      </c>
      <c r="F23" s="88" t="s">
        <v>59</v>
      </c>
      <c r="G23" s="88" t="s">
        <v>205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254</v>
      </c>
      <c r="C24" s="88" t="s">
        <v>58</v>
      </c>
      <c r="D24" s="88" t="s">
        <v>42</v>
      </c>
      <c r="E24" s="88" t="s">
        <v>79</v>
      </c>
      <c r="F24" s="88" t="s">
        <v>59</v>
      </c>
      <c r="G24" s="88" t="s">
        <v>205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255</v>
      </c>
      <c r="C25" s="88" t="s">
        <v>58</v>
      </c>
      <c r="D25" s="88" t="s">
        <v>40</v>
      </c>
      <c r="E25" s="88" t="s">
        <v>79</v>
      </c>
      <c r="F25" s="88" t="s">
        <v>59</v>
      </c>
      <c r="G25" s="88" t="s">
        <v>205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256</v>
      </c>
      <c r="C26" s="88" t="s">
        <v>58</v>
      </c>
      <c r="D26" s="88" t="s">
        <v>43</v>
      </c>
      <c r="E26" s="88" t="s">
        <v>79</v>
      </c>
      <c r="F26" s="88" t="s">
        <v>59</v>
      </c>
      <c r="G26" s="88" t="s">
        <v>205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257</v>
      </c>
      <c r="C27" s="88" t="s">
        <v>58</v>
      </c>
      <c r="D27" s="88" t="s">
        <v>41</v>
      </c>
      <c r="E27" s="88" t="s">
        <v>79</v>
      </c>
      <c r="F27" s="88" t="s">
        <v>59</v>
      </c>
      <c r="G27" s="88" t="s">
        <v>205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258</v>
      </c>
      <c r="C28" s="88" t="s">
        <v>58</v>
      </c>
      <c r="D28" s="88" t="s">
        <v>39</v>
      </c>
      <c r="E28" s="88" t="s">
        <v>79</v>
      </c>
      <c r="F28" s="88" t="s">
        <v>59</v>
      </c>
      <c r="G28" s="88" t="s">
        <v>205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261</v>
      </c>
      <c r="C29" s="88" t="s">
        <v>58</v>
      </c>
      <c r="D29" s="88" t="s">
        <v>46</v>
      </c>
      <c r="E29" s="88" t="s">
        <v>82</v>
      </c>
      <c r="F29" s="88" t="s">
        <v>59</v>
      </c>
      <c r="G29" s="88" t="s">
        <v>205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262</v>
      </c>
      <c r="C30" s="88" t="s">
        <v>58</v>
      </c>
      <c r="D30" s="88" t="s">
        <v>67</v>
      </c>
      <c r="E30" s="88" t="s">
        <v>82</v>
      </c>
      <c r="F30" s="88" t="s">
        <v>59</v>
      </c>
      <c r="G30" s="88" t="s">
        <v>205</v>
      </c>
      <c r="H30" s="88"/>
      <c r="I30" s="88"/>
      <c r="J30" s="88"/>
      <c r="K30" s="88" t="s">
        <v>67</v>
      </c>
      <c r="L30" s="88"/>
      <c r="M30" s="88"/>
    </row>
    <row r="31" spans="1:13" x14ac:dyDescent="0.4">
      <c r="A31" s="88">
        <v>1</v>
      </c>
      <c r="B31" s="88" t="s">
        <v>246</v>
      </c>
      <c r="C31" s="88" t="s">
        <v>58</v>
      </c>
      <c r="D31" s="88" t="s">
        <v>239</v>
      </c>
      <c r="E31" s="88" t="s">
        <v>80</v>
      </c>
      <c r="F31" s="88" t="s">
        <v>56</v>
      </c>
      <c r="G31" s="88" t="s">
        <v>205</v>
      </c>
      <c r="H31" s="88"/>
      <c r="I31" s="88"/>
      <c r="J31" s="88"/>
      <c r="K31" s="88" t="s">
        <v>239</v>
      </c>
      <c r="L31" s="88"/>
      <c r="M31" s="88"/>
    </row>
    <row r="32" spans="1:13" x14ac:dyDescent="0.4">
      <c r="A32" s="88">
        <v>1</v>
      </c>
      <c r="B32" s="88" t="s">
        <v>247</v>
      </c>
      <c r="C32" s="88" t="s">
        <v>58</v>
      </c>
      <c r="D32" s="88" t="s">
        <v>240</v>
      </c>
      <c r="E32" s="88" t="s">
        <v>80</v>
      </c>
      <c r="F32" s="88" t="s">
        <v>56</v>
      </c>
      <c r="G32" s="88" t="s">
        <v>205</v>
      </c>
      <c r="H32" s="88"/>
      <c r="I32" s="88"/>
      <c r="J32" s="88"/>
      <c r="K32" s="88" t="s">
        <v>240</v>
      </c>
      <c r="L32" s="88"/>
      <c r="M32" s="88"/>
    </row>
    <row r="33" spans="1:13" x14ac:dyDescent="0.4">
      <c r="A33" s="88">
        <v>1</v>
      </c>
      <c r="B33" s="88" t="s">
        <v>248</v>
      </c>
      <c r="C33" s="88" t="s">
        <v>58</v>
      </c>
      <c r="D33" s="88" t="s">
        <v>241</v>
      </c>
      <c r="E33" s="88" t="s">
        <v>80</v>
      </c>
      <c r="F33" s="88" t="s">
        <v>56</v>
      </c>
      <c r="G33" s="88" t="s">
        <v>205</v>
      </c>
      <c r="H33" s="88"/>
      <c r="I33" s="88"/>
      <c r="J33" s="88"/>
      <c r="K33" s="88" t="s">
        <v>241</v>
      </c>
      <c r="M33" s="88"/>
    </row>
    <row r="34" spans="1:13" x14ac:dyDescent="0.4">
      <c r="A34" s="88">
        <v>1</v>
      </c>
      <c r="B34" s="9" t="s">
        <v>298</v>
      </c>
      <c r="C34" s="88" t="s">
        <v>187</v>
      </c>
      <c r="D34" s="88" t="s">
        <v>44</v>
      </c>
      <c r="E34" s="88" t="s">
        <v>191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188</v>
      </c>
      <c r="C35" s="88" t="s">
        <v>187</v>
      </c>
      <c r="D35" s="88" t="s">
        <v>45</v>
      </c>
      <c r="E35" s="88" t="s">
        <v>191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318</v>
      </c>
      <c r="C36" s="88" t="s">
        <v>317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314</v>
      </c>
      <c r="J36" s="88">
        <v>1000</v>
      </c>
      <c r="K36" s="88" t="s">
        <v>315</v>
      </c>
      <c r="M36" s="88"/>
    </row>
    <row r="37" spans="1:13" x14ac:dyDescent="0.4">
      <c r="A37" s="88">
        <v>1</v>
      </c>
      <c r="B37" s="9" t="s">
        <v>319</v>
      </c>
      <c r="C37" s="88" t="s">
        <v>317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314</v>
      </c>
      <c r="J37" s="88">
        <v>1000</v>
      </c>
      <c r="K37" s="88" t="s">
        <v>315</v>
      </c>
      <c r="M37" s="88"/>
    </row>
    <row r="39" spans="1:13" x14ac:dyDescent="0.4">
      <c r="C39" s="31"/>
      <c r="D39" s="31"/>
      <c r="E39" s="31"/>
      <c r="F39" s="31"/>
      <c r="G39" s="31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142</v>
      </c>
      <c r="D54" s="31" t="s">
        <v>27</v>
      </c>
      <c r="E54" s="31" t="s">
        <v>58</v>
      </c>
      <c r="F54" s="31" t="s">
        <v>81</v>
      </c>
      <c r="G54" s="31" t="s">
        <v>59</v>
      </c>
    </row>
    <row r="55" spans="3:7" x14ac:dyDescent="0.4">
      <c r="C55" s="31" t="s">
        <v>63</v>
      </c>
      <c r="D55" s="31" t="s">
        <v>63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137</v>
      </c>
      <c r="D56" s="31" t="s">
        <v>28</v>
      </c>
      <c r="E56" s="31" t="s">
        <v>58</v>
      </c>
      <c r="F56" s="31" t="s">
        <v>82</v>
      </c>
      <c r="G56" s="31" t="s">
        <v>59</v>
      </c>
    </row>
    <row r="57" spans="3:7" x14ac:dyDescent="0.4">
      <c r="C57" s="31" t="s">
        <v>175</v>
      </c>
      <c r="D57" s="31" t="s">
        <v>29</v>
      </c>
      <c r="E57" s="31" t="s">
        <v>58</v>
      </c>
      <c r="F57" s="31" t="s">
        <v>82</v>
      </c>
      <c r="G57" s="31" t="s">
        <v>59</v>
      </c>
    </row>
    <row r="58" spans="3:7" x14ac:dyDescent="0.4">
      <c r="C58" s="31" t="s">
        <v>180</v>
      </c>
      <c r="D58" s="31" t="s">
        <v>31</v>
      </c>
      <c r="E58" s="31" t="s">
        <v>58</v>
      </c>
      <c r="F58" s="31" t="s">
        <v>82</v>
      </c>
      <c r="G58" s="31" t="s">
        <v>59</v>
      </c>
    </row>
    <row r="59" spans="3:7" x14ac:dyDescent="0.4">
      <c r="C59" s="31" t="s">
        <v>134</v>
      </c>
      <c r="D59" s="31" t="s">
        <v>32</v>
      </c>
      <c r="E59" s="31" t="s">
        <v>58</v>
      </c>
      <c r="F59" s="31" t="s">
        <v>64</v>
      </c>
      <c r="G59" s="31" t="s">
        <v>59</v>
      </c>
    </row>
    <row r="60" spans="3:7" x14ac:dyDescent="0.4">
      <c r="C60" s="31" t="s">
        <v>177</v>
      </c>
      <c r="D60" s="31" t="s">
        <v>33</v>
      </c>
      <c r="E60" s="31" t="s">
        <v>58</v>
      </c>
      <c r="F60" s="31" t="s">
        <v>64</v>
      </c>
      <c r="G60" s="31" t="s">
        <v>59</v>
      </c>
    </row>
    <row r="61" spans="3:7" x14ac:dyDescent="0.4">
      <c r="C61" s="31" t="s">
        <v>185</v>
      </c>
      <c r="D61" s="31" t="s">
        <v>34</v>
      </c>
      <c r="E61" s="31" t="s">
        <v>58</v>
      </c>
      <c r="F61" s="31" t="s">
        <v>64</v>
      </c>
      <c r="G61" s="31" t="s">
        <v>59</v>
      </c>
    </row>
    <row r="62" spans="3:7" x14ac:dyDescent="0.4">
      <c r="C62" s="31" t="s">
        <v>184</v>
      </c>
      <c r="D62" s="31" t="s">
        <v>65</v>
      </c>
      <c r="E62" s="31" t="s">
        <v>58</v>
      </c>
      <c r="F62" s="31" t="s">
        <v>64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79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79</v>
      </c>
      <c r="G64" s="31" t="s">
        <v>59</v>
      </c>
    </row>
    <row r="65" spans="3:7" x14ac:dyDescent="0.4">
      <c r="C65" s="31" t="s">
        <v>150</v>
      </c>
      <c r="D65" s="31" t="s">
        <v>37</v>
      </c>
      <c r="E65" s="31" t="s">
        <v>58</v>
      </c>
      <c r="F65" s="31" t="s">
        <v>79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66</v>
      </c>
      <c r="D67" s="31" t="s">
        <v>67</v>
      </c>
      <c r="E67" s="31" t="s">
        <v>58</v>
      </c>
      <c r="F67" s="31" t="s">
        <v>82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82</v>
      </c>
      <c r="G68" s="31" t="s">
        <v>59</v>
      </c>
    </row>
    <row r="69" spans="3:7" x14ac:dyDescent="0.4">
      <c r="C69" s="31" t="s">
        <v>68</v>
      </c>
      <c r="D69" s="31" t="s">
        <v>69</v>
      </c>
      <c r="E69" s="31" t="s">
        <v>58</v>
      </c>
      <c r="F69" s="31" t="s">
        <v>80</v>
      </c>
      <c r="G69" s="31" t="s">
        <v>56</v>
      </c>
    </row>
    <row r="70" spans="3:7" x14ac:dyDescent="0.4">
      <c r="C70" s="31" t="s">
        <v>70</v>
      </c>
      <c r="D70" s="31" t="s">
        <v>71</v>
      </c>
      <c r="E70" s="31" t="s">
        <v>58</v>
      </c>
      <c r="F70" s="31" t="s">
        <v>80</v>
      </c>
      <c r="G70" s="31" t="s">
        <v>56</v>
      </c>
    </row>
    <row r="71" spans="3:7" x14ac:dyDescent="0.4">
      <c r="C71" s="31" t="s">
        <v>72</v>
      </c>
      <c r="D71" s="31" t="s">
        <v>47</v>
      </c>
      <c r="E71" s="31" t="s">
        <v>58</v>
      </c>
      <c r="F71" s="31" t="s">
        <v>80</v>
      </c>
      <c r="G71" s="31" t="s">
        <v>56</v>
      </c>
    </row>
    <row r="72" spans="3:7" x14ac:dyDescent="0.4">
      <c r="C72" s="31" t="s">
        <v>73</v>
      </c>
      <c r="D72" s="31" t="s">
        <v>38</v>
      </c>
      <c r="E72" s="31" t="s">
        <v>58</v>
      </c>
      <c r="F72" s="31" t="s">
        <v>64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79</v>
      </c>
      <c r="G73" s="31" t="s">
        <v>59</v>
      </c>
    </row>
    <row r="74" spans="3:7" x14ac:dyDescent="0.4">
      <c r="C74" s="31" t="s">
        <v>40</v>
      </c>
      <c r="D74" s="31" t="s">
        <v>74</v>
      </c>
      <c r="E74" s="31" t="s">
        <v>58</v>
      </c>
      <c r="F74" s="31" t="s">
        <v>79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79</v>
      </c>
      <c r="G75" s="31" t="s">
        <v>59</v>
      </c>
    </row>
    <row r="76" spans="3:7" x14ac:dyDescent="0.4">
      <c r="C76" s="31" t="s">
        <v>75</v>
      </c>
      <c r="D76" s="31" t="s">
        <v>76</v>
      </c>
      <c r="E76" s="31" t="s">
        <v>58</v>
      </c>
      <c r="F76" s="31" t="s">
        <v>79</v>
      </c>
      <c r="G76" s="31" t="s">
        <v>59</v>
      </c>
    </row>
    <row r="77" spans="3:7" x14ac:dyDescent="0.4">
      <c r="C77" s="31" t="s">
        <v>77</v>
      </c>
      <c r="D77" s="31" t="s">
        <v>78</v>
      </c>
      <c r="E77" s="31" t="s">
        <v>58</v>
      </c>
      <c r="F77" s="31" t="s">
        <v>79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/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217</v>
      </c>
      <c r="B1" s="86" t="s">
        <v>235</v>
      </c>
      <c r="C1" s="86" t="s">
        <v>216</v>
      </c>
      <c r="D1" s="86" t="s">
        <v>215</v>
      </c>
      <c r="E1" s="86" t="s">
        <v>207</v>
      </c>
      <c r="F1" s="86" t="s">
        <v>214</v>
      </c>
      <c r="G1" s="86" t="s">
        <v>213</v>
      </c>
      <c r="H1" s="86" t="s">
        <v>234</v>
      </c>
      <c r="I1" s="86" t="s">
        <v>233</v>
      </c>
      <c r="J1" s="86" t="s">
        <v>232</v>
      </c>
      <c r="K1" s="86" t="s">
        <v>231</v>
      </c>
      <c r="L1" s="86" t="s">
        <v>230</v>
      </c>
      <c r="M1" s="86" t="s">
        <v>229</v>
      </c>
      <c r="N1" s="86" t="s">
        <v>228</v>
      </c>
      <c r="O1" s="86" t="s">
        <v>227</v>
      </c>
      <c r="P1" s="86" t="s">
        <v>226</v>
      </c>
      <c r="Q1" s="86" t="s">
        <v>225</v>
      </c>
      <c r="R1" s="86" t="s">
        <v>224</v>
      </c>
      <c r="S1" s="86" t="s">
        <v>223</v>
      </c>
      <c r="T1" s="86" t="s">
        <v>222</v>
      </c>
      <c r="U1" s="86" t="s">
        <v>221</v>
      </c>
      <c r="V1" s="86" t="s">
        <v>220</v>
      </c>
      <c r="W1" s="86" t="s">
        <v>219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242</v>
      </c>
      <c r="B2" s="81">
        <v>649180678</v>
      </c>
      <c r="C2" s="81" t="s">
        <v>58</v>
      </c>
      <c r="D2" s="81" t="s">
        <v>21</v>
      </c>
      <c r="E2" s="81" t="s">
        <v>263</v>
      </c>
      <c r="F2" s="81" t="s">
        <v>79</v>
      </c>
      <c r="G2" s="81" t="s">
        <v>59</v>
      </c>
      <c r="H2" s="91">
        <v>6652.25</v>
      </c>
      <c r="I2" s="91">
        <v>6652</v>
      </c>
      <c r="J2" s="91">
        <v>6652.25</v>
      </c>
      <c r="K2" s="91">
        <v>6652.125</v>
      </c>
      <c r="L2" s="91">
        <v>6660</v>
      </c>
      <c r="M2" s="91">
        <v>6675.5</v>
      </c>
      <c r="N2" s="91">
        <v>6685.5</v>
      </c>
      <c r="O2" s="91">
        <v>6643.25</v>
      </c>
      <c r="P2" s="91">
        <v>108788</v>
      </c>
      <c r="Q2" s="91"/>
      <c r="R2" s="91"/>
      <c r="S2" s="91"/>
      <c r="T2" s="91"/>
      <c r="U2" s="91"/>
      <c r="V2" s="85">
        <v>46101.448611111111</v>
      </c>
      <c r="W2" s="81" t="s">
        <v>264</v>
      </c>
      <c r="X2" s="81"/>
      <c r="Y2" s="81"/>
      <c r="Z2" s="81"/>
    </row>
    <row r="3" spans="1:32" x14ac:dyDescent="0.4">
      <c r="A3" s="81" t="s">
        <v>243</v>
      </c>
      <c r="B3" s="81">
        <v>750150196</v>
      </c>
      <c r="C3" s="81" t="s">
        <v>58</v>
      </c>
      <c r="D3" s="81" t="s">
        <v>22</v>
      </c>
      <c r="E3" s="81" t="s">
        <v>265</v>
      </c>
      <c r="F3" s="81" t="s">
        <v>79</v>
      </c>
      <c r="G3" s="81" t="s">
        <v>59</v>
      </c>
      <c r="H3" s="91">
        <v>24512.75</v>
      </c>
      <c r="I3" s="91">
        <v>24512.25</v>
      </c>
      <c r="J3" s="91">
        <v>24513.5</v>
      </c>
      <c r="K3" s="91">
        <v>24512.875</v>
      </c>
      <c r="L3" s="91">
        <v>24580</v>
      </c>
      <c r="M3" s="91">
        <v>24632.75</v>
      </c>
      <c r="N3" s="91">
        <v>24660.5</v>
      </c>
      <c r="O3" s="91">
        <v>24482.75</v>
      </c>
      <c r="P3" s="91">
        <v>67749</v>
      </c>
      <c r="Q3" s="91"/>
      <c r="R3" s="91"/>
      <c r="S3" s="91"/>
      <c r="T3" s="91"/>
      <c r="U3" s="91"/>
      <c r="V3" s="85">
        <v>46101.448611111111</v>
      </c>
      <c r="W3" s="81" t="s">
        <v>264</v>
      </c>
      <c r="X3" s="81"/>
      <c r="Y3" s="81"/>
      <c r="Z3" s="81"/>
    </row>
    <row r="4" spans="1:32" x14ac:dyDescent="0.4">
      <c r="A4" s="81" t="s">
        <v>244</v>
      </c>
      <c r="B4" s="81">
        <v>770561234</v>
      </c>
      <c r="C4" s="81" t="s">
        <v>58</v>
      </c>
      <c r="D4" s="81" t="s">
        <v>23</v>
      </c>
      <c r="E4" s="81" t="s">
        <v>266</v>
      </c>
      <c r="F4" s="81" t="s">
        <v>79</v>
      </c>
      <c r="G4" s="81" t="s">
        <v>59</v>
      </c>
      <c r="H4" s="91">
        <v>2508.4</v>
      </c>
      <c r="I4" s="91">
        <v>2508.3000000000002</v>
      </c>
      <c r="J4" s="91">
        <v>2508.5</v>
      </c>
      <c r="K4" s="91">
        <v>2508.4</v>
      </c>
      <c r="L4" s="91">
        <v>2512.1</v>
      </c>
      <c r="M4" s="91">
        <v>2519.3000000000002</v>
      </c>
      <c r="N4" s="91">
        <v>2531.9</v>
      </c>
      <c r="O4" s="91">
        <v>2506.1999999999998</v>
      </c>
      <c r="P4" s="91">
        <v>17532</v>
      </c>
      <c r="Q4" s="91"/>
      <c r="R4" s="91"/>
      <c r="S4" s="91"/>
      <c r="T4" s="91"/>
      <c r="U4" s="91"/>
      <c r="V4" s="85">
        <v>46101.448611111111</v>
      </c>
      <c r="W4" s="81" t="s">
        <v>264</v>
      </c>
      <c r="X4" s="81"/>
      <c r="Y4" s="81"/>
      <c r="Z4" s="81"/>
    </row>
    <row r="5" spans="1:32" x14ac:dyDescent="0.4">
      <c r="A5" s="81" t="s">
        <v>245</v>
      </c>
      <c r="B5" s="81">
        <v>638120262</v>
      </c>
      <c r="C5" s="81" t="s">
        <v>58</v>
      </c>
      <c r="D5" s="81" t="s">
        <v>61</v>
      </c>
      <c r="E5" s="81" t="s">
        <v>267</v>
      </c>
      <c r="F5" s="81" t="s">
        <v>80</v>
      </c>
      <c r="G5" s="81" t="s">
        <v>56</v>
      </c>
      <c r="H5" s="91">
        <v>23122</v>
      </c>
      <c r="I5" s="91">
        <v>23125</v>
      </c>
      <c r="J5" s="91">
        <v>23128</v>
      </c>
      <c r="K5" s="91">
        <v>23126.5</v>
      </c>
      <c r="L5" s="91">
        <v>23060</v>
      </c>
      <c r="M5" s="91">
        <v>23232</v>
      </c>
      <c r="N5" s="91">
        <v>23383</v>
      </c>
      <c r="O5" s="91">
        <v>23107</v>
      </c>
      <c r="P5" s="91">
        <v>9136</v>
      </c>
      <c r="Q5" s="91"/>
      <c r="R5" s="91"/>
      <c r="S5" s="91"/>
      <c r="T5" s="91"/>
      <c r="U5" s="91"/>
      <c r="V5" s="85">
        <v>46101.448611111111</v>
      </c>
      <c r="W5" s="81" t="s">
        <v>264</v>
      </c>
      <c r="X5" s="81"/>
      <c r="Y5" s="81"/>
      <c r="Z5" s="81"/>
    </row>
    <row r="6" spans="1:32" x14ac:dyDescent="0.4">
      <c r="A6" s="81" t="s">
        <v>260</v>
      </c>
      <c r="B6" s="81">
        <v>635680486</v>
      </c>
      <c r="C6" s="81" t="s">
        <v>58</v>
      </c>
      <c r="D6" s="81" t="s">
        <v>62</v>
      </c>
      <c r="E6" s="81" t="s">
        <v>296</v>
      </c>
      <c r="F6" s="81" t="s">
        <v>79</v>
      </c>
      <c r="G6" s="81" t="s">
        <v>57</v>
      </c>
      <c r="H6" s="91">
        <v>53120</v>
      </c>
      <c r="I6" s="91">
        <v>53105</v>
      </c>
      <c r="J6" s="91">
        <v>53115</v>
      </c>
      <c r="K6" s="91">
        <v>53110</v>
      </c>
      <c r="L6" s="91">
        <v>52825</v>
      </c>
      <c r="M6" s="91">
        <v>53115</v>
      </c>
      <c r="N6" s="91">
        <v>53450</v>
      </c>
      <c r="O6" s="91">
        <v>52840</v>
      </c>
      <c r="P6" s="91">
        <v>5631</v>
      </c>
      <c r="Q6" s="91"/>
      <c r="R6" s="91"/>
      <c r="S6" s="91"/>
      <c r="T6" s="91"/>
      <c r="U6" s="91"/>
      <c r="V6" s="85">
        <v>46101.448611111111</v>
      </c>
      <c r="W6" s="81" t="s">
        <v>264</v>
      </c>
      <c r="X6" s="81"/>
      <c r="Y6" s="81"/>
      <c r="Z6" s="81"/>
    </row>
    <row r="7" spans="1:32" x14ac:dyDescent="0.4">
      <c r="A7" s="1" t="s">
        <v>176</v>
      </c>
      <c r="B7" s="1">
        <v>304037436</v>
      </c>
      <c r="C7" s="1" t="s">
        <v>58</v>
      </c>
      <c r="D7" s="1" t="s">
        <v>24</v>
      </c>
      <c r="E7" s="1" t="s">
        <v>268</v>
      </c>
      <c r="F7" s="1" t="s">
        <v>60</v>
      </c>
      <c r="G7" s="1" t="s">
        <v>59</v>
      </c>
      <c r="H7" s="93">
        <v>96.2</v>
      </c>
      <c r="I7" s="93">
        <v>95.92</v>
      </c>
      <c r="J7" s="93">
        <v>96.08</v>
      </c>
      <c r="K7" s="93">
        <v>96</v>
      </c>
      <c r="L7" s="93">
        <v>96.14</v>
      </c>
      <c r="M7" s="93">
        <v>95</v>
      </c>
      <c r="N7" s="93">
        <v>96.2</v>
      </c>
      <c r="O7" s="93">
        <v>93.42</v>
      </c>
      <c r="P7" s="93">
        <v>394</v>
      </c>
      <c r="Q7" s="93"/>
      <c r="R7" s="93"/>
      <c r="S7" s="93"/>
      <c r="T7" s="93"/>
      <c r="U7" s="93"/>
      <c r="V7" s="92">
        <v>46101.448611111111</v>
      </c>
      <c r="W7" s="1" t="s">
        <v>264</v>
      </c>
    </row>
    <row r="8" spans="1:32" x14ac:dyDescent="0.4">
      <c r="A8" s="1" t="s">
        <v>249</v>
      </c>
      <c r="B8" s="1">
        <v>269460069</v>
      </c>
      <c r="C8" s="1" t="s">
        <v>58</v>
      </c>
      <c r="D8" s="1" t="s">
        <v>5</v>
      </c>
      <c r="E8" s="1" t="s">
        <v>269</v>
      </c>
      <c r="F8" s="1" t="s">
        <v>60</v>
      </c>
      <c r="G8" s="1" t="s">
        <v>59</v>
      </c>
      <c r="H8" s="93">
        <v>3.2210000000000001</v>
      </c>
      <c r="I8" s="93">
        <v>3.222</v>
      </c>
      <c r="J8" s="93">
        <v>3.2240000000000002</v>
      </c>
      <c r="K8" s="93">
        <v>3.2229999999999999</v>
      </c>
      <c r="L8" s="93">
        <v>3.2429999999999999</v>
      </c>
      <c r="M8" s="93">
        <v>3.2010000000000001</v>
      </c>
      <c r="N8" s="93">
        <v>3.2330000000000001</v>
      </c>
      <c r="O8" s="93">
        <v>3.1789999999999998</v>
      </c>
      <c r="P8" s="93">
        <v>1477</v>
      </c>
      <c r="Q8" s="93"/>
      <c r="R8" s="93"/>
      <c r="S8" s="93"/>
      <c r="T8" s="93"/>
      <c r="U8" s="93"/>
      <c r="V8" s="92">
        <v>46101.448611111111</v>
      </c>
      <c r="W8" s="1" t="s">
        <v>264</v>
      </c>
    </row>
    <row r="9" spans="1:32" x14ac:dyDescent="0.4">
      <c r="A9" s="1" t="s">
        <v>250</v>
      </c>
      <c r="B9" s="1">
        <v>600696533</v>
      </c>
      <c r="C9" s="1" t="s">
        <v>58</v>
      </c>
      <c r="D9" s="1" t="s">
        <v>9</v>
      </c>
      <c r="E9" s="1" t="s">
        <v>270</v>
      </c>
      <c r="F9" s="1" t="s">
        <v>60</v>
      </c>
      <c r="G9" s="1" t="s">
        <v>59</v>
      </c>
      <c r="H9" s="93">
        <v>3.0537999999999998</v>
      </c>
      <c r="I9" s="93">
        <v>3.0522</v>
      </c>
      <c r="J9" s="93">
        <v>3.0539000000000001</v>
      </c>
      <c r="K9" s="93">
        <v>3.0530499999999998</v>
      </c>
      <c r="L9" s="93">
        <v>3.0164</v>
      </c>
      <c r="M9" s="93">
        <v>2.9994999999999998</v>
      </c>
      <c r="N9" s="93">
        <v>3.0661999999999998</v>
      </c>
      <c r="O9" s="93">
        <v>2.9527999999999999</v>
      </c>
      <c r="P9" s="93">
        <v>4803</v>
      </c>
      <c r="Q9" s="93"/>
      <c r="R9" s="93"/>
      <c r="S9" s="93"/>
      <c r="T9" s="93"/>
      <c r="U9" s="93"/>
      <c r="V9" s="92">
        <v>46101.448611111111</v>
      </c>
      <c r="W9" s="1" t="s">
        <v>264</v>
      </c>
    </row>
    <row r="10" spans="1:32" x14ac:dyDescent="0.4">
      <c r="A10" s="1" t="s">
        <v>251</v>
      </c>
      <c r="B10" s="1">
        <v>430360630</v>
      </c>
      <c r="C10" s="1" t="s">
        <v>58</v>
      </c>
      <c r="D10" s="1" t="s">
        <v>26</v>
      </c>
      <c r="E10" s="1" t="s">
        <v>271</v>
      </c>
      <c r="F10" s="1" t="s">
        <v>81</v>
      </c>
      <c r="G10" s="1" t="s">
        <v>59</v>
      </c>
      <c r="H10" s="93">
        <v>4713.8</v>
      </c>
      <c r="I10" s="93">
        <v>4715.7</v>
      </c>
      <c r="J10" s="93">
        <v>4716.3</v>
      </c>
      <c r="K10" s="93">
        <v>4716</v>
      </c>
      <c r="L10" s="93">
        <v>4640.5</v>
      </c>
      <c r="M10" s="93">
        <v>4689.3999999999996</v>
      </c>
      <c r="N10" s="93">
        <v>4773.3</v>
      </c>
      <c r="O10" s="93">
        <v>4672</v>
      </c>
      <c r="P10" s="93">
        <v>8827</v>
      </c>
      <c r="Q10" s="93"/>
      <c r="R10" s="93"/>
      <c r="S10" s="93"/>
      <c r="T10" s="93"/>
      <c r="U10" s="93"/>
      <c r="V10" s="92">
        <v>46101.448611111111</v>
      </c>
      <c r="W10" s="1" t="s">
        <v>264</v>
      </c>
    </row>
    <row r="11" spans="1:32" x14ac:dyDescent="0.4">
      <c r="A11" s="1" t="s">
        <v>252</v>
      </c>
      <c r="B11" s="1">
        <v>760200596</v>
      </c>
      <c r="C11" s="1" t="s">
        <v>58</v>
      </c>
      <c r="D11" s="1" t="s">
        <v>27</v>
      </c>
      <c r="E11" s="1" t="s">
        <v>272</v>
      </c>
      <c r="F11" s="1" t="s">
        <v>81</v>
      </c>
      <c r="G11" s="1" t="s">
        <v>59</v>
      </c>
      <c r="H11" s="93">
        <v>73.105000000000004</v>
      </c>
      <c r="I11" s="93">
        <v>73.114999999999995</v>
      </c>
      <c r="J11" s="93">
        <v>73.165000000000006</v>
      </c>
      <c r="K11" s="93">
        <v>73.14</v>
      </c>
      <c r="L11" s="93">
        <v>71.47</v>
      </c>
      <c r="M11" s="93">
        <v>73.584999999999994</v>
      </c>
      <c r="N11" s="93">
        <v>74.86</v>
      </c>
      <c r="O11" s="93">
        <v>71.655000000000001</v>
      </c>
      <c r="P11" s="93">
        <v>197</v>
      </c>
      <c r="Q11" s="93"/>
      <c r="R11" s="93"/>
      <c r="S11" s="93"/>
      <c r="T11" s="93"/>
      <c r="U11" s="93"/>
      <c r="V11" s="92">
        <v>46101.448611111111</v>
      </c>
      <c r="W11" s="1" t="s">
        <v>264</v>
      </c>
    </row>
    <row r="12" spans="1:32" x14ac:dyDescent="0.4">
      <c r="A12" s="1" t="s">
        <v>253</v>
      </c>
      <c r="B12" s="1">
        <v>712565973</v>
      </c>
      <c r="C12" s="1" t="s">
        <v>58</v>
      </c>
      <c r="D12" s="1" t="s">
        <v>25</v>
      </c>
      <c r="E12" s="1" t="s">
        <v>273</v>
      </c>
      <c r="F12" s="1" t="s">
        <v>81</v>
      </c>
      <c r="G12" s="1" t="s">
        <v>59</v>
      </c>
      <c r="H12" s="93">
        <v>5.5350000000000001</v>
      </c>
      <c r="I12" s="93">
        <v>5.5069999999999997</v>
      </c>
      <c r="J12" s="93">
        <v>5.5090000000000003</v>
      </c>
      <c r="K12" s="93">
        <v>5.508</v>
      </c>
      <c r="L12" s="93">
        <v>5.4969999999999999</v>
      </c>
      <c r="M12" s="93">
        <v>5.5564999999999998</v>
      </c>
      <c r="N12" s="93">
        <v>5.5750000000000002</v>
      </c>
      <c r="O12" s="93">
        <v>5.5145</v>
      </c>
      <c r="P12" s="93">
        <v>47</v>
      </c>
      <c r="Q12" s="93"/>
      <c r="R12" s="93"/>
      <c r="S12" s="93"/>
      <c r="T12" s="93"/>
      <c r="U12" s="93"/>
      <c r="V12" s="92">
        <v>46101.448611111111</v>
      </c>
      <c r="W12" s="1" t="s">
        <v>264</v>
      </c>
    </row>
    <row r="13" spans="1:32" x14ac:dyDescent="0.4">
      <c r="A13" s="1" t="s">
        <v>137</v>
      </c>
      <c r="B13" s="1">
        <v>671574022</v>
      </c>
      <c r="C13" s="1" t="s">
        <v>58</v>
      </c>
      <c r="D13" s="1" t="s">
        <v>28</v>
      </c>
      <c r="E13" s="1" t="s">
        <v>285</v>
      </c>
      <c r="F13" s="1" t="s">
        <v>82</v>
      </c>
      <c r="G13" s="1" t="s">
        <v>59</v>
      </c>
      <c r="H13" s="93">
        <v>467.5</v>
      </c>
      <c r="I13" s="93">
        <v>467.25</v>
      </c>
      <c r="J13" s="93">
        <v>467.5</v>
      </c>
      <c r="K13" s="93">
        <v>467.375</v>
      </c>
      <c r="L13" s="93">
        <v>469.75</v>
      </c>
      <c r="M13" s="93">
        <v>469</v>
      </c>
      <c r="N13" s="93">
        <v>469.25</v>
      </c>
      <c r="O13" s="93">
        <v>466.75</v>
      </c>
      <c r="P13" s="93">
        <v>16671</v>
      </c>
      <c r="Q13" s="93"/>
      <c r="R13" s="93"/>
      <c r="S13" s="93"/>
      <c r="T13" s="93"/>
      <c r="U13" s="93"/>
      <c r="V13" s="92">
        <v>46101.448611111111</v>
      </c>
      <c r="W13" s="1" t="s">
        <v>264</v>
      </c>
    </row>
    <row r="14" spans="1:32" x14ac:dyDescent="0.4">
      <c r="A14" s="1" t="s">
        <v>175</v>
      </c>
      <c r="B14" s="1">
        <v>642254817</v>
      </c>
      <c r="C14" s="1" t="s">
        <v>58</v>
      </c>
      <c r="D14" s="1" t="s">
        <v>29</v>
      </c>
      <c r="E14" s="1" t="s">
        <v>286</v>
      </c>
      <c r="F14" s="1" t="s">
        <v>82</v>
      </c>
      <c r="G14" s="1" t="s">
        <v>59</v>
      </c>
      <c r="H14" s="93">
        <v>602.25</v>
      </c>
      <c r="I14" s="93">
        <v>602.25</v>
      </c>
      <c r="J14" s="93">
        <v>602.5</v>
      </c>
      <c r="K14" s="93">
        <v>602.375</v>
      </c>
      <c r="L14" s="93">
        <v>608</v>
      </c>
      <c r="M14" s="93">
        <v>608</v>
      </c>
      <c r="N14" s="93">
        <v>609.25</v>
      </c>
      <c r="O14" s="93">
        <v>602.25</v>
      </c>
      <c r="P14" s="93">
        <v>6172</v>
      </c>
      <c r="Q14" s="93"/>
      <c r="R14" s="93"/>
      <c r="S14" s="93"/>
      <c r="T14" s="93"/>
      <c r="U14" s="93"/>
      <c r="V14" s="92">
        <v>46101.448611111111</v>
      </c>
      <c r="W14" s="1" t="s">
        <v>264</v>
      </c>
    </row>
    <row r="15" spans="1:32" x14ac:dyDescent="0.4">
      <c r="A15" s="1" t="s">
        <v>180</v>
      </c>
      <c r="B15" s="1">
        <v>665643569</v>
      </c>
      <c r="C15" s="1" t="s">
        <v>58</v>
      </c>
      <c r="D15" s="1" t="s">
        <v>31</v>
      </c>
      <c r="E15" s="1" t="s">
        <v>287</v>
      </c>
      <c r="F15" s="1" t="s">
        <v>82</v>
      </c>
      <c r="G15" s="1" t="s">
        <v>59</v>
      </c>
      <c r="H15" s="93">
        <v>1171.5</v>
      </c>
      <c r="I15" s="93">
        <v>1171.25</v>
      </c>
      <c r="J15" s="93">
        <v>1171.5</v>
      </c>
      <c r="K15" s="93">
        <v>1171.375</v>
      </c>
      <c r="L15" s="93">
        <v>1168.5</v>
      </c>
      <c r="M15" s="93">
        <v>1166</v>
      </c>
      <c r="N15" s="93">
        <v>1176</v>
      </c>
      <c r="O15" s="93">
        <v>1165</v>
      </c>
      <c r="P15" s="93">
        <v>11492</v>
      </c>
      <c r="Q15" s="93"/>
      <c r="R15" s="93"/>
      <c r="S15" s="93"/>
      <c r="T15" s="93"/>
      <c r="U15" s="93"/>
      <c r="V15" s="92">
        <v>46101.448611111111</v>
      </c>
      <c r="W15" s="1" t="s">
        <v>264</v>
      </c>
    </row>
    <row r="16" spans="1:32" x14ac:dyDescent="0.4">
      <c r="A16" s="1" t="s">
        <v>134</v>
      </c>
      <c r="B16" s="1">
        <v>634760175</v>
      </c>
      <c r="C16" s="1" t="s">
        <v>58</v>
      </c>
      <c r="D16" s="1" t="s">
        <v>32</v>
      </c>
      <c r="E16" s="1" t="s">
        <v>288</v>
      </c>
      <c r="F16" s="1" t="s">
        <v>64</v>
      </c>
      <c r="G16" s="1" t="s">
        <v>59</v>
      </c>
      <c r="H16" s="93">
        <v>15.34</v>
      </c>
      <c r="I16" s="93">
        <v>15.34</v>
      </c>
      <c r="J16" s="93">
        <v>15.35</v>
      </c>
      <c r="K16" s="93">
        <v>15.344999999999999</v>
      </c>
      <c r="L16" s="93">
        <v>15.37</v>
      </c>
      <c r="M16" s="93">
        <v>15.33</v>
      </c>
      <c r="N16" s="93">
        <v>15.47</v>
      </c>
      <c r="O16" s="93">
        <v>15.27</v>
      </c>
      <c r="P16" s="93">
        <v>13550</v>
      </c>
      <c r="Q16" s="93"/>
      <c r="R16" s="93"/>
      <c r="S16" s="93"/>
      <c r="T16" s="93"/>
      <c r="U16" s="93"/>
      <c r="V16" s="92">
        <v>46101.448611111111</v>
      </c>
      <c r="W16" s="1" t="s">
        <v>264</v>
      </c>
    </row>
    <row r="17" spans="1:23" x14ac:dyDescent="0.4">
      <c r="A17" s="1" t="s">
        <v>177</v>
      </c>
      <c r="B17" s="1">
        <v>634760204</v>
      </c>
      <c r="C17" s="1" t="s">
        <v>58</v>
      </c>
      <c r="D17" s="1" t="s">
        <v>33</v>
      </c>
      <c r="E17" s="1" t="s">
        <v>289</v>
      </c>
      <c r="F17" s="1" t="s">
        <v>64</v>
      </c>
      <c r="G17" s="1" t="s">
        <v>59</v>
      </c>
      <c r="H17" s="93">
        <v>304.3</v>
      </c>
      <c r="I17" s="93">
        <v>304.25</v>
      </c>
      <c r="J17" s="93">
        <v>304.35000000000002</v>
      </c>
      <c r="K17" s="93">
        <v>304.3</v>
      </c>
      <c r="L17" s="93">
        <v>300.89999999999998</v>
      </c>
      <c r="M17" s="93">
        <v>303</v>
      </c>
      <c r="N17" s="93">
        <v>304.39999999999998</v>
      </c>
      <c r="O17" s="93">
        <v>301.89999999999998</v>
      </c>
      <c r="P17" s="93">
        <v>1175</v>
      </c>
      <c r="Q17" s="93"/>
      <c r="R17" s="93"/>
      <c r="S17" s="93"/>
      <c r="T17" s="93"/>
      <c r="U17" s="93"/>
      <c r="V17" s="92">
        <v>46101.448611111111</v>
      </c>
      <c r="W17" s="1" t="s">
        <v>264</v>
      </c>
    </row>
    <row r="18" spans="1:23" x14ac:dyDescent="0.4">
      <c r="A18" s="1" t="s">
        <v>290</v>
      </c>
      <c r="B18" s="1">
        <v>707621000</v>
      </c>
      <c r="C18" s="1" t="s">
        <v>58</v>
      </c>
      <c r="D18" s="1" t="s">
        <v>34</v>
      </c>
      <c r="E18" s="1" t="s">
        <v>290</v>
      </c>
      <c r="F18" s="1" t="s">
        <v>64</v>
      </c>
      <c r="G18" s="1" t="s">
        <v>59</v>
      </c>
      <c r="H18" s="93">
        <v>0</v>
      </c>
      <c r="I18" s="93">
        <v>-1</v>
      </c>
      <c r="J18" s="93">
        <v>-1</v>
      </c>
      <c r="K18" s="93">
        <v>-1</v>
      </c>
      <c r="L18" s="93">
        <v>3331</v>
      </c>
      <c r="M18" s="93">
        <v>0</v>
      </c>
      <c r="N18" s="93"/>
      <c r="O18" s="93"/>
      <c r="P18" s="93">
        <v>0</v>
      </c>
      <c r="Q18" s="93"/>
      <c r="R18" s="93"/>
      <c r="S18" s="93"/>
      <c r="T18" s="93"/>
      <c r="U18" s="93"/>
      <c r="V18" s="92">
        <v>46101.448611111111</v>
      </c>
      <c r="W18" s="1" t="s">
        <v>264</v>
      </c>
    </row>
    <row r="19" spans="1:23" x14ac:dyDescent="0.4">
      <c r="A19" s="1" t="s">
        <v>184</v>
      </c>
      <c r="B19" s="1">
        <v>634760245</v>
      </c>
      <c r="C19" s="1" t="s">
        <v>58</v>
      </c>
      <c r="D19" s="1" t="s">
        <v>65</v>
      </c>
      <c r="E19" s="1" t="s">
        <v>291</v>
      </c>
      <c r="F19" s="1" t="s">
        <v>64</v>
      </c>
      <c r="G19" s="1" t="s">
        <v>59</v>
      </c>
      <c r="H19" s="93">
        <v>67.33</v>
      </c>
      <c r="I19" s="93">
        <v>67.319999999999993</v>
      </c>
      <c r="J19" s="93">
        <v>67.33</v>
      </c>
      <c r="K19" s="93">
        <v>67.324999999999989</v>
      </c>
      <c r="L19" s="93">
        <v>67.67</v>
      </c>
      <c r="M19" s="93">
        <v>67.69</v>
      </c>
      <c r="N19" s="93">
        <v>68.209999999999994</v>
      </c>
      <c r="O19" s="93">
        <v>67.290000000000006</v>
      </c>
      <c r="P19" s="93">
        <v>7239</v>
      </c>
      <c r="Q19" s="93"/>
      <c r="R19" s="93"/>
      <c r="S19" s="93"/>
      <c r="T19" s="93"/>
      <c r="U19" s="93"/>
      <c r="V19" s="92">
        <v>46101.448611111111</v>
      </c>
      <c r="W19" s="1" t="s">
        <v>264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292</v>
      </c>
      <c r="F20" s="1" t="s">
        <v>79</v>
      </c>
      <c r="G20" s="1" t="s">
        <v>59</v>
      </c>
      <c r="H20" s="93">
        <v>0</v>
      </c>
      <c r="I20" s="93">
        <v>-100</v>
      </c>
      <c r="J20" s="93">
        <v>-100</v>
      </c>
      <c r="K20" s="93">
        <v>-100</v>
      </c>
      <c r="L20" s="93">
        <v>233.27500000000001</v>
      </c>
      <c r="M20" s="93">
        <v>234.9</v>
      </c>
      <c r="N20" s="93">
        <v>234.95</v>
      </c>
      <c r="O20" s="93">
        <v>232.65</v>
      </c>
      <c r="P20" s="93">
        <v>13220</v>
      </c>
      <c r="Q20" s="93"/>
      <c r="R20" s="93"/>
      <c r="S20" s="93"/>
      <c r="T20" s="93"/>
      <c r="U20" s="93"/>
      <c r="V20" s="92">
        <v>46101.448611111111</v>
      </c>
      <c r="W20" s="1" t="s">
        <v>264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293</v>
      </c>
      <c r="F21" s="1" t="s">
        <v>79</v>
      </c>
      <c r="G21" s="1" t="s">
        <v>59</v>
      </c>
      <c r="H21" s="93">
        <v>0</v>
      </c>
      <c r="I21" s="93">
        <v>-100</v>
      </c>
      <c r="J21" s="93">
        <v>-100</v>
      </c>
      <c r="K21" s="93">
        <v>-100</v>
      </c>
      <c r="L21" s="93">
        <v>343.42500000000001</v>
      </c>
      <c r="M21" s="93">
        <v>347</v>
      </c>
      <c r="N21" s="93">
        <v>347</v>
      </c>
      <c r="O21" s="93">
        <v>342.55</v>
      </c>
      <c r="P21" s="93">
        <v>5994</v>
      </c>
      <c r="Q21" s="93"/>
      <c r="R21" s="93"/>
      <c r="S21" s="93"/>
      <c r="T21" s="93"/>
      <c r="U21" s="93"/>
      <c r="V21" s="92">
        <v>46101.448611111111</v>
      </c>
      <c r="W21" s="1" t="s">
        <v>264</v>
      </c>
    </row>
    <row r="22" spans="1:23" x14ac:dyDescent="0.4">
      <c r="A22" s="1" t="s">
        <v>150</v>
      </c>
      <c r="B22" s="1">
        <v>735014937</v>
      </c>
      <c r="C22" s="1" t="s">
        <v>58</v>
      </c>
      <c r="D22" s="1" t="s">
        <v>37</v>
      </c>
      <c r="E22" s="1" t="s">
        <v>294</v>
      </c>
      <c r="F22" s="1" t="s">
        <v>79</v>
      </c>
      <c r="G22" s="1" t="s">
        <v>59</v>
      </c>
      <c r="H22" s="93">
        <v>0</v>
      </c>
      <c r="I22" s="93">
        <v>-100</v>
      </c>
      <c r="J22" s="93">
        <v>-100</v>
      </c>
      <c r="K22" s="93">
        <v>-100</v>
      </c>
      <c r="L22" s="93">
        <v>92.05</v>
      </c>
      <c r="M22" s="93">
        <v>93.65</v>
      </c>
      <c r="N22" s="93">
        <v>93.724999999999994</v>
      </c>
      <c r="O22" s="93">
        <v>91.924999999999997</v>
      </c>
      <c r="P22" s="93">
        <v>24371</v>
      </c>
      <c r="Q22" s="93"/>
      <c r="R22" s="93"/>
      <c r="S22" s="93"/>
      <c r="T22" s="93"/>
      <c r="U22" s="93"/>
      <c r="V22" s="92">
        <v>46101.448611111111</v>
      </c>
      <c r="W22" s="1" t="s">
        <v>264</v>
      </c>
    </row>
    <row r="23" spans="1:23" x14ac:dyDescent="0.4">
      <c r="A23" s="1" t="s">
        <v>259</v>
      </c>
      <c r="B23" s="1">
        <v>792232100</v>
      </c>
      <c r="C23" s="1" t="s">
        <v>58</v>
      </c>
      <c r="D23" s="1" t="s">
        <v>38</v>
      </c>
      <c r="E23" s="1" t="s">
        <v>274</v>
      </c>
      <c r="F23" s="1" t="s">
        <v>64</v>
      </c>
      <c r="G23" s="1" t="s">
        <v>59</v>
      </c>
      <c r="H23" s="93">
        <v>99.204999999999998</v>
      </c>
      <c r="I23" s="93">
        <v>99.2</v>
      </c>
      <c r="J23" s="93">
        <v>99.21</v>
      </c>
      <c r="K23" s="93">
        <v>99.204999999999998</v>
      </c>
      <c r="L23" s="93">
        <v>99.06</v>
      </c>
      <c r="M23" s="93">
        <v>99.1</v>
      </c>
      <c r="N23" s="93">
        <v>99.275000000000006</v>
      </c>
      <c r="O23" s="93">
        <v>99.055000000000007</v>
      </c>
      <c r="P23" s="93">
        <v>5977</v>
      </c>
      <c r="Q23" s="93"/>
      <c r="R23" s="93"/>
      <c r="S23" s="93"/>
      <c r="T23" s="93"/>
      <c r="U23" s="93"/>
      <c r="V23" s="92">
        <v>46101.448611111111</v>
      </c>
      <c r="W23" s="1" t="s">
        <v>264</v>
      </c>
    </row>
    <row r="24" spans="1:23" x14ac:dyDescent="0.4">
      <c r="A24" s="1" t="s">
        <v>254</v>
      </c>
      <c r="B24" s="1">
        <v>496647057</v>
      </c>
      <c r="C24" s="1" t="s">
        <v>58</v>
      </c>
      <c r="D24" s="1" t="s">
        <v>56</v>
      </c>
      <c r="E24" s="1" t="s">
        <v>275</v>
      </c>
      <c r="F24" s="1" t="s">
        <v>79</v>
      </c>
      <c r="G24" s="1" t="s">
        <v>59</v>
      </c>
      <c r="H24" s="93">
        <v>1.1608499999999999</v>
      </c>
      <c r="I24" s="93">
        <v>1.1608499999999999</v>
      </c>
      <c r="J24" s="93">
        <v>1.1609</v>
      </c>
      <c r="K24" s="93">
        <v>1.1608749999999999</v>
      </c>
      <c r="L24" s="93">
        <v>1.1629</v>
      </c>
      <c r="M24" s="93">
        <v>1.1634500000000001</v>
      </c>
      <c r="N24" s="93">
        <v>1.1641999999999999</v>
      </c>
      <c r="O24" s="93">
        <v>1.1598999999999999</v>
      </c>
      <c r="P24" s="93">
        <v>52393</v>
      </c>
      <c r="Q24" s="93"/>
      <c r="R24" s="93"/>
      <c r="S24" s="93"/>
      <c r="T24" s="93"/>
      <c r="U24" s="93"/>
      <c r="V24" s="92">
        <v>46101.448611111111</v>
      </c>
      <c r="W24" s="1" t="s">
        <v>264</v>
      </c>
    </row>
    <row r="25" spans="1:23" x14ac:dyDescent="0.4">
      <c r="A25" s="1" t="s">
        <v>255</v>
      </c>
      <c r="B25" s="1">
        <v>496647091</v>
      </c>
      <c r="C25" s="1" t="s">
        <v>58</v>
      </c>
      <c r="D25" s="1" t="s">
        <v>74</v>
      </c>
      <c r="E25" s="1" t="s">
        <v>276</v>
      </c>
      <c r="F25" s="1" t="s">
        <v>79</v>
      </c>
      <c r="G25" s="1" t="s">
        <v>59</v>
      </c>
      <c r="H25" s="93">
        <v>1.3399000000000001</v>
      </c>
      <c r="I25" s="93">
        <v>1.3399000000000001</v>
      </c>
      <c r="J25" s="93">
        <v>1.3401000000000001</v>
      </c>
      <c r="K25" s="93">
        <v>1.34</v>
      </c>
      <c r="L25" s="93">
        <v>1.3414999999999999</v>
      </c>
      <c r="M25" s="93">
        <v>1.3431999999999999</v>
      </c>
      <c r="N25" s="93">
        <v>1.3440000000000001</v>
      </c>
      <c r="O25" s="93">
        <v>1.3394999999999999</v>
      </c>
      <c r="P25" s="93">
        <v>23717</v>
      </c>
      <c r="Q25" s="93"/>
      <c r="R25" s="93"/>
      <c r="S25" s="93"/>
      <c r="T25" s="93"/>
      <c r="U25" s="93"/>
      <c r="V25" s="92">
        <v>46101.448611111111</v>
      </c>
      <c r="W25" s="1" t="s">
        <v>264</v>
      </c>
    </row>
    <row r="26" spans="1:23" x14ac:dyDescent="0.4">
      <c r="A26" s="1" t="s">
        <v>256</v>
      </c>
      <c r="B26" s="1">
        <v>496647108</v>
      </c>
      <c r="C26" s="1" t="s">
        <v>58</v>
      </c>
      <c r="D26" s="1" t="s">
        <v>57</v>
      </c>
      <c r="E26" s="1" t="s">
        <v>277</v>
      </c>
      <c r="F26" s="1" t="s">
        <v>79</v>
      </c>
      <c r="G26" s="1" t="s">
        <v>59</v>
      </c>
      <c r="H26" s="93">
        <v>6.3495000000000001E-3</v>
      </c>
      <c r="I26" s="93">
        <v>6.3489999999999996E-3</v>
      </c>
      <c r="J26" s="93">
        <v>6.3499999999999997E-3</v>
      </c>
      <c r="K26" s="93">
        <v>6.3494999999999992E-3</v>
      </c>
      <c r="L26" s="93">
        <v>6.3879999999999996E-3</v>
      </c>
      <c r="M26" s="93">
        <v>6.3854999999999997E-3</v>
      </c>
      <c r="N26" s="93">
        <v>6.3879999999999996E-3</v>
      </c>
      <c r="O26" s="93">
        <v>6.3480000000000003E-3</v>
      </c>
      <c r="P26" s="93">
        <v>42737</v>
      </c>
      <c r="Q26" s="93"/>
      <c r="R26" s="93"/>
      <c r="S26" s="93"/>
      <c r="T26" s="93"/>
      <c r="U26" s="93"/>
      <c r="V26" s="92">
        <v>46101.448611111111</v>
      </c>
      <c r="W26" s="1" t="s">
        <v>264</v>
      </c>
    </row>
    <row r="27" spans="1:23" x14ac:dyDescent="0.4">
      <c r="A27" s="1" t="s">
        <v>257</v>
      </c>
      <c r="B27" s="1">
        <v>496879111</v>
      </c>
      <c r="C27" s="1" t="s">
        <v>58</v>
      </c>
      <c r="D27" s="1" t="s">
        <v>76</v>
      </c>
      <c r="E27" s="1" t="s">
        <v>278</v>
      </c>
      <c r="F27" s="1" t="s">
        <v>79</v>
      </c>
      <c r="G27" s="1" t="s">
        <v>59</v>
      </c>
      <c r="H27" s="93">
        <v>0.73170000000000002</v>
      </c>
      <c r="I27" s="93">
        <v>0.73170000000000002</v>
      </c>
      <c r="J27" s="93">
        <v>0.73175000000000001</v>
      </c>
      <c r="K27" s="93">
        <v>0.73172499999999996</v>
      </c>
      <c r="L27" s="93">
        <v>0.73134999999999994</v>
      </c>
      <c r="M27" s="93">
        <v>0.73055000000000003</v>
      </c>
      <c r="N27" s="93">
        <v>0.73199999999999998</v>
      </c>
      <c r="O27" s="93">
        <v>0.73035000000000005</v>
      </c>
      <c r="P27" s="93">
        <v>13475</v>
      </c>
      <c r="Q27" s="93"/>
      <c r="R27" s="93"/>
      <c r="S27" s="93"/>
      <c r="T27" s="93"/>
      <c r="U27" s="93"/>
      <c r="V27" s="92">
        <v>46101.448611111111</v>
      </c>
      <c r="W27" s="1" t="s">
        <v>264</v>
      </c>
    </row>
    <row r="28" spans="1:23" x14ac:dyDescent="0.4">
      <c r="A28" s="1" t="s">
        <v>258</v>
      </c>
      <c r="B28" s="1">
        <v>496647009</v>
      </c>
      <c r="C28" s="1" t="s">
        <v>58</v>
      </c>
      <c r="D28" s="1" t="s">
        <v>78</v>
      </c>
      <c r="E28" s="1" t="s">
        <v>279</v>
      </c>
      <c r="F28" s="1" t="s">
        <v>79</v>
      </c>
      <c r="G28" s="1" t="s">
        <v>59</v>
      </c>
      <c r="H28" s="93">
        <v>0.70709999999999995</v>
      </c>
      <c r="I28" s="93">
        <v>0.70709999999999995</v>
      </c>
      <c r="J28" s="93">
        <v>0.70714999999999995</v>
      </c>
      <c r="K28" s="93">
        <v>0.707125</v>
      </c>
      <c r="L28" s="93">
        <v>0.70655000000000001</v>
      </c>
      <c r="M28" s="93">
        <v>0.70760000000000001</v>
      </c>
      <c r="N28" s="93">
        <v>0.70889999999999997</v>
      </c>
      <c r="O28" s="93">
        <v>0.70650000000000002</v>
      </c>
      <c r="P28" s="93">
        <v>30078</v>
      </c>
      <c r="Q28" s="93"/>
      <c r="R28" s="93"/>
      <c r="S28" s="93"/>
      <c r="T28" s="93"/>
      <c r="U28" s="93"/>
      <c r="V28" s="92">
        <v>46101.448611111111</v>
      </c>
      <c r="W28" s="1" t="s">
        <v>264</v>
      </c>
    </row>
    <row r="29" spans="1:23" x14ac:dyDescent="0.4">
      <c r="A29" s="1" t="s">
        <v>261</v>
      </c>
      <c r="B29" s="1">
        <v>815824224</v>
      </c>
      <c r="C29" s="1" t="s">
        <v>58</v>
      </c>
      <c r="D29" s="1" t="s">
        <v>46</v>
      </c>
      <c r="E29" s="1" t="s">
        <v>280</v>
      </c>
      <c r="F29" s="1" t="s">
        <v>82</v>
      </c>
      <c r="G29" s="1" t="s">
        <v>59</v>
      </c>
      <c r="H29" s="93">
        <v>114.21875</v>
      </c>
      <c r="I29" s="93">
        <v>114.1875</v>
      </c>
      <c r="J29" s="93">
        <v>114.21875</v>
      </c>
      <c r="K29" s="93">
        <v>114.203125</v>
      </c>
      <c r="L29" s="93">
        <v>114.375</v>
      </c>
      <c r="M29" s="93">
        <v>114.65625</v>
      </c>
      <c r="N29" s="93">
        <v>114.75</v>
      </c>
      <c r="O29" s="93">
        <v>114.15625</v>
      </c>
      <c r="P29" s="93">
        <v>46792</v>
      </c>
      <c r="Q29" s="93"/>
      <c r="R29" s="93"/>
      <c r="S29" s="93"/>
      <c r="T29" s="93"/>
      <c r="U29" s="93"/>
      <c r="V29" s="92">
        <v>46101.448611111111</v>
      </c>
      <c r="W29" s="1" t="s">
        <v>264</v>
      </c>
    </row>
    <row r="30" spans="1:23" x14ac:dyDescent="0.4">
      <c r="A30" s="1" t="s">
        <v>262</v>
      </c>
      <c r="B30" s="1">
        <v>815824229</v>
      </c>
      <c r="C30" s="1" t="s">
        <v>58</v>
      </c>
      <c r="D30" s="1" t="s">
        <v>67</v>
      </c>
      <c r="E30" s="1" t="s">
        <v>295</v>
      </c>
      <c r="F30" s="1" t="s">
        <v>82</v>
      </c>
      <c r="G30" s="1" t="s">
        <v>59</v>
      </c>
      <c r="H30" s="93">
        <v>111.125</v>
      </c>
      <c r="I30" s="93">
        <v>111.125</v>
      </c>
      <c r="J30" s="93">
        <v>111.140625</v>
      </c>
      <c r="K30" s="93">
        <v>111.1328125</v>
      </c>
      <c r="L30" s="93">
        <v>111.21875</v>
      </c>
      <c r="M30" s="93">
        <v>111.484375</v>
      </c>
      <c r="N30" s="93">
        <v>111.53125</v>
      </c>
      <c r="O30" s="93">
        <v>111.109375</v>
      </c>
      <c r="P30" s="93">
        <v>293674</v>
      </c>
      <c r="Q30" s="93"/>
      <c r="R30" s="93"/>
      <c r="S30" s="93"/>
      <c r="T30" s="93"/>
      <c r="U30" s="93"/>
      <c r="V30" s="92">
        <v>46101.448611111111</v>
      </c>
      <c r="W30" s="1" t="s">
        <v>264</v>
      </c>
    </row>
    <row r="31" spans="1:23" x14ac:dyDescent="0.4">
      <c r="A31" s="1" t="s">
        <v>246</v>
      </c>
      <c r="B31" s="1">
        <v>813041669</v>
      </c>
      <c r="C31" s="1" t="s">
        <v>58</v>
      </c>
      <c r="D31" s="1" t="s">
        <v>69</v>
      </c>
      <c r="E31" s="1" t="s">
        <v>297</v>
      </c>
      <c r="F31" s="1" t="s">
        <v>80</v>
      </c>
      <c r="G31" s="1" t="s">
        <v>56</v>
      </c>
      <c r="H31" s="93">
        <v>125.74</v>
      </c>
      <c r="I31" s="93">
        <v>125.73</v>
      </c>
      <c r="J31" s="93">
        <v>125.74</v>
      </c>
      <c r="K31" s="93">
        <v>125.735</v>
      </c>
      <c r="L31" s="93">
        <v>125.97</v>
      </c>
      <c r="M31" s="93">
        <v>126.16</v>
      </c>
      <c r="N31" s="93">
        <v>126.27</v>
      </c>
      <c r="O31" s="93">
        <v>125.74</v>
      </c>
      <c r="P31" s="93">
        <v>291074</v>
      </c>
      <c r="Q31" s="93"/>
      <c r="R31" s="93"/>
      <c r="S31" s="93"/>
      <c r="T31" s="93"/>
      <c r="U31" s="93"/>
      <c r="V31" s="92">
        <v>46101.448611111111</v>
      </c>
      <c r="W31" s="1" t="s">
        <v>264</v>
      </c>
    </row>
    <row r="32" spans="1:23" x14ac:dyDescent="0.4">
      <c r="A32" s="1" t="s">
        <v>247</v>
      </c>
      <c r="B32" s="1">
        <v>813041681</v>
      </c>
      <c r="C32" s="1" t="s">
        <v>58</v>
      </c>
      <c r="D32" s="1" t="s">
        <v>71</v>
      </c>
      <c r="E32" s="1" t="s">
        <v>281</v>
      </c>
      <c r="F32" s="1" t="s">
        <v>80</v>
      </c>
      <c r="G32" s="1" t="s">
        <v>56</v>
      </c>
      <c r="H32" s="93">
        <v>109.98</v>
      </c>
      <c r="I32" s="93">
        <v>109.98</v>
      </c>
      <c r="J32" s="93">
        <v>110</v>
      </c>
      <c r="K32" s="93">
        <v>109.99000000000001</v>
      </c>
      <c r="L32" s="93">
        <v>110.24</v>
      </c>
      <c r="M32" s="93">
        <v>110.5</v>
      </c>
      <c r="N32" s="93">
        <v>110.66</v>
      </c>
      <c r="O32" s="93">
        <v>109.98</v>
      </c>
      <c r="P32" s="93">
        <v>41755</v>
      </c>
      <c r="Q32" s="93"/>
      <c r="R32" s="93"/>
      <c r="S32" s="93"/>
      <c r="T32" s="93"/>
      <c r="U32" s="93"/>
      <c r="V32" s="92">
        <v>46101.448611111111</v>
      </c>
      <c r="W32" s="1" t="s">
        <v>264</v>
      </c>
    </row>
    <row r="33" spans="1:23" x14ac:dyDescent="0.4">
      <c r="A33" s="1" t="s">
        <v>248</v>
      </c>
      <c r="B33" s="1">
        <v>813041663</v>
      </c>
      <c r="C33" s="1" t="s">
        <v>58</v>
      </c>
      <c r="D33" s="1" t="s">
        <v>47</v>
      </c>
      <c r="E33" s="1" t="s">
        <v>282</v>
      </c>
      <c r="F33" s="1" t="s">
        <v>80</v>
      </c>
      <c r="G33" s="1" t="s">
        <v>56</v>
      </c>
      <c r="H33" s="93">
        <v>117.06</v>
      </c>
      <c r="I33" s="93">
        <v>117.05</v>
      </c>
      <c r="J33" s="93">
        <v>117.06</v>
      </c>
      <c r="K33" s="93">
        <v>117.05500000000001</v>
      </c>
      <c r="L33" s="93">
        <v>117.37</v>
      </c>
      <c r="M33" s="93">
        <v>117.46</v>
      </c>
      <c r="N33" s="93">
        <v>117.82</v>
      </c>
      <c r="O33" s="93">
        <v>117.07</v>
      </c>
      <c r="P33" s="93">
        <v>99090</v>
      </c>
      <c r="Q33" s="93"/>
      <c r="R33" s="93"/>
      <c r="S33" s="93"/>
      <c r="T33" s="93"/>
      <c r="U33" s="93"/>
      <c r="V33" s="92">
        <v>46101.448611111111</v>
      </c>
      <c r="W33" s="1" t="s">
        <v>264</v>
      </c>
    </row>
    <row r="34" spans="1:23" x14ac:dyDescent="0.4">
      <c r="A34" s="1" t="s">
        <v>298</v>
      </c>
      <c r="B34" s="1">
        <v>479624278</v>
      </c>
      <c r="C34" s="1" t="s">
        <v>187</v>
      </c>
      <c r="D34" s="1" t="s">
        <v>44</v>
      </c>
      <c r="E34" s="1" t="s">
        <v>283</v>
      </c>
      <c r="F34" s="1" t="s">
        <v>191</v>
      </c>
      <c r="G34" s="1" t="s">
        <v>59</v>
      </c>
      <c r="H34" s="93">
        <v>70571.25</v>
      </c>
      <c r="I34" s="93">
        <v>70571.25</v>
      </c>
      <c r="J34" s="93">
        <v>70571.5</v>
      </c>
      <c r="K34" s="93">
        <v>70571.375</v>
      </c>
      <c r="L34" s="93">
        <v>70268.25</v>
      </c>
      <c r="M34" s="93"/>
      <c r="N34" s="93">
        <v>71605.5</v>
      </c>
      <c r="O34" s="93">
        <v>68655</v>
      </c>
      <c r="P34" s="93">
        <v>100.22978931999999</v>
      </c>
      <c r="Q34" s="93"/>
      <c r="R34" s="93"/>
      <c r="S34" s="93"/>
      <c r="T34" s="93"/>
      <c r="U34" s="93"/>
      <c r="V34" s="92">
        <v>46101.448611111111</v>
      </c>
      <c r="W34" s="1" t="s">
        <v>264</v>
      </c>
    </row>
    <row r="35" spans="1:23" x14ac:dyDescent="0.4">
      <c r="A35" s="1" t="s">
        <v>188</v>
      </c>
      <c r="B35" s="1">
        <v>495759171</v>
      </c>
      <c r="C35" s="1" t="s">
        <v>187</v>
      </c>
      <c r="D35" s="1" t="s">
        <v>45</v>
      </c>
      <c r="E35" s="1" t="s">
        <v>284</v>
      </c>
      <c r="F35" s="1" t="s">
        <v>191</v>
      </c>
      <c r="G35" s="1" t="s">
        <v>59</v>
      </c>
      <c r="H35" s="93">
        <v>2145.8000000000002</v>
      </c>
      <c r="I35" s="93">
        <v>2144.1</v>
      </c>
      <c r="J35" s="93">
        <v>2144.15</v>
      </c>
      <c r="K35" s="93">
        <v>2144.125</v>
      </c>
      <c r="L35" s="93">
        <v>2141.6999999999998</v>
      </c>
      <c r="M35" s="93"/>
      <c r="N35" s="93">
        <v>2232.75</v>
      </c>
      <c r="O35" s="93">
        <v>2094.6</v>
      </c>
      <c r="P35" s="93">
        <v>1166.4607209200001</v>
      </c>
      <c r="Q35" s="93"/>
      <c r="R35" s="93"/>
      <c r="S35" s="93"/>
      <c r="T35" s="93"/>
      <c r="U35" s="93"/>
      <c r="V35" s="92">
        <v>46101.448611111111</v>
      </c>
      <c r="W35" s="1" t="s">
        <v>264</v>
      </c>
    </row>
    <row r="36" spans="1:23" x14ac:dyDescent="0.4">
      <c r="A36" s="1" t="s">
        <v>318</v>
      </c>
      <c r="B36" s="1">
        <v>297507399</v>
      </c>
      <c r="C36" s="1" t="s">
        <v>317</v>
      </c>
      <c r="D36" s="1" t="s">
        <v>24</v>
      </c>
      <c r="E36" s="1" t="s">
        <v>318</v>
      </c>
      <c r="F36" s="1" t="s">
        <v>60</v>
      </c>
      <c r="G36" s="1" t="s">
        <v>59</v>
      </c>
      <c r="H36" s="93">
        <v>3.21</v>
      </c>
      <c r="I36" s="93">
        <v>2.93</v>
      </c>
      <c r="J36" s="93">
        <v>3.01</v>
      </c>
      <c r="K36" s="93">
        <v>2.9699999999999998</v>
      </c>
      <c r="L36" s="93">
        <v>2.91</v>
      </c>
      <c r="M36" s="93"/>
      <c r="N36" s="93">
        <v>3.21</v>
      </c>
      <c r="O36" s="93">
        <v>3.21</v>
      </c>
      <c r="P36" s="93">
        <v>39</v>
      </c>
      <c r="Q36" s="93">
        <v>0.71771421572689076</v>
      </c>
      <c r="R36" s="93">
        <v>-0.18128491103438815</v>
      </c>
      <c r="S36" s="93">
        <v>1.0173391195764769E-2</v>
      </c>
      <c r="T36" s="93">
        <v>0.10013433884153189</v>
      </c>
      <c r="U36" s="93">
        <v>-6.4910269707011192E-2</v>
      </c>
      <c r="V36" s="92">
        <v>46101.448611111111</v>
      </c>
      <c r="W36" s="1" t="s">
        <v>264</v>
      </c>
    </row>
    <row r="37" spans="1:23" x14ac:dyDescent="0.4">
      <c r="A37" s="1" t="s">
        <v>319</v>
      </c>
      <c r="B37" s="1">
        <v>297509218</v>
      </c>
      <c r="C37" s="1" t="s">
        <v>317</v>
      </c>
      <c r="D37" s="1" t="s">
        <v>24</v>
      </c>
      <c r="E37" s="1" t="s">
        <v>319</v>
      </c>
      <c r="F37" s="1" t="s">
        <v>60</v>
      </c>
      <c r="G37" s="1" t="s">
        <v>59</v>
      </c>
      <c r="H37" s="93">
        <v>-1</v>
      </c>
      <c r="I37" s="93">
        <v>0.4</v>
      </c>
      <c r="J37" s="93">
        <v>0.46</v>
      </c>
      <c r="K37" s="93">
        <v>0.43000000000000005</v>
      </c>
      <c r="L37" s="93">
        <v>0.42</v>
      </c>
      <c r="M37" s="93"/>
      <c r="N37" s="93"/>
      <c r="O37" s="93"/>
      <c r="P37" s="93">
        <v>31</v>
      </c>
      <c r="Q37" s="93">
        <v>0.81233159477945005</v>
      </c>
      <c r="R37" s="93">
        <v>-3.4256763347845533E-2</v>
      </c>
      <c r="S37" s="93">
        <v>2.5847785584919365E-3</v>
      </c>
      <c r="T37" s="93">
        <v>2.5575313853269277E-2</v>
      </c>
      <c r="U37" s="93">
        <v>-1.8803767424097062E-2</v>
      </c>
      <c r="V37" s="92">
        <v>46101.448611111111</v>
      </c>
      <c r="W37" s="1" t="s">
        <v>264</v>
      </c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220</v>
      </c>
      <c r="B1" s="86" t="s">
        <v>237</v>
      </c>
      <c r="C1" s="86" t="s">
        <v>236</v>
      </c>
    </row>
    <row r="2" spans="1:3" x14ac:dyDescent="0.4">
      <c r="A2" s="87">
        <v>46086.543078703704</v>
      </c>
      <c r="B2" s="84" t="s">
        <v>299</v>
      </c>
      <c r="C2" s="84" t="s">
        <v>300</v>
      </c>
    </row>
    <row r="3" spans="1:3" x14ac:dyDescent="0.4">
      <c r="A3" s="87">
        <v>46086.543090277781</v>
      </c>
      <c r="B3" s="84" t="s">
        <v>299</v>
      </c>
      <c r="C3" s="84" t="s">
        <v>301</v>
      </c>
    </row>
    <row r="4" spans="1:3" x14ac:dyDescent="0.4">
      <c r="A4" s="87">
        <v>46086.54310185185</v>
      </c>
      <c r="B4" s="84" t="s">
        <v>299</v>
      </c>
      <c r="C4" s="84" t="s">
        <v>302</v>
      </c>
    </row>
    <row r="5" spans="1:3" x14ac:dyDescent="0.4">
      <c r="A5" s="85">
        <v>46090.383530092593</v>
      </c>
      <c r="B5" s="1" t="s">
        <v>299</v>
      </c>
      <c r="C5" s="1" t="s">
        <v>300</v>
      </c>
    </row>
    <row r="6" spans="1:3" x14ac:dyDescent="0.4">
      <c r="A6" s="85">
        <v>46090.38354166667</v>
      </c>
      <c r="B6" s="1" t="s">
        <v>299</v>
      </c>
      <c r="C6" s="1" t="s">
        <v>301</v>
      </c>
    </row>
    <row r="7" spans="1:3" x14ac:dyDescent="0.4">
      <c r="A7" s="85">
        <v>46090.38354166667</v>
      </c>
      <c r="B7" s="81" t="s">
        <v>299</v>
      </c>
      <c r="C7" s="81" t="s">
        <v>302</v>
      </c>
    </row>
    <row r="8" spans="1:3" x14ac:dyDescent="0.4">
      <c r="A8" s="85">
        <v>46090.869409722225</v>
      </c>
      <c r="B8" s="81" t="s">
        <v>299</v>
      </c>
      <c r="C8" s="81" t="s">
        <v>300</v>
      </c>
    </row>
    <row r="9" spans="1:3" x14ac:dyDescent="0.4">
      <c r="A9" s="85">
        <v>46090.869409722225</v>
      </c>
      <c r="B9" s="81" t="s">
        <v>299</v>
      </c>
      <c r="C9" s="81" t="s">
        <v>301</v>
      </c>
    </row>
    <row r="10" spans="1:3" x14ac:dyDescent="0.4">
      <c r="A10" s="85">
        <v>46090.869409722225</v>
      </c>
      <c r="B10" s="1" t="s">
        <v>299</v>
      </c>
      <c r="C10" s="1" t="s">
        <v>302</v>
      </c>
    </row>
    <row r="11" spans="1:3" x14ac:dyDescent="0.4">
      <c r="A11" s="85">
        <v>46092.415810185186</v>
      </c>
      <c r="B11" s="1" t="s">
        <v>299</v>
      </c>
      <c r="C11" s="1" t="s">
        <v>300</v>
      </c>
    </row>
    <row r="12" spans="1:3" x14ac:dyDescent="0.4">
      <c r="A12" s="85">
        <v>46092.415821759256</v>
      </c>
      <c r="B12" s="1" t="s">
        <v>299</v>
      </c>
      <c r="C12" s="1" t="s">
        <v>301</v>
      </c>
    </row>
    <row r="13" spans="1:3" x14ac:dyDescent="0.4">
      <c r="A13" s="85">
        <v>46092.415821759256</v>
      </c>
      <c r="B13" s="1" t="s">
        <v>299</v>
      </c>
      <c r="C13" s="1" t="s">
        <v>302</v>
      </c>
    </row>
    <row r="14" spans="1:3" x14ac:dyDescent="0.4">
      <c r="A14" s="85">
        <v>46095.370937500003</v>
      </c>
      <c r="B14" s="1" t="s">
        <v>299</v>
      </c>
      <c r="C14" s="1" t="s">
        <v>300</v>
      </c>
    </row>
    <row r="15" spans="1:3" x14ac:dyDescent="0.4">
      <c r="A15" s="85">
        <v>46095.370949074073</v>
      </c>
      <c r="B15" s="1" t="s">
        <v>299</v>
      </c>
      <c r="C15" s="1" t="s">
        <v>301</v>
      </c>
    </row>
    <row r="16" spans="1:3" x14ac:dyDescent="0.4">
      <c r="A16" s="85">
        <v>46095.370949074073</v>
      </c>
      <c r="B16" s="1" t="s">
        <v>299</v>
      </c>
      <c r="C16" s="1" t="s">
        <v>316</v>
      </c>
    </row>
    <row r="17" spans="1:3" x14ac:dyDescent="0.4">
      <c r="A17" s="85">
        <v>46095.371539351851</v>
      </c>
      <c r="B17" s="1" t="s">
        <v>299</v>
      </c>
      <c r="C17" s="1" t="s">
        <v>300</v>
      </c>
    </row>
    <row r="18" spans="1:3" x14ac:dyDescent="0.4">
      <c r="A18" s="85">
        <v>46095.371539351851</v>
      </c>
      <c r="B18" s="1" t="s">
        <v>299</v>
      </c>
      <c r="C18" s="1" t="s">
        <v>301</v>
      </c>
    </row>
    <row r="19" spans="1:3" x14ac:dyDescent="0.4">
      <c r="A19" s="85">
        <v>46095.371539351851</v>
      </c>
      <c r="B19" s="1" t="s">
        <v>299</v>
      </c>
      <c r="C19" s="1" t="s">
        <v>316</v>
      </c>
    </row>
    <row r="20" spans="1:3" x14ac:dyDescent="0.4">
      <c r="A20" s="85">
        <v>46097.672754629632</v>
      </c>
      <c r="B20" s="1" t="s">
        <v>299</v>
      </c>
      <c r="C20" s="1" t="s">
        <v>300</v>
      </c>
    </row>
    <row r="21" spans="1:3" x14ac:dyDescent="0.4">
      <c r="A21" s="85">
        <v>46097.672766203701</v>
      </c>
      <c r="B21" s="1" t="s">
        <v>299</v>
      </c>
      <c r="C21" s="1" t="s">
        <v>301</v>
      </c>
    </row>
    <row r="22" spans="1:3" x14ac:dyDescent="0.4">
      <c r="A22" s="85">
        <v>46097.672766203701</v>
      </c>
      <c r="B22" s="1" t="s">
        <v>299</v>
      </c>
      <c r="C22" s="1" t="s">
        <v>316</v>
      </c>
    </row>
    <row r="23" spans="1:3" x14ac:dyDescent="0.4">
      <c r="A23" s="85">
        <v>46098.335706018515</v>
      </c>
      <c r="B23" s="1" t="s">
        <v>299</v>
      </c>
      <c r="C23" s="1" t="s">
        <v>300</v>
      </c>
    </row>
    <row r="24" spans="1:3" x14ac:dyDescent="0.4">
      <c r="A24" s="85">
        <v>46098.335729166669</v>
      </c>
      <c r="B24" s="1" t="s">
        <v>299</v>
      </c>
      <c r="C24" s="1" t="s">
        <v>301</v>
      </c>
    </row>
    <row r="25" spans="1:3" x14ac:dyDescent="0.4">
      <c r="A25" s="85">
        <v>46098.335740740738</v>
      </c>
      <c r="B25" s="1" t="s">
        <v>299</v>
      </c>
      <c r="C25" s="1" t="s">
        <v>316</v>
      </c>
    </row>
    <row r="26" spans="1:3" x14ac:dyDescent="0.4">
      <c r="A26" s="85">
        <v>46098.336087962962</v>
      </c>
      <c r="B26" s="1" t="s">
        <v>323</v>
      </c>
      <c r="C26" s="1" t="s">
        <v>324</v>
      </c>
    </row>
    <row r="27" spans="1:3" x14ac:dyDescent="0.4">
      <c r="A27" s="85">
        <v>46098.336111111108</v>
      </c>
      <c r="B27" s="1" t="s">
        <v>299</v>
      </c>
      <c r="C27" s="1" t="s">
        <v>325</v>
      </c>
    </row>
    <row r="28" spans="1:3" x14ac:dyDescent="0.4">
      <c r="A28" s="85">
        <v>46099.474259259259</v>
      </c>
      <c r="B28" s="1" t="s">
        <v>299</v>
      </c>
      <c r="C28" s="1" t="s">
        <v>300</v>
      </c>
    </row>
    <row r="29" spans="1:3" x14ac:dyDescent="0.4">
      <c r="A29" s="85">
        <v>46099.474270833336</v>
      </c>
      <c r="B29" s="1" t="s">
        <v>299</v>
      </c>
      <c r="C29" s="1" t="s">
        <v>301</v>
      </c>
    </row>
    <row r="30" spans="1:3" x14ac:dyDescent="0.4">
      <c r="A30" s="85">
        <v>46099.474270833336</v>
      </c>
      <c r="B30" s="1" t="s">
        <v>299</v>
      </c>
      <c r="C30" s="1" t="s">
        <v>316</v>
      </c>
    </row>
    <row r="31" spans="1:3" x14ac:dyDescent="0.4">
      <c r="A31" s="85">
        <v>46100.744826388887</v>
      </c>
      <c r="B31" s="1" t="s">
        <v>299</v>
      </c>
      <c r="C31" s="1" t="s">
        <v>300</v>
      </c>
    </row>
    <row r="32" spans="1:3" x14ac:dyDescent="0.4">
      <c r="A32" s="85">
        <v>46100.744837962964</v>
      </c>
      <c r="B32" s="1" t="s">
        <v>299</v>
      </c>
      <c r="C32" s="1" t="s">
        <v>301</v>
      </c>
    </row>
    <row r="33" spans="1:3" x14ac:dyDescent="0.4">
      <c r="A33" s="85">
        <v>46100.744837962964</v>
      </c>
      <c r="B33" s="1" t="s">
        <v>299</v>
      </c>
      <c r="C33" s="1" t="s">
        <v>316</v>
      </c>
    </row>
    <row r="34" spans="1:3" x14ac:dyDescent="0.4">
      <c r="A34" s="85">
        <v>46100.756168981483</v>
      </c>
      <c r="B34" s="1" t="s">
        <v>299</v>
      </c>
      <c r="C34" s="1" t="s">
        <v>300</v>
      </c>
    </row>
    <row r="35" spans="1:3" x14ac:dyDescent="0.4">
      <c r="A35" s="85">
        <v>46100.756168981483</v>
      </c>
      <c r="B35" s="1" t="s">
        <v>299</v>
      </c>
      <c r="C35" s="1" t="s">
        <v>301</v>
      </c>
    </row>
    <row r="36" spans="1:3" x14ac:dyDescent="0.4">
      <c r="A36" s="85">
        <v>46100.756168981483</v>
      </c>
      <c r="B36" s="1" t="s">
        <v>299</v>
      </c>
      <c r="C36" s="1" t="s">
        <v>316</v>
      </c>
    </row>
    <row r="37" spans="1:3" x14ac:dyDescent="0.4">
      <c r="A37" s="85">
        <v>46101.447233796294</v>
      </c>
      <c r="B37" s="1" t="s">
        <v>299</v>
      </c>
      <c r="C37" s="1" t="s">
        <v>300</v>
      </c>
    </row>
    <row r="38" spans="1:3" x14ac:dyDescent="0.4">
      <c r="A38" s="85">
        <v>46101.447245370371</v>
      </c>
      <c r="B38" s="1" t="s">
        <v>299</v>
      </c>
      <c r="C38" s="1" t="s">
        <v>301</v>
      </c>
    </row>
    <row r="39" spans="1:3" x14ac:dyDescent="0.4">
      <c r="A39" s="85">
        <v>46101.447245370371</v>
      </c>
      <c r="B39" s="1" t="s">
        <v>299</v>
      </c>
      <c r="C39" s="1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2026-03-20T10:08:08Z</dcterms:modified>
</cp:coreProperties>
</file>