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200" documentId="13_ncr:1_{6F5069F1-F0E7-4440-AA6D-4AFA11BBED1B}" xr6:coauthVersionLast="47" xr6:coauthVersionMax="47" xr10:uidLastSave="{9A14DF97-A68F-4AEF-A2B9-892D8DCF8FBD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5" i="2" l="1"/>
  <c r="N5" i="2"/>
  <c r="E5" i="2" a="1"/>
  <c r="E5" i="2" s="1"/>
  <c r="X6" i="6"/>
  <c r="W6" i="6"/>
  <c r="V6" i="6"/>
  <c r="U6" i="6"/>
  <c r="T6" i="6"/>
  <c r="Z20" i="3"/>
  <c r="O20" i="3"/>
  <c r="J20" i="3"/>
  <c r="R20" i="3" s="1"/>
  <c r="X36" i="6"/>
  <c r="W36" i="6"/>
  <c r="V36" i="6"/>
  <c r="U36" i="6"/>
  <c r="T36" i="6" s="1"/>
  <c r="X35" i="6"/>
  <c r="W35" i="6"/>
  <c r="V35" i="6"/>
  <c r="U35" i="6"/>
  <c r="T35" i="6" s="1"/>
  <c r="X34" i="6"/>
  <c r="W34" i="6"/>
  <c r="V34" i="6"/>
  <c r="U34" i="6"/>
  <c r="T34" i="6"/>
  <c r="X33" i="6"/>
  <c r="W33" i="6"/>
  <c r="V33" i="6"/>
  <c r="U33" i="6"/>
  <c r="T33" i="6"/>
  <c r="X32" i="6"/>
  <c r="W32" i="6"/>
  <c r="V32" i="6"/>
  <c r="U32" i="6"/>
  <c r="T32" i="6" s="1"/>
  <c r="X31" i="6"/>
  <c r="W31" i="6"/>
  <c r="V31" i="6"/>
  <c r="U31" i="6"/>
  <c r="T31" i="6" s="1"/>
  <c r="X30" i="6"/>
  <c r="W30" i="6"/>
  <c r="V30" i="6"/>
  <c r="U30" i="6"/>
  <c r="T30" i="6" s="1"/>
  <c r="X29" i="6"/>
  <c r="W29" i="6"/>
  <c r="V29" i="6"/>
  <c r="U29" i="6"/>
  <c r="T29" i="6" s="1"/>
  <c r="X28" i="6"/>
  <c r="W28" i="6"/>
  <c r="V28" i="6"/>
  <c r="U28" i="6"/>
  <c r="T28" i="6"/>
  <c r="X27" i="6"/>
  <c r="W27" i="6"/>
  <c r="V27" i="6"/>
  <c r="U27" i="6"/>
  <c r="T27" i="6" s="1"/>
  <c r="X26" i="6"/>
  <c r="W26" i="6"/>
  <c r="V26" i="6"/>
  <c r="U26" i="6"/>
  <c r="T26" i="6" s="1"/>
  <c r="X25" i="6"/>
  <c r="W25" i="6"/>
  <c r="V25" i="6"/>
  <c r="U25" i="6"/>
  <c r="T25" i="6"/>
  <c r="X24" i="6"/>
  <c r="W24" i="6"/>
  <c r="V24" i="6"/>
  <c r="U24" i="6"/>
  <c r="T24" i="6" s="1"/>
  <c r="X23" i="6"/>
  <c r="W23" i="6"/>
  <c r="V23" i="6"/>
  <c r="U23" i="6"/>
  <c r="T23" i="6" s="1"/>
  <c r="X22" i="6"/>
  <c r="W22" i="6"/>
  <c r="V22" i="6"/>
  <c r="U22" i="6"/>
  <c r="T22" i="6"/>
  <c r="X21" i="6"/>
  <c r="W21" i="6"/>
  <c r="V21" i="6"/>
  <c r="U21" i="6"/>
  <c r="T21" i="6" s="1"/>
  <c r="X20" i="6"/>
  <c r="W20" i="6"/>
  <c r="V20" i="6"/>
  <c r="U20" i="6"/>
  <c r="T20" i="6"/>
  <c r="X19" i="6"/>
  <c r="W19" i="6"/>
  <c r="V19" i="6"/>
  <c r="U19" i="6"/>
  <c r="T19" i="6" s="1"/>
  <c r="X18" i="6"/>
  <c r="W18" i="6"/>
  <c r="V18" i="6"/>
  <c r="U18" i="6"/>
  <c r="T18" i="6"/>
  <c r="G19" i="3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Z19" i="3"/>
  <c r="G43" i="4"/>
  <c r="E43" i="4"/>
  <c r="X17" i="6"/>
  <c r="W17" i="6"/>
  <c r="V17" i="6"/>
  <c r="U17" i="6"/>
  <c r="T17" i="6" s="1"/>
  <c r="X16" i="6"/>
  <c r="W16" i="6"/>
  <c r="V16" i="6"/>
  <c r="U16" i="6"/>
  <c r="T16" i="6" s="1"/>
  <c r="X15" i="6"/>
  <c r="W15" i="6"/>
  <c r="V15" i="6"/>
  <c r="U15" i="6"/>
  <c r="T15" i="6" s="1"/>
  <c r="X14" i="6"/>
  <c r="W14" i="6"/>
  <c r="V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V11" i="6"/>
  <c r="U11" i="6"/>
  <c r="T11" i="6" s="1"/>
  <c r="X10" i="6"/>
  <c r="W10" i="6"/>
  <c r="V10" i="6"/>
  <c r="U10" i="6"/>
  <c r="T10" i="6"/>
  <c r="X9" i="6"/>
  <c r="W9" i="6"/>
  <c r="V9" i="6"/>
  <c r="U9" i="6"/>
  <c r="T9" i="6" s="1"/>
  <c r="X8" i="6"/>
  <c r="W8" i="6"/>
  <c r="V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H5" i="7" l="1"/>
  <c r="G42" i="4" l="1"/>
  <c r="E42" i="4"/>
  <c r="T4" i="2" l="1"/>
  <c r="G41" i="4"/>
  <c r="E41" i="4"/>
  <c r="K5" i="9"/>
  <c r="K4" i="9"/>
  <c r="J4" i="9"/>
  <c r="L4" i="9" s="1"/>
  <c r="D5" i="9" s="1"/>
  <c r="E5" i="9" s="1"/>
  <c r="E4" i="9"/>
  <c r="J3" i="9"/>
  <c r="N4" i="9" l="1"/>
  <c r="M4" i="9"/>
  <c r="D4" i="9" l="1"/>
  <c r="G40" i="4"/>
  <c r="E40" i="4"/>
  <c r="R4" i="2"/>
  <c r="N4" i="2"/>
  <c r="J3" i="2"/>
  <c r="G39" i="4"/>
  <c r="E39" i="4"/>
  <c r="H6" i="7"/>
  <c r="M3" i="2" l="1"/>
  <c r="O3" i="2" s="1"/>
  <c r="G38" i="4"/>
  <c r="E38" i="4"/>
  <c r="H4" i="7"/>
  <c r="H7" i="7"/>
  <c r="AD563" i="6" l="1"/>
  <c r="G20" i="4"/>
  <c r="E20" i="4"/>
  <c r="U2" i="6" l="1"/>
  <c r="T2" i="6" s="1"/>
  <c r="X20" i="3" l="1" a="1"/>
  <c r="X20" i="3" s="1"/>
  <c r="I20" i="3" a="1"/>
  <c r="I20" i="3" s="1"/>
  <c r="Y20" i="3" a="1"/>
  <c r="Y20" i="3" s="1"/>
  <c r="I19" i="3" a="1"/>
  <c r="G37" i="4"/>
  <c r="E37" i="4"/>
  <c r="L20" i="3" l="1"/>
  <c r="S20" i="3" s="1"/>
  <c r="O19" i="3"/>
  <c r="T20" i="3" l="1"/>
  <c r="N20" i="3" a="1"/>
  <c r="N20" i="3" s="1"/>
  <c r="K20" i="3" s="1"/>
  <c r="U20" i="3" s="1"/>
  <c r="V20" i="3" s="1"/>
  <c r="M20" i="3"/>
  <c r="X2" i="6"/>
  <c r="W2" i="6"/>
  <c r="V2" i="6"/>
  <c r="X19" i="3" l="1" a="1"/>
  <c r="X19" i="3" s="1"/>
  <c r="Y19" i="3" a="1"/>
  <c r="Y19" i="3" s="1"/>
  <c r="I19" i="3"/>
  <c r="C4" i="2" l="1"/>
  <c r="U4" i="2" s="1"/>
  <c r="J19" i="3"/>
  <c r="R19" i="3" s="1"/>
  <c r="G36" i="4"/>
  <c r="E36" i="4"/>
  <c r="G35" i="4"/>
  <c r="E35" i="4"/>
  <c r="G34" i="4"/>
  <c r="E34" i="4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43" i="4" s="1"/>
  <c r="H43" i="4" s="1"/>
  <c r="G3" i="4"/>
  <c r="E3" i="4"/>
  <c r="L43" i="4" l="1"/>
  <c r="K43" i="4"/>
  <c r="G13" i="7"/>
  <c r="N18" i="3" s="1"/>
  <c r="F42" i="4"/>
  <c r="H42" i="4" s="1"/>
  <c r="F41" i="4"/>
  <c r="H41" i="4" s="1"/>
  <c r="F39" i="4"/>
  <c r="H39" i="4" s="1"/>
  <c r="F40" i="4"/>
  <c r="H40" i="4" s="1"/>
  <c r="F20" i="4"/>
  <c r="H20" i="4" s="1"/>
  <c r="F38" i="4"/>
  <c r="H38" i="4" s="1"/>
  <c r="F3" i="4"/>
  <c r="H3" i="4" s="1"/>
  <c r="I3" i="4" s="1"/>
  <c r="F37" i="4"/>
  <c r="H37" i="4" s="1"/>
  <c r="E4" i="2" a="1"/>
  <c r="E4" i="2" s="1"/>
  <c r="F5" i="4"/>
  <c r="H5" i="4" s="1"/>
  <c r="F13" i="4"/>
  <c r="H13" i="4" s="1"/>
  <c r="F17" i="4"/>
  <c r="H17" i="4" s="1"/>
  <c r="F22" i="4"/>
  <c r="H22" i="4" s="1"/>
  <c r="F35" i="4"/>
  <c r="H35" i="4" s="1"/>
  <c r="F4" i="4"/>
  <c r="H4" i="4" s="1"/>
  <c r="F8" i="4"/>
  <c r="H8" i="4" s="1"/>
  <c r="F12" i="4"/>
  <c r="H12" i="4" s="1"/>
  <c r="F16" i="4"/>
  <c r="H16" i="4" s="1"/>
  <c r="F21" i="4"/>
  <c r="H21" i="4" s="1"/>
  <c r="F25" i="4"/>
  <c r="H25" i="4" s="1"/>
  <c r="F29" i="4"/>
  <c r="H29" i="4" s="1"/>
  <c r="F34" i="4"/>
  <c r="H34" i="4" s="1"/>
  <c r="F9" i="4"/>
  <c r="H9" i="4" s="1"/>
  <c r="F26" i="4"/>
  <c r="H26" i="4" s="1"/>
  <c r="F30" i="4"/>
  <c r="H30" i="4" s="1"/>
  <c r="F7" i="4"/>
  <c r="H7" i="4" s="1"/>
  <c r="F11" i="4"/>
  <c r="H11" i="4" s="1"/>
  <c r="F15" i="4"/>
  <c r="H15" i="4" s="1"/>
  <c r="F19" i="4"/>
  <c r="H19" i="4" s="1"/>
  <c r="I19" i="4" s="1"/>
  <c r="G20" i="3" s="1"/>
  <c r="F24" i="4"/>
  <c r="H24" i="4" s="1"/>
  <c r="F28" i="4"/>
  <c r="H28" i="4" s="1"/>
  <c r="F33" i="4"/>
  <c r="H33" i="4" s="1"/>
  <c r="F6" i="4"/>
  <c r="H6" i="4" s="1"/>
  <c r="F10" i="4"/>
  <c r="H10" i="4" s="1"/>
  <c r="F14" i="4"/>
  <c r="H14" i="4" s="1"/>
  <c r="F18" i="4"/>
  <c r="H18" i="4" s="1"/>
  <c r="F23" i="4"/>
  <c r="H23" i="4" s="1"/>
  <c r="F27" i="4"/>
  <c r="H27" i="4" s="1"/>
  <c r="F31" i="4"/>
  <c r="H31" i="4" s="1"/>
  <c r="F32" i="4"/>
  <c r="H32" i="4" s="1"/>
  <c r="F36" i="4"/>
  <c r="H36" i="4" s="1"/>
  <c r="L20" i="4" l="1"/>
  <c r="K20" i="4"/>
  <c r="L18" i="4"/>
  <c r="K18" i="4"/>
  <c r="L4" i="4"/>
  <c r="K4" i="4"/>
  <c r="L10" i="4"/>
  <c r="K10" i="4"/>
  <c r="L7" i="4"/>
  <c r="K7" i="4"/>
  <c r="L41" i="4"/>
  <c r="K41" i="4"/>
  <c r="K16" i="4"/>
  <c r="L14" i="4"/>
  <c r="K14" i="4"/>
  <c r="L12" i="4"/>
  <c r="K12" i="4"/>
  <c r="L19" i="4"/>
  <c r="K19" i="4"/>
  <c r="H13" i="7"/>
  <c r="C7" i="3" s="1"/>
  <c r="K5" i="4"/>
  <c r="C5" i="2"/>
  <c r="U5" i="2" s="1"/>
  <c r="L16" i="4" l="1"/>
  <c r="L5" i="4"/>
  <c r="T5" i="2"/>
  <c r="L19" i="3"/>
  <c r="S19" i="3" s="1"/>
  <c r="N19" i="3" l="1" a="1"/>
  <c r="N19" i="3" s="1"/>
  <c r="T19" i="3"/>
  <c r="M19" i="3"/>
  <c r="G5" i="2" s="1" a="1"/>
  <c r="G5" i="2" s="1"/>
  <c r="K19" i="3" l="1"/>
  <c r="D5" i="2" a="1"/>
  <c r="D5" i="2" s="1"/>
  <c r="F5" i="2" s="1"/>
  <c r="C4" i="3"/>
  <c r="I5" i="9" s="1"/>
  <c r="J5" i="9" s="1"/>
  <c r="L5" i="9" s="1"/>
  <c r="D4" i="2" a="1"/>
  <c r="D4" i="2" s="1"/>
  <c r="H4" i="2" s="1"/>
  <c r="K4" i="2" s="1"/>
  <c r="L4" i="2" s="1"/>
  <c r="U19" i="3" l="1"/>
  <c r="V19" i="3" s="1"/>
  <c r="M5" i="9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M5" i="2" s="1"/>
  <c r="C13" i="3" a="1"/>
  <c r="C13" i="3" s="1"/>
  <c r="J4" i="2"/>
  <c r="H5" i="2" s="1"/>
  <c r="J5" i="2" l="1"/>
  <c r="K5" i="2"/>
  <c r="L5" i="2" s="1"/>
  <c r="P5" i="2"/>
  <c r="Q5" i="2" s="1"/>
  <c r="O5" i="2"/>
  <c r="F4" i="2"/>
  <c r="C12" i="3" l="1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<sst xmlns="http://schemas.openxmlformats.org/spreadsheetml/2006/main" count="877" uniqueCount="321">
  <si>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</si>
  <si>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</si>
  <si>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</si>
  <si>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</si>
  <si>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</si>
  <si>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</si>
  <si>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</si>
  <si>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</si>
  <si>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</si>
  <si>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</si>
  <si>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</si>
  <si>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</si>
  <si>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</si>
  <si>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</si>
  <si>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</si>
  <si>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</si>
  <si>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</si>
  <si>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</si>
  <si>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</si>
  <si>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</si>
  <si>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</si>
  <si>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</si>
  <si>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</si>
  <si>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</si>
  <si>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</si>
  <si>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</si>
  <si>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</si>
  <si>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</si>
  <si>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</si>
  <si>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</si>
  <si>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</si>
  <si>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</si>
  <si>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</si>
  <si>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</si>
  <si>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</si>
  <si>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</si>
  <si>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</si>
  <si>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</si>
  <si>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</si>
  <si>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</si>
  <si>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</si>
  <si>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</si>
  <si>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</si>
  <si>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</si>
  <si>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</si>
  <si>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</si>
  <si>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</si>
  <si>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</si>
  <si>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BABA</t>
  </si>
  <si>
    <t>NVDA</t>
  </si>
  <si>
    <t>GOOG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</si>
  <si>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</si>
  <si>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</si>
  <si>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</si>
  <si>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</si>
  <si>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</si>
  <si>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</si>
  <si>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</si>
  <si>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</si>
  <si>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</si>
  <si>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</si>
  <si>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</si>
  <si>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</si>
  <si>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ESTX50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</si>
  <si>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</si>
  <si>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</si>
  <si>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</si>
  <si>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</si>
  <si>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</si>
  <si>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</si>
  <si>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</si>
  <si>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</si>
  <si>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</si>
  <si>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</si>
  <si>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</si>
  <si>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</si>
  <si>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</si>
  <si>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</si>
  <si>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</si>
  <si>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</si>
  <si>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</si>
  <si>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</si>
  <si>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</si>
  <si>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</si>
  <si>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</si>
  <si>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</si>
  <si>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</si>
  <si>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</si>
  <si>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</si>
  <si>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</si>
  <si>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</si>
  <si>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</si>
  <si>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</si>
  <si>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</si>
  <si>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</si>
  <si>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</si>
  <si>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</si>
  <si>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</si>
  <si>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</si>
  <si>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</si>
  <si>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</si>
  <si>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</si>
  <si>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</si>
  <si>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</si>
  <si>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</si>
  <si>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</si>
  <si>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</si>
  <si>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</si>
  <si>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</si>
  <si>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</si>
  <si>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</si>
  <si>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</si>
  <si>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</si>
  <si>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</si>
  <si>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</si>
  <si>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</si>
  <si>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</si>
  <si>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</si>
  <si>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</si>
  <si>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</si>
  <si>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</si>
  <si>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</si>
  <si>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</si>
  <si>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</si>
  <si>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</si>
  <si>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</si>
  <si>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INDA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</si>
  <si>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</si>
  <si>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</si>
  <si>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</si>
  <si>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</si>
  <si>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</si>
  <si>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</si>
  <si>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</si>
  <si>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</si>
  <si>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</si>
  <si>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</si>
  <si>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</si>
  <si>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</si>
  <si>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</si>
  <si>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</si>
  <si>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</si>
  <si>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</si>
  <si>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</si>
  <si>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</si>
  <si>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</si>
  <si>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</si>
  <si>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</si>
  <si>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</si>
  <si>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</si>
  <si>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</si>
  <si>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</si>
  <si>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</si>
  <si>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</si>
  <si>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</si>
  <si>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URA</t>
  </si>
  <si>
    <t>HEG3</t>
  </si>
  <si>
    <t>T-BOND 3</t>
  </si>
  <si>
    <t>T-BOND 3 CPN</t>
  </si>
  <si>
    <t>SAVE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</si>
  <si>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</si>
  <si>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</si>
  <si>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</si>
  <si>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</si>
  <si>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</si>
  <si>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</si>
  <si>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</si>
  <si>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</si>
  <si>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SAVE-S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</si>
  <si>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</si>
  <si>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</si>
  <si>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</si>
  <si>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</si>
  <si>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</si>
  <si>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</si>
  <si>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</si>
  <si>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</si>
  <si>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</si>
  <si>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</si>
  <si>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</si>
  <si>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</si>
  <si>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</si>
  <si>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</si>
  <si>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CYTK-S</t>
  </si>
  <si>
    <t>ZWK4</t>
  </si>
  <si>
    <t>IBB-S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</si>
  <si>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</si>
  <si>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</si>
  <si>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</si>
  <si>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</si>
  <si>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</si>
  <si>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</si>
  <si>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</si>
  <si>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</si>
  <si>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</si>
  <si>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</si>
  <si>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</si>
  <si>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</si>
  <si>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</si>
  <si>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</si>
  <si>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</si>
  <si>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</si>
  <si>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Long ETH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</si>
  <si>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</si>
  <si>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</si>
  <si>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</si>
  <si>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</si>
  <si>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</si>
  <si>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</si>
  <si>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</si>
  <si>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</si>
  <si>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</si>
  <si>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</si>
  <si>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</si>
  <si>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</si>
  <si>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</si>
  <si>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</si>
  <si>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</si>
  <si>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</si>
  <si>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</si>
  <si>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</si>
  <si>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</si>
  <si>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</si>
  <si>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</si>
  <si>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</si>
  <si>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</si>
  <si>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</si>
  <si>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</si>
  <si>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</si>
  <si>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</si>
  <si>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</si>
  <si>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</si>
  <si>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</si>
  <si>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</si>
  <si>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</si>
  <si>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</si>
  <si>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</si>
  <si>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</si>
  <si>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</si>
  <si>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</si>
  <si>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</si>
  <si>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</si>
  <si>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</si>
  <si>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</si>
  <si>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</si>
  <si>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</si>
  <si>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</si>
  <si>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</si>
  <si>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</si>
  <si>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FESX</t>
  </si>
  <si>
    <t>FDXM</t>
  </si>
  <si>
    <t>FGBL</t>
  </si>
  <si>
    <t>FGBX</t>
  </si>
  <si>
    <t>FBTP</t>
  </si>
  <si>
    <t>ESH6</t>
  </si>
  <si>
    <t>NQH6</t>
  </si>
  <si>
    <t>RTYH6</t>
  </si>
  <si>
    <t>FESXH6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</si>
  <si>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</si>
  <si>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</si>
  <si>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</si>
  <si>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</si>
  <si>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</si>
  <si>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</si>
  <si>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</si>
  <si>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</si>
  <si>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</si>
  <si>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</si>
  <si>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</si>
  <si>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</si>
  <si>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</si>
  <si>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</si>
  <si>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</si>
  <si>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</si>
  <si>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</si>
  <si>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</si>
  <si>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</si>
  <si>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</si>
  <si>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</si>
  <si>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</si>
  <si>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FESX 20260619 M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</si>
  <si>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</si>
  <si>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</si>
  <si>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</si>
  <si>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</si>
  <si>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</si>
  <si>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</si>
  <si>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</si>
  <si>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</si>
  <si>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</si>
  <si>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</si>
  <si>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</si>
  <si>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</si>
  <si>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</si>
  <si>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</si>
  <si>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</si>
  <si>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</si>
  <si>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</si>
  <si>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</si>
  <si>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</si>
  <si>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</si>
  <si>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</si>
  <si>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</si>
  <si>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</si>
  <si>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</si>
  <si>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</si>
  <si>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</si>
  <si>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</si>
  <si>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</si>
  <si>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</si>
  <si>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</si>
  <si>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</si>
  <si>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</si>
  <si>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INFO</t>
  </si>
  <si>
    <t>Starting. host=127.0.0.1 port=7497 clientId=11 mktDataType=3 interval=0.25s</t>
  </si>
  <si>
    <t>Connected to TWS.</t>
  </si>
  <si>
    <t>Loaded 35 contracts from Symbols sheet.</t>
  </si>
  <si>
    <t>Spot</t>
  </si>
  <si>
    <t>SELL</t>
  </si>
  <si>
    <t>Long CC</t>
  </si>
  <si>
    <t>Last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</si>
</sst>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6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5.7946253060741082E-3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5.7946253060741082E-3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1005.7946253060741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  <c:pt idx="1">
                  <c:v>-1.9900000000000029E-2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46088</c:v>
                </c:pt>
                <c:pt idx="1">
                  <c:v>46095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-1.0000000000000009E-2</c:v>
                </c:pt>
                <c:pt idx="1">
                  <c:v>-1.9900000000000029E-2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3.184625306074107E-3</c:v>
                </c:pt>
                <c:pt idx="1">
                  <c:v>5.7946253060741082E-3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169</v>
      </c>
      <c r="C1" s="79">
        <v>46090</v>
      </c>
    </row>
    <row r="2" spans="2:11" x14ac:dyDescent="0.4">
      <c r="B2" s="32" t="s">
        <v>112</v>
      </c>
      <c r="C2" s="37" t="s">
        <v>320</v>
      </c>
      <c r="E2" s="47" t="s">
        <v>128</v>
      </c>
      <c r="F2" s="47" t="s">
        <v>6</v>
      </c>
      <c r="G2" s="47"/>
      <c r="H2" s="28"/>
    </row>
    <row r="3" spans="2:11" x14ac:dyDescent="0.4">
      <c r="B3" s="32" t="s">
        <v>117</v>
      </c>
      <c r="C3" s="28">
        <f ca="1">OFFSET(NAV!B1,MATCH(C1,NAV!B:B,1),8)</f>
        <v>1005794.625306074</v>
      </c>
      <c r="E3" s="47" t="s">
        <v>129</v>
      </c>
      <c r="F3" s="47" t="s">
        <v>317</v>
      </c>
      <c r="G3" s="47"/>
      <c r="H3" s="28"/>
    </row>
    <row r="4" spans="2:11" x14ac:dyDescent="0.4">
      <c r="B4" s="32" t="s">
        <v>55</v>
      </c>
      <c r="C4" s="28">
        <f>SUM(N18:N1012)</f>
        <v>5794.6253060739982</v>
      </c>
      <c r="D4" s="3"/>
      <c r="E4" s="47" t="s">
        <v>20</v>
      </c>
      <c r="F4" s="47" t="s">
        <v>88</v>
      </c>
      <c r="G4" s="47"/>
      <c r="H4" s="28"/>
    </row>
    <row r="5" spans="2:11" x14ac:dyDescent="0.4">
      <c r="B5" s="32" t="s">
        <v>179</v>
      </c>
      <c r="C5" s="3">
        <f ca="1">OFFSET(NAV!B1,MATCH(C1,NAV!B:B,1),11)</f>
        <v>5.7946253060741082E-3</v>
      </c>
      <c r="D5" s="3"/>
      <c r="E5" s="47" t="s">
        <v>191</v>
      </c>
      <c r="F5" s="47" t="s">
        <v>53</v>
      </c>
      <c r="G5" s="47"/>
      <c r="H5" s="28"/>
      <c r="K5" s="51"/>
    </row>
    <row r="6" spans="2:11" x14ac:dyDescent="0.4">
      <c r="B6" s="32" t="s">
        <v>180</v>
      </c>
      <c r="C6" s="3">
        <f ca="1">OFFSET(NAV!B1,MATCH(C1,NAV!B:B,1),12)</f>
        <v>5.7946253060741082E-3</v>
      </c>
      <c r="D6" s="3"/>
      <c r="E6" s="47"/>
      <c r="F6" s="47"/>
      <c r="G6" s="47"/>
      <c r="H6" s="28"/>
      <c r="K6" s="51"/>
    </row>
    <row r="7" spans="2:11" x14ac:dyDescent="0.4">
      <c r="B7" s="32" t="s">
        <v>145</v>
      </c>
      <c r="C7" s="28">
        <f>Cash_Mgmt!H13</f>
        <v>0</v>
      </c>
      <c r="D7" s="3">
        <f ca="1">C7/C3</f>
        <v>0</v>
      </c>
      <c r="E7" s="47"/>
      <c r="F7" s="47"/>
      <c r="G7" s="47"/>
      <c r="H7" s="51"/>
      <c r="K7" s="51"/>
    </row>
    <row r="8" spans="2:11" x14ac:dyDescent="0.4">
      <c r="B8" s="32" t="s">
        <v>146</v>
      </c>
      <c r="C8" s="28">
        <f>C4+C7</f>
        <v>5794.6253060739982</v>
      </c>
      <c r="D8" s="3">
        <f ca="1">C5+D7</f>
        <v>5.7946253060741082E-3</v>
      </c>
      <c r="G8" s="47"/>
      <c r="H8" s="51"/>
      <c r="K8" s="51"/>
    </row>
    <row r="9" spans="2:11" x14ac:dyDescent="0.4">
      <c r="B9" s="32" t="s">
        <v>113</v>
      </c>
      <c r="C9" s="28">
        <f t="array" ref="C9">SUM((F19:F112="Futures")*(M19:M112))</f>
        <v>99660</v>
      </c>
      <c r="D9" s="3">
        <f ca="1">C9/$C$3</f>
        <v>9.9085834714688792E-2</v>
      </c>
      <c r="E9" s="47"/>
      <c r="F9" s="47"/>
      <c r="G9" s="47"/>
      <c r="H9" s="51"/>
      <c r="K9" s="51"/>
    </row>
    <row r="10" spans="2:11" x14ac:dyDescent="0.4">
      <c r="B10" s="32" t="s">
        <v>114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115</v>
      </c>
      <c r="C11" s="28">
        <f t="array" ref="C11">SUM((F19:F212="Put")*(M19:M212))</f>
        <v>0</v>
      </c>
      <c r="D11" s="3">
        <f t="shared" ca="1" si="0"/>
        <v>0</v>
      </c>
    </row>
    <row r="12" spans="2:11" x14ac:dyDescent="0.4">
      <c r="B12" s="32" t="s">
        <v>116</v>
      </c>
      <c r="C12" s="28" cm="1">
        <f t="array" ref="C12">SUM((PLB!G4:G999="O")*(PLB!E4:E999))</f>
        <v>19500</v>
      </c>
      <c r="D12" s="3">
        <f t="shared" ca="1" si="0"/>
        <v>1.938765579908119E-2</v>
      </c>
    </row>
    <row r="13" spans="2:11" x14ac:dyDescent="0.4">
      <c r="B13" s="32" t="s">
        <v>140</v>
      </c>
      <c r="C13" s="28">
        <f t="array" ref="C13">SUM((PLB!G4:G999="O")*(PLB!D4:D999))</f>
        <v>5794.6253060739982</v>
      </c>
      <c r="D13" s="3">
        <f t="shared" ca="1" si="0"/>
        <v>5.7612410727593934E-3</v>
      </c>
      <c r="F13" s="59"/>
      <c r="G13" s="59"/>
    </row>
    <row r="14" spans="2:11" x14ac:dyDescent="0.4">
      <c r="B14" s="32" t="s">
        <v>141</v>
      </c>
      <c r="C14" s="28">
        <f>C12+C13</f>
        <v>25294.625306073998</v>
      </c>
      <c r="D14" s="3">
        <f t="shared" ca="1" si="0"/>
        <v>2.5148896871840583E-2</v>
      </c>
    </row>
    <row r="17" spans="2:28" x14ac:dyDescent="0.4">
      <c r="B17" s="38" t="s">
        <v>87</v>
      </c>
      <c r="C17" s="4" t="s">
        <v>0</v>
      </c>
      <c r="D17" s="4" t="s">
        <v>1</v>
      </c>
      <c r="E17" s="4" t="s">
        <v>127</v>
      </c>
      <c r="F17" s="4" t="s">
        <v>2</v>
      </c>
      <c r="G17" s="4" t="s">
        <v>150</v>
      </c>
      <c r="H17" s="4" t="s">
        <v>106</v>
      </c>
      <c r="I17" s="4" t="s">
        <v>10</v>
      </c>
      <c r="J17" s="4" t="s">
        <v>11</v>
      </c>
      <c r="K17" s="4" t="s">
        <v>51</v>
      </c>
      <c r="L17" s="4" t="s">
        <v>52</v>
      </c>
      <c r="M17" s="4" t="s">
        <v>111</v>
      </c>
      <c r="N17" s="4" t="s">
        <v>55</v>
      </c>
      <c r="O17" s="4" t="s">
        <v>14</v>
      </c>
      <c r="P17" s="4" t="s">
        <v>124</v>
      </c>
      <c r="Q17" s="4" t="s">
        <v>118</v>
      </c>
      <c r="R17" s="4" t="s">
        <v>125</v>
      </c>
      <c r="S17" s="4" t="s">
        <v>119</v>
      </c>
      <c r="T17" s="4" t="s">
        <v>121</v>
      </c>
      <c r="U17" s="4" t="s">
        <v>120</v>
      </c>
      <c r="V17" s="4" t="s">
        <v>122</v>
      </c>
      <c r="W17" s="32"/>
      <c r="X17" s="33" t="s">
        <v>109</v>
      </c>
      <c r="Y17" s="33" t="s">
        <v>108</v>
      </c>
      <c r="Z17" s="33" t="s">
        <v>110</v>
      </c>
    </row>
    <row r="18" spans="2:28" x14ac:dyDescent="0.4">
      <c r="B18" s="9" t="s">
        <v>138</v>
      </c>
      <c r="C18" s="12"/>
      <c r="D18" s="12"/>
      <c r="E18" s="10" t="s">
        <v>191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0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198</v>
      </c>
      <c r="C19" s="10">
        <v>1</v>
      </c>
      <c r="D19" s="10" t="s">
        <v>200</v>
      </c>
      <c r="E19" s="10" t="s">
        <v>128</v>
      </c>
      <c r="F19" s="10" t="s">
        <v>317</v>
      </c>
      <c r="G19" s="28">
        <f>VLOOKUP(D19,Multiplier!B:I,8,0)</f>
        <v>63</v>
      </c>
      <c r="H19" s="11">
        <v>50</v>
      </c>
      <c r="I19" s="28">
        <f t="array" ref="I19">SUM((Trades!V$2:V$9999)*(Trades!U$2:U$9999=Blotter!B19)*(Trades!$T$2:T$9999=Blotter!C19))</f>
        <v>50</v>
      </c>
      <c r="J19" s="28">
        <f>VLOOKUP(D19,Multiplier!B:D,2,0)</f>
        <v>1</v>
      </c>
      <c r="K19" s="29">
        <f t="shared" ref="K19" si="1">L19-N19/(H19*J19)</f>
        <v>1966.65749387852</v>
      </c>
      <c r="L19" s="29">
        <f t="shared" ref="L19" si="2">IF(I19=0,IF(H19&gt;0,X19,Y19),Z19)</f>
        <v>2030.35</v>
      </c>
      <c r="M19" s="28">
        <f t="shared" ref="M19" si="3">I19*J19*L19</f>
        <v>101517.5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3184.6253060739982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>IF(OR(F19="Futures",F19="Spot"),IF(I19=0,0,IF(I19&gt;0,L19-O19,L19+O19)),0)</f>
        <v>1890.35</v>
      </c>
      <c r="T19" s="3">
        <f t="shared" ref="T19" si="5">IF(S19&gt;0,IF(ISNUMBER(S19/L19-1),S19/L19-1,0),0)</f>
        <v>-6.8953628684709556E-2</v>
      </c>
      <c r="U19" s="29">
        <f>IF(OR(F19="Futures",F19="Spot"),IF(I19=0,0,IF(I19&gt;0,K19-P19,K19+P19)),0)</f>
        <v>1756.65749387852</v>
      </c>
      <c r="V19" s="3">
        <f t="shared" ref="V19" si="6">IF(U19&gt;0,IF(ISNUMBER(U19/L19-1),U19/L19-1,0),0)</f>
        <v>-0.13480065314920087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1982.8</v>
      </c>
      <c r="Z19" s="35">
        <f>IF(C$2="Last",IF(ISNUMBER(VLOOKUP(B19,Prices!A:L,8,0)),VLOOKUP(B19,Prices!A:L,8,0),0),IF(ISNUMBER(VLOOKUP(B19,Prices!A:L,12,0)),VLOOKUP(B19,Prices!A:L,12,0),0))</f>
        <v>2030.35</v>
      </c>
      <c r="AB19" s="29"/>
    </row>
    <row r="20" spans="2:28" x14ac:dyDescent="0.4">
      <c r="B20" s="9" t="s">
        <v>304</v>
      </c>
      <c r="C20" s="10">
        <v>2</v>
      </c>
      <c r="D20" s="10" t="s">
        <v>34</v>
      </c>
      <c r="E20" s="10" t="s">
        <v>128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SUM((Trades!V$2:V$9999)*(Trades!U$2:U$9999=Blotter!B20)*(Trades!$T$2:T$9999=Blotter!C20))</f>
        <v>3</v>
      </c>
      <c r="J20" s="28">
        <f>VLOOKUP(D20,Multiplier!B:D,2,0)</f>
        <v>10</v>
      </c>
      <c r="K20" s="29">
        <f t="shared" ref="K20" si="7">L20-N20/(H20*J20)</f>
        <v>3235</v>
      </c>
      <c r="L20" s="29">
        <f t="shared" ref="L20" si="8">IF(I20=0,IF(H20&gt;0,X20,Y20),Z20)</f>
        <v>3322</v>
      </c>
      <c r="M20" s="28">
        <f t="shared" ref="M20" si="9">I20*J20*L20</f>
        <v>99660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2610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3117</v>
      </c>
      <c r="T20" s="3">
        <f t="shared" ref="T20" si="11">IF(S20&gt;0,IF(ISNUMBER(S20/L20-1),S20/L20-1,0),0)</f>
        <v>-6.1709813365442456E-2</v>
      </c>
      <c r="U20" s="29">
        <f t="shared" ref="U20" si="12">IF(OR(F20="Futures",F20="Stocks"),IF(I20=0,0,IF(I20&gt;0,K20-P20,K20+P20)),0)</f>
        <v>2935</v>
      </c>
      <c r="V20" s="3">
        <f t="shared" ref="V20" si="13">IF(U20&gt;0,IF(ISNUMBER(U20/L20-1),U20/L20-1,0),0)</f>
        <v>-0.11649608669476219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3322</v>
      </c>
      <c r="AB20" s="29"/>
    </row>
    <row r="21" spans="2:28" x14ac:dyDescent="0.4">
      <c r="B21" s="9"/>
      <c r="C21" s="10"/>
      <c r="D21" s="10"/>
      <c r="E21" s="10"/>
      <c r="F21" s="10"/>
      <c r="G21" s="28"/>
      <c r="H21" s="11"/>
      <c r="I21" s="29"/>
      <c r="J21" s="28"/>
      <c r="K21" s="46"/>
      <c r="L21" s="46"/>
      <c r="M21" s="28"/>
      <c r="N21" s="28"/>
      <c r="O21" s="29"/>
      <c r="P21" s="27"/>
      <c r="Q21" s="27"/>
      <c r="R21" s="28"/>
      <c r="S21" s="29"/>
      <c r="T21" s="3"/>
      <c r="U21" s="29"/>
      <c r="V21" s="3"/>
      <c r="X21" s="34"/>
      <c r="Y21" s="34"/>
      <c r="Z21" s="35"/>
      <c r="AB21" s="29"/>
    </row>
    <row r="22" spans="2:28" x14ac:dyDescent="0.4">
      <c r="B22" s="9"/>
      <c r="C22" s="10"/>
      <c r="D22" s="10"/>
      <c r="E22" s="10"/>
      <c r="F22" s="10"/>
      <c r="G22" s="28"/>
      <c r="H22" s="11"/>
      <c r="I22" s="29"/>
      <c r="J22" s="28"/>
      <c r="K22" s="46"/>
      <c r="L22" s="46"/>
      <c r="M22" s="28"/>
      <c r="N22" s="28"/>
      <c r="O22" s="29"/>
      <c r="P22" s="27"/>
      <c r="Q22" s="27"/>
      <c r="R22" s="28"/>
      <c r="S22" s="29"/>
      <c r="T22" s="3"/>
      <c r="U22" s="29"/>
      <c r="V22" s="3"/>
      <c r="X22" s="34"/>
      <c r="Y22" s="34"/>
      <c r="Z22" s="35"/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A2" sqref="A2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144</v>
      </c>
      <c r="D2" s="4" t="s">
        <v>51</v>
      </c>
      <c r="E2" s="4" t="s">
        <v>10</v>
      </c>
      <c r="F2" s="4" t="s">
        <v>52</v>
      </c>
      <c r="G2" s="4" t="s">
        <v>135</v>
      </c>
      <c r="H2" s="2" t="s">
        <v>143</v>
      </c>
    </row>
    <row r="3" spans="2:8" x14ac:dyDescent="0.4">
      <c r="B3" s="17" t="s">
        <v>136</v>
      </c>
      <c r="C3" s="17"/>
      <c r="D3" s="10"/>
      <c r="E3" s="10"/>
      <c r="F3" s="10"/>
      <c r="G3" s="15">
        <v>0</v>
      </c>
      <c r="H3" s="51"/>
    </row>
    <row r="4" spans="2:8" x14ac:dyDescent="0.4">
      <c r="B4" s="17" t="s">
        <v>137</v>
      </c>
      <c r="C4" s="17"/>
      <c r="D4" s="10"/>
      <c r="E4" s="10"/>
      <c r="F4" s="10"/>
      <c r="G4" s="15"/>
      <c r="H4" s="6">
        <f>-G4</f>
        <v>0</v>
      </c>
    </row>
    <row r="5" spans="2:8" x14ac:dyDescent="0.4">
      <c r="B5" s="17" t="s">
        <v>193</v>
      </c>
      <c r="C5" s="17"/>
      <c r="D5" s="10"/>
      <c r="E5" s="10"/>
      <c r="F5" s="10"/>
      <c r="G5" s="15"/>
      <c r="H5" s="6">
        <f>(C9*E9*100)</f>
        <v>0</v>
      </c>
    </row>
    <row r="6" spans="2:8" x14ac:dyDescent="0.4">
      <c r="B6" s="17" t="s">
        <v>158</v>
      </c>
      <c r="C6" s="17"/>
      <c r="D6" s="10"/>
      <c r="E6" s="10"/>
      <c r="F6" s="10"/>
      <c r="G6" s="15"/>
      <c r="H6" s="6">
        <f>(C10*E10*100)</f>
        <v>0</v>
      </c>
    </row>
    <row r="7" spans="2:8" x14ac:dyDescent="0.4">
      <c r="B7" s="17" t="s">
        <v>153</v>
      </c>
      <c r="C7" s="17"/>
      <c r="D7" s="10"/>
      <c r="E7" s="10"/>
      <c r="F7" s="10"/>
      <c r="G7" s="15"/>
      <c r="H7" s="6">
        <f>(C11*E11*100)</f>
        <v>0</v>
      </c>
    </row>
    <row r="8" spans="2:8" x14ac:dyDescent="0.4">
      <c r="B8" s="17" t="s">
        <v>154</v>
      </c>
      <c r="C8" s="17"/>
      <c r="D8" s="10"/>
      <c r="E8" s="10"/>
      <c r="F8" s="10"/>
      <c r="G8" s="15"/>
      <c r="H8" s="6"/>
    </row>
    <row r="9" spans="2:8" x14ac:dyDescent="0.4">
      <c r="B9" s="17" t="s">
        <v>192</v>
      </c>
      <c r="C9" s="62"/>
      <c r="D9" s="27"/>
      <c r="E9" s="11"/>
      <c r="F9" s="29"/>
      <c r="G9" s="6"/>
      <c r="H9" s="6"/>
    </row>
    <row r="10" spans="2:8" x14ac:dyDescent="0.4">
      <c r="B10" s="17" t="s">
        <v>157</v>
      </c>
      <c r="C10" s="62"/>
      <c r="D10" s="27"/>
      <c r="E10" s="10"/>
      <c r="F10" s="29"/>
      <c r="G10" s="6"/>
      <c r="H10" s="6"/>
    </row>
    <row r="11" spans="2:8" x14ac:dyDescent="0.4">
      <c r="B11" s="17" t="s">
        <v>152</v>
      </c>
      <c r="C11" s="62"/>
      <c r="D11" s="27"/>
      <c r="E11" s="11"/>
      <c r="F11" s="29"/>
      <c r="G11" s="6"/>
      <c r="H11" s="6"/>
    </row>
    <row r="12" spans="2:8" x14ac:dyDescent="0.4">
      <c r="B12" s="52" t="s">
        <v>134</v>
      </c>
      <c r="C12" s="58"/>
      <c r="D12" s="54"/>
      <c r="E12" s="55"/>
      <c r="F12" s="54"/>
      <c r="G12" s="65"/>
      <c r="H12" s="65"/>
    </row>
    <row r="13" spans="2:8" x14ac:dyDescent="0.4">
      <c r="B13" s="17" t="s">
        <v>133</v>
      </c>
      <c r="C13" s="17"/>
      <c r="D13" s="10"/>
      <c r="E13" s="10"/>
      <c r="F13" s="10"/>
      <c r="G13" s="6">
        <f>SUM(G3:G12)</f>
        <v>0</v>
      </c>
      <c r="H13" s="6">
        <f>SUM(H3:H12)</f>
        <v>0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4:H12">
    <cfRule type="expression" dxfId="1" priority="1">
      <formula>$L4&lt;0</formula>
    </cfRule>
    <cfRule type="expression" dxfId="0" priority="2">
      <formula>$L4&gt;0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169</v>
      </c>
      <c r="C2" s="4" t="s">
        <v>170</v>
      </c>
      <c r="D2" s="4" t="s">
        <v>171</v>
      </c>
      <c r="E2" s="4" t="s">
        <v>176</v>
      </c>
      <c r="F2" s="4" t="s">
        <v>172</v>
      </c>
      <c r="G2" s="4" t="s">
        <v>178</v>
      </c>
      <c r="H2" s="4" t="s">
        <v>173</v>
      </c>
      <c r="I2" s="4" t="s">
        <v>55</v>
      </c>
      <c r="J2" s="4" t="s">
        <v>177</v>
      </c>
      <c r="K2" s="4" t="s">
        <v>174</v>
      </c>
      <c r="L2" s="4" t="s">
        <v>151</v>
      </c>
      <c r="M2" s="4" t="s">
        <v>181</v>
      </c>
      <c r="N2" s="4" t="s">
        <v>182</v>
      </c>
      <c r="O2" s="4" t="s">
        <v>175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5794.6253060739982</v>
      </c>
      <c r="J5" s="70">
        <f t="shared" si="2"/>
        <v>1005794.625306074</v>
      </c>
      <c r="K5" s="70">
        <f t="shared" si="3"/>
        <v>1000</v>
      </c>
      <c r="L5" s="71">
        <f t="shared" si="4"/>
        <v>1005.7946253060741</v>
      </c>
      <c r="M5" s="72">
        <f t="shared" si="5"/>
        <v>5.7946253060741082E-3</v>
      </c>
      <c r="N5" s="73">
        <f t="shared" ref="N5" si="6">L5/L4-1</f>
        <v>5.7946253060741082E-3</v>
      </c>
      <c r="O5" s="75">
        <f>STDEVP(N$4:N5)*SQRT(12)</f>
        <v>1.0036585440944712E-2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/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55</v>
      </c>
      <c r="E2" s="7" t="s">
        <v>3</v>
      </c>
      <c r="F2" s="7" t="s">
        <v>54</v>
      </c>
      <c r="G2" s="8" t="s">
        <v>7</v>
      </c>
      <c r="H2" s="8" t="s">
        <v>160</v>
      </c>
      <c r="I2" s="8" t="s">
        <v>164</v>
      </c>
      <c r="J2" s="8" t="s">
        <v>161</v>
      </c>
      <c r="K2" s="8" t="s">
        <v>165</v>
      </c>
      <c r="L2" s="8" t="s">
        <v>166</v>
      </c>
      <c r="M2" s="4" t="s">
        <v>162</v>
      </c>
      <c r="N2" s="8" t="s">
        <v>164</v>
      </c>
      <c r="O2" s="4" t="s">
        <v>163</v>
      </c>
      <c r="P2" s="4" t="s">
        <v>167</v>
      </c>
      <c r="Q2" s="4" t="s">
        <v>56</v>
      </c>
      <c r="R2" s="4" t="s">
        <v>89</v>
      </c>
      <c r="T2" s="38" t="s">
        <v>8</v>
      </c>
      <c r="U2" s="4" t="s">
        <v>0</v>
      </c>
      <c r="V2" s="38" t="s">
        <v>2</v>
      </c>
      <c r="W2" s="38" t="s">
        <v>130</v>
      </c>
      <c r="X2" s="38" t="s">
        <v>131</v>
      </c>
      <c r="Y2" s="12"/>
      <c r="Z2" s="38" t="s">
        <v>2</v>
      </c>
      <c r="AA2" s="38" t="s">
        <v>130</v>
      </c>
      <c r="AB2" s="38" t="s">
        <v>131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3184.6253060739982</v>
      </c>
      <c r="E4" s="6">
        <f t="array" ref="E4">SUM((Blotter!B$19:C$1013=C4)*(Blotter!R$19:R$1013)*1)</f>
        <v>10500</v>
      </c>
      <c r="F4" s="30">
        <f t="shared" ref="F4" si="0">IF(ISNUMBER(D4/E4),D4/E4,0)</f>
        <v>0.30329764819752364</v>
      </c>
      <c r="G4" s="36" t="str">
        <f t="array" ref="G4">IF(SUM((Blotter!C$19:C$1013=PLB!C4)*(Blotter!M$19:M$1013))=0,"C","O")</f>
        <v>O</v>
      </c>
      <c r="H4" s="16">
        <f>J3+D4</f>
        <v>1003184.625306074</v>
      </c>
      <c r="I4" s="16"/>
      <c r="J4" s="16">
        <f>H4+I4</f>
        <v>1003184.625306074</v>
      </c>
      <c r="K4" s="3">
        <f>H4/J3-1</f>
        <v>3.184625306074107E-3</v>
      </c>
      <c r="L4" s="3">
        <f>(1+K4)*(1+L3)-1</f>
        <v>3.184625306074107E-3</v>
      </c>
      <c r="M4" s="6">
        <f>O3-IF(G4="O",O3*1%,-D4)</f>
        <v>990000</v>
      </c>
      <c r="N4" s="16">
        <f>I4</f>
        <v>0</v>
      </c>
      <c r="O4" s="6">
        <f>M4+N4</f>
        <v>990000</v>
      </c>
      <c r="P4" s="3">
        <f>M4/O3-1</f>
        <v>-1.0000000000000009E-2</v>
      </c>
      <c r="Q4" s="3">
        <f>(1+P4)*(1+Q3)-1</f>
        <v>-1.0000000000000009E-2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202</v>
      </c>
    </row>
    <row r="5" spans="2:28" x14ac:dyDescent="0.4">
      <c r="B5" s="40">
        <f>B4+7</f>
        <v>46095</v>
      </c>
      <c r="C5" s="5">
        <f>C4+1</f>
        <v>2</v>
      </c>
      <c r="D5" s="6">
        <f t="array" ref="D5">SUM((Blotter!C$19:C$1013=C5)*(Blotter!N$19:N$1013)*1)</f>
        <v>2610</v>
      </c>
      <c r="E5" s="6">
        <f t="array" ref="E5">SUM((Blotter!B$19:C$1013=C5)*(Blotter!R$19:R$1013)*1)</f>
        <v>9000</v>
      </c>
      <c r="F5" s="30">
        <f t="shared" ref="F5" si="1">IF(ISNUMBER(D5/E5),D5/E5,0)</f>
        <v>0.28999999999999998</v>
      </c>
      <c r="G5" s="36" t="str">
        <f t="array" ref="G5">IF(SUM((Blotter!C$19:C$1013=PLB!C5)*(Blotter!M$19:M$1013))=0,"C","O")</f>
        <v>O</v>
      </c>
      <c r="H5" s="16">
        <f>J4+D5</f>
        <v>1005794.625306074</v>
      </c>
      <c r="I5" s="16"/>
      <c r="J5" s="16">
        <f>H5+I5</f>
        <v>1005794.625306074</v>
      </c>
      <c r="K5" s="3">
        <f>H5/J4-1</f>
        <v>2.6017145141190579E-3</v>
      </c>
      <c r="L5" s="3">
        <f>(1+K5)*(1+L4)-1</f>
        <v>5.7946253060741082E-3</v>
      </c>
      <c r="M5" s="6">
        <f>O4-IF(G5="O",O4*1%,-D5)</f>
        <v>980100</v>
      </c>
      <c r="N5" s="16">
        <f>I5</f>
        <v>0</v>
      </c>
      <c r="O5" s="6">
        <f>M5+N5</f>
        <v>980100</v>
      </c>
      <c r="P5" s="3">
        <f>M5/O4-1</f>
        <v>-1.0000000000000009E-2</v>
      </c>
      <c r="Q5" s="3">
        <f>(1+P5)*(1+Q4)-1</f>
        <v>-1.9900000000000029E-2</v>
      </c>
      <c r="R5" s="3">
        <f>(1-1%)*(1+R4)-1</f>
        <v>-1.9900000000000029E-2</v>
      </c>
      <c r="T5" s="40">
        <f t="shared" ref="T5" si="2">B5</f>
        <v>46095</v>
      </c>
      <c r="U5" s="5">
        <f t="shared" ref="U5" si="3">C5</f>
        <v>2</v>
      </c>
      <c r="V5" s="1" t="s">
        <v>319</v>
      </c>
    </row>
    <row r="6" spans="2:28" x14ac:dyDescent="0.4">
      <c r="B6" s="40"/>
      <c r="C6" s="5"/>
      <c r="D6" s="6"/>
      <c r="E6" s="6"/>
      <c r="F6" s="30"/>
      <c r="G6" s="36"/>
      <c r="H6" s="16"/>
      <c r="I6" s="16"/>
      <c r="J6" s="16"/>
      <c r="K6" s="3"/>
      <c r="L6" s="3"/>
      <c r="M6" s="6"/>
      <c r="N6" s="16"/>
      <c r="O6" s="6"/>
      <c r="P6" s="3"/>
      <c r="Q6" s="3"/>
      <c r="R6" s="3"/>
      <c r="T6" s="40"/>
      <c r="U6" s="5"/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/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43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149</v>
      </c>
      <c r="H2" s="4" t="s">
        <v>18</v>
      </c>
      <c r="I2" s="4" t="s">
        <v>148</v>
      </c>
      <c r="J2" s="4" t="s">
        <v>94</v>
      </c>
      <c r="K2" s="4" t="s">
        <v>188</v>
      </c>
      <c r="L2" s="4" t="s">
        <v>189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6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43" si="1">$Q$3</f>
        <v>1.5</v>
      </c>
      <c r="F4" s="21">
        <f t="shared" ref="F4:F43" si="2">$P$3</f>
        <v>1000000</v>
      </c>
      <c r="G4" s="22">
        <f t="shared" ref="G4:G43" si="3">$R$3</f>
        <v>0.01</v>
      </c>
      <c r="H4" s="23">
        <f t="shared" si="0"/>
        <v>2.6366093204139478</v>
      </c>
      <c r="I4" s="61">
        <f t="shared" ref="I4:I43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2.41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2.7662517289073305</v>
      </c>
      <c r="I7" s="61">
        <f t="shared" si="4"/>
        <v>4</v>
      </c>
      <c r="J7" s="18">
        <v>82</v>
      </c>
      <c r="K7" s="3">
        <f>J7*H7*C7/$N$3</f>
        <v>0.22683264177040111</v>
      </c>
      <c r="L7" s="3">
        <f>J7*I7*C7/$N$3</f>
        <v>0.32800000000000001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205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3.2520325203252032</v>
      </c>
      <c r="I19" s="61">
        <f t="shared" si="4"/>
        <v>4</v>
      </c>
      <c r="J19" s="18">
        <v>3230</v>
      </c>
      <c r="K19" s="3">
        <f>J19*H19*C19/$N$3</f>
        <v>0.10504065040650407</v>
      </c>
      <c r="L19" s="3">
        <f>J19*I19*C19/$N$3</f>
        <v>0.12920000000000001</v>
      </c>
    </row>
    <row r="20" spans="2:12" x14ac:dyDescent="0.4">
      <c r="B20" s="17" t="s">
        <v>69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48</v>
      </c>
      <c r="C34" s="18">
        <v>100</v>
      </c>
      <c r="D34" s="19">
        <v>4.1500000000000004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16.064257028112447</v>
      </c>
      <c r="I34" s="61">
        <f t="shared" si="4"/>
        <v>21</v>
      </c>
      <c r="J34" s="61"/>
      <c r="K34" s="61"/>
      <c r="L34" s="61"/>
    </row>
    <row r="35" spans="2:12" x14ac:dyDescent="0.4">
      <c r="B35" s="17" t="s">
        <v>49</v>
      </c>
      <c r="C35" s="18">
        <v>100</v>
      </c>
      <c r="D35" s="19">
        <v>9.2899999999999991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si="0"/>
        <v>7.1761750986724087</v>
      </c>
      <c r="I35" s="61">
        <f t="shared" si="4"/>
        <v>10</v>
      </c>
      <c r="J35" s="61"/>
      <c r="K35" s="61"/>
      <c r="L35" s="61"/>
    </row>
    <row r="36" spans="2:12" x14ac:dyDescent="0.4">
      <c r="B36" s="17" t="s">
        <v>50</v>
      </c>
      <c r="C36" s="18">
        <v>100</v>
      </c>
      <c r="D36" s="19">
        <v>3.34</v>
      </c>
      <c r="E36" s="20">
        <f t="shared" si="1"/>
        <v>1.5</v>
      </c>
      <c r="F36" s="21">
        <f t="shared" si="2"/>
        <v>1000000</v>
      </c>
      <c r="G36" s="22">
        <f t="shared" si="3"/>
        <v>0.01</v>
      </c>
      <c r="H36" s="23">
        <f t="shared" si="0"/>
        <v>19.960079840319363</v>
      </c>
      <c r="I36" s="61">
        <f t="shared" si="4"/>
        <v>27</v>
      </c>
      <c r="J36" s="61"/>
      <c r="K36" s="61"/>
      <c r="L36" s="61"/>
    </row>
    <row r="37" spans="2:12" x14ac:dyDescent="0.4">
      <c r="B37" s="17" t="s">
        <v>126</v>
      </c>
      <c r="C37" s="18">
        <v>100</v>
      </c>
      <c r="D37" s="19">
        <v>0.3075</v>
      </c>
      <c r="E37" s="20">
        <f t="shared" si="1"/>
        <v>1.5</v>
      </c>
      <c r="F37" s="21">
        <f t="shared" si="2"/>
        <v>1000000</v>
      </c>
      <c r="G37" s="22">
        <f t="shared" si="3"/>
        <v>0.01</v>
      </c>
      <c r="H37" s="23">
        <f t="shared" ref="H37" si="6">(F37*G37)/(C37*D37*E37)</f>
        <v>216.80216802168022</v>
      </c>
      <c r="I37" s="61">
        <f t="shared" si="4"/>
        <v>288</v>
      </c>
      <c r="J37" s="61"/>
      <c r="K37" s="61"/>
      <c r="L37" s="61"/>
    </row>
    <row r="38" spans="2:12" x14ac:dyDescent="0.4">
      <c r="B38" s="17" t="s">
        <v>155</v>
      </c>
      <c r="C38" s="18">
        <v>100</v>
      </c>
      <c r="D38" s="19">
        <v>0.85</v>
      </c>
      <c r="E38" s="20">
        <f t="shared" si="1"/>
        <v>1.5</v>
      </c>
      <c r="F38" s="21">
        <f t="shared" si="2"/>
        <v>1000000</v>
      </c>
      <c r="G38" s="22">
        <f t="shared" si="3"/>
        <v>0.01</v>
      </c>
      <c r="H38" s="23">
        <f t="shared" ref="H38" si="7">(F38*G38)/(C38*D38*E38)</f>
        <v>78.431372549019613</v>
      </c>
      <c r="I38" s="61">
        <f t="shared" si="4"/>
        <v>104</v>
      </c>
      <c r="J38" s="61"/>
      <c r="K38" s="61"/>
      <c r="L38" s="61"/>
    </row>
    <row r="39" spans="2:12" x14ac:dyDescent="0.4">
      <c r="B39" s="17" t="s">
        <v>159</v>
      </c>
      <c r="C39" s="18">
        <v>100</v>
      </c>
      <c r="D39" s="19">
        <v>1.06</v>
      </c>
      <c r="E39" s="20">
        <f t="shared" si="1"/>
        <v>1.5</v>
      </c>
      <c r="F39" s="21">
        <f t="shared" si="2"/>
        <v>1000000</v>
      </c>
      <c r="G39" s="22">
        <f t="shared" si="3"/>
        <v>0.01</v>
      </c>
      <c r="H39" s="23">
        <f t="shared" ref="H39" si="8">(F39*G39)/(C39*D39*E39)</f>
        <v>62.893081761006286</v>
      </c>
      <c r="I39" s="61">
        <f t="shared" si="4"/>
        <v>84</v>
      </c>
      <c r="J39" s="61"/>
      <c r="K39" s="61"/>
      <c r="L39" s="61"/>
    </row>
    <row r="40" spans="2:12" x14ac:dyDescent="0.4">
      <c r="B40" s="17" t="s">
        <v>168</v>
      </c>
      <c r="C40" s="18">
        <v>1</v>
      </c>
      <c r="D40" s="19">
        <v>1.06</v>
      </c>
      <c r="E40" s="20">
        <f t="shared" si="1"/>
        <v>1.5</v>
      </c>
      <c r="F40" s="21">
        <f t="shared" si="2"/>
        <v>1000000</v>
      </c>
      <c r="G40" s="22">
        <f t="shared" si="3"/>
        <v>0.01</v>
      </c>
      <c r="H40" s="23">
        <f t="shared" ref="H40" si="9">(F40*G40)/(C40*D40*E40)</f>
        <v>6289.3081761006288</v>
      </c>
      <c r="I40" s="61">
        <f t="shared" si="4"/>
        <v>8365</v>
      </c>
      <c r="J40" s="61"/>
      <c r="K40" s="61"/>
      <c r="L40" s="61"/>
    </row>
    <row r="41" spans="2:12" x14ac:dyDescent="0.4">
      <c r="B41" s="17" t="s">
        <v>183</v>
      </c>
      <c r="C41" s="18">
        <v>1</v>
      </c>
      <c r="D41" s="19">
        <v>7.23</v>
      </c>
      <c r="E41" s="20">
        <f t="shared" si="1"/>
        <v>1.5</v>
      </c>
      <c r="F41" s="21">
        <f t="shared" si="2"/>
        <v>1000000</v>
      </c>
      <c r="G41" s="22">
        <f t="shared" si="3"/>
        <v>0.01</v>
      </c>
      <c r="H41" s="23">
        <f t="shared" ref="H41" si="10">(F41*G41)/(C41*D41*E41)</f>
        <v>922.08390963577676</v>
      </c>
      <c r="I41" s="61">
        <f t="shared" si="4"/>
        <v>1226</v>
      </c>
      <c r="J41" s="18">
        <v>68</v>
      </c>
      <c r="K41" s="3">
        <f>J41*H41*C41/$N$3</f>
        <v>6.2701705855232825E-2</v>
      </c>
      <c r="L41" s="3">
        <f>J41*I41*C41/$N$3</f>
        <v>8.3367999999999998E-2</v>
      </c>
    </row>
    <row r="42" spans="2:12" x14ac:dyDescent="0.4">
      <c r="B42" s="17" t="s">
        <v>185</v>
      </c>
      <c r="C42" s="18">
        <v>1</v>
      </c>
      <c r="D42" s="19">
        <v>2.0299999999999998</v>
      </c>
      <c r="E42" s="20">
        <f t="shared" si="1"/>
        <v>1.5</v>
      </c>
      <c r="F42" s="21">
        <f t="shared" si="2"/>
        <v>1000000</v>
      </c>
      <c r="G42" s="22">
        <f t="shared" si="3"/>
        <v>0.01</v>
      </c>
      <c r="H42" s="23">
        <f t="shared" ref="H42" si="11">(F42*G42)/(C42*D42*E42)</f>
        <v>3284.0722495894911</v>
      </c>
      <c r="I42" s="61">
        <f t="shared" si="4"/>
        <v>4368</v>
      </c>
      <c r="J42" s="61"/>
      <c r="K42" s="61"/>
      <c r="L42" s="61"/>
    </row>
    <row r="43" spans="2:12" x14ac:dyDescent="0.4">
      <c r="B43" s="9" t="s">
        <v>200</v>
      </c>
      <c r="C43" s="18">
        <v>1</v>
      </c>
      <c r="D43" s="19">
        <v>140</v>
      </c>
      <c r="E43" s="20">
        <f t="shared" si="1"/>
        <v>1.5</v>
      </c>
      <c r="F43" s="21">
        <f t="shared" si="2"/>
        <v>1000000</v>
      </c>
      <c r="G43" s="22">
        <f t="shared" si="3"/>
        <v>0.01</v>
      </c>
      <c r="H43" s="23">
        <f t="shared" ref="H43" si="12">(F43*G43)/(C43*D43*E43)</f>
        <v>47.61904761904762</v>
      </c>
      <c r="I43" s="61">
        <f t="shared" si="4"/>
        <v>63</v>
      </c>
      <c r="J43" s="18">
        <v>1986</v>
      </c>
      <c r="K43" s="3">
        <f>J43*H43*C43/$N$3</f>
        <v>9.4571428571428584E-2</v>
      </c>
      <c r="L43" s="3">
        <f>J43*I43*C43/$N$3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>
      <selection activeCell="A24" sqref="A24"/>
    </sheetView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105</v>
      </c>
      <c r="B1" s="2" t="s">
        <v>104</v>
      </c>
      <c r="C1" s="2" t="s">
        <v>103</v>
      </c>
      <c r="D1" s="2" t="s">
        <v>57</v>
      </c>
      <c r="E1" s="2" t="s">
        <v>102</v>
      </c>
      <c r="F1" s="2" t="s">
        <v>101</v>
      </c>
      <c r="G1" s="2" t="s">
        <v>100</v>
      </c>
      <c r="H1" s="2" t="s">
        <v>13</v>
      </c>
      <c r="I1" s="2" t="s">
        <v>58</v>
      </c>
      <c r="J1" s="48" t="s">
        <v>99</v>
      </c>
      <c r="K1" s="2" t="s">
        <v>98</v>
      </c>
      <c r="L1" s="48" t="s">
        <v>97</v>
      </c>
      <c r="M1" s="2" t="s">
        <v>96</v>
      </c>
      <c r="N1" s="2" t="s">
        <v>95</v>
      </c>
      <c r="O1" s="2" t="s">
        <v>94</v>
      </c>
      <c r="P1" s="2" t="s">
        <v>93</v>
      </c>
      <c r="Q1" s="2" t="s">
        <v>92</v>
      </c>
      <c r="R1" s="2" t="s">
        <v>91</v>
      </c>
      <c r="T1" s="2" t="s">
        <v>107</v>
      </c>
      <c r="U1" s="2" t="s">
        <v>12</v>
      </c>
      <c r="V1" s="2" t="s">
        <v>95</v>
      </c>
      <c r="W1" s="2" t="s">
        <v>94</v>
      </c>
      <c r="X1" s="2" t="s">
        <v>92</v>
      </c>
      <c r="Z1" s="1" t="s">
        <v>123</v>
      </c>
    </row>
    <row r="2" spans="1:31" x14ac:dyDescent="0.4">
      <c r="A2" s="1" t="s">
        <v>196</v>
      </c>
      <c r="B2" s="1" t="s">
        <v>62</v>
      </c>
      <c r="C2" s="1" t="s">
        <v>197</v>
      </c>
      <c r="D2" s="1" t="s">
        <v>198</v>
      </c>
      <c r="E2" s="1" t="s">
        <v>199</v>
      </c>
      <c r="H2" s="1">
        <v>1</v>
      </c>
      <c r="L2" s="44">
        <v>46084</v>
      </c>
      <c r="M2" s="1" t="s">
        <v>90</v>
      </c>
      <c r="N2" s="1">
        <v>50</v>
      </c>
      <c r="O2" s="1">
        <v>1986.6</v>
      </c>
      <c r="P2" s="1">
        <v>12116.947392599999</v>
      </c>
      <c r="Q2" s="1">
        <v>-21.810505307</v>
      </c>
      <c r="R2" s="1" t="s">
        <v>62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50</v>
      </c>
      <c r="W2" s="42">
        <f>O2</f>
        <v>1986.6</v>
      </c>
      <c r="X2" s="42">
        <f>Q2</f>
        <v>-21.810505307</v>
      </c>
      <c r="Z2" s="1" t="s">
        <v>132</v>
      </c>
      <c r="AC2" s="44"/>
      <c r="AD2" s="45"/>
      <c r="AE2" s="41"/>
    </row>
    <row r="3" spans="1:31" x14ac:dyDescent="0.4">
      <c r="A3" s="1" t="s">
        <v>196</v>
      </c>
      <c r="B3" s="1" t="s">
        <v>62</v>
      </c>
      <c r="C3" s="1" t="s">
        <v>197</v>
      </c>
      <c r="D3" s="1" t="s">
        <v>198</v>
      </c>
      <c r="E3" s="1" t="s">
        <v>199</v>
      </c>
      <c r="H3" s="1">
        <v>1</v>
      </c>
      <c r="L3" s="44">
        <v>46087</v>
      </c>
      <c r="M3" s="1" t="s">
        <v>318</v>
      </c>
      <c r="N3" s="1">
        <v>-50</v>
      </c>
      <c r="O3" s="1">
        <v>2000</v>
      </c>
      <c r="P3" s="1">
        <v>-6000</v>
      </c>
      <c r="Q3" s="1">
        <v>-9.2536833119999997</v>
      </c>
      <c r="R3" s="1" t="s">
        <v>62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-50</v>
      </c>
      <c r="W3" s="42">
        <f t="shared" ref="W3:W17" si="2">O3</f>
        <v>2000</v>
      </c>
      <c r="X3" s="42">
        <f t="shared" ref="X3:X17" si="3">Q3</f>
        <v>-9.2536833119999997</v>
      </c>
      <c r="AC3" s="44"/>
      <c r="AD3" s="45"/>
      <c r="AE3" s="41"/>
    </row>
    <row r="4" spans="1:31" x14ac:dyDescent="0.4">
      <c r="A4" s="1" t="s">
        <v>196</v>
      </c>
      <c r="B4" s="1" t="s">
        <v>62</v>
      </c>
      <c r="C4" s="1" t="s">
        <v>197</v>
      </c>
      <c r="D4" s="1" t="s">
        <v>198</v>
      </c>
      <c r="E4" s="1" t="s">
        <v>199</v>
      </c>
      <c r="H4" s="1">
        <v>1</v>
      </c>
      <c r="L4" s="44">
        <v>46084</v>
      </c>
      <c r="M4" s="1" t="s">
        <v>90</v>
      </c>
      <c r="N4" s="1">
        <v>50</v>
      </c>
      <c r="O4" s="1">
        <v>1979</v>
      </c>
      <c r="P4" s="1">
        <v>12116.947392599999</v>
      </c>
      <c r="Q4" s="1">
        <v>-21.810505307</v>
      </c>
      <c r="R4" s="1" t="s">
        <v>62</v>
      </c>
      <c r="T4" s="43">
        <f>IF(ISNUMBER(VLOOKUP(U4,Blotter!B:C,2,0)),VLOOKUP(U4,Blotter!B:C,2,0),"")</f>
        <v>1</v>
      </c>
      <c r="U4" s="42" t="str">
        <f t="shared" si="0"/>
        <v>ETH.USD-PAXOS</v>
      </c>
      <c r="V4" s="42">
        <f t="shared" si="1"/>
        <v>50</v>
      </c>
      <c r="W4" s="42">
        <f t="shared" si="2"/>
        <v>1979</v>
      </c>
      <c r="X4" s="42">
        <f t="shared" si="3"/>
        <v>-21.810505307</v>
      </c>
      <c r="AC4" s="44"/>
      <c r="AD4" s="45"/>
      <c r="AE4" s="41"/>
    </row>
    <row r="5" spans="1:31" x14ac:dyDescent="0.4">
      <c r="D5" s="1" t="s">
        <v>304</v>
      </c>
      <c r="H5" s="1">
        <v>10</v>
      </c>
      <c r="L5" s="44">
        <v>46090</v>
      </c>
      <c r="M5" s="1" t="s">
        <v>90</v>
      </c>
      <c r="N5" s="1">
        <v>3</v>
      </c>
      <c r="O5" s="1">
        <v>3235</v>
      </c>
      <c r="T5" s="43">
        <f>IF(ISNUMBER(VLOOKUP(U5,Blotter!B:C,2,0)),VLOOKUP(U5,Blotter!B:C,2,0),"")</f>
        <v>2</v>
      </c>
      <c r="U5" s="42" t="str">
        <f t="shared" si="0"/>
        <v>CCK6</v>
      </c>
      <c r="V5" s="42">
        <f t="shared" si="1"/>
        <v>3</v>
      </c>
      <c r="W5" s="42">
        <f t="shared" si="2"/>
        <v>3235</v>
      </c>
      <c r="X5" s="42">
        <f t="shared" si="3"/>
        <v>0</v>
      </c>
      <c r="AC5" s="44"/>
      <c r="AD5" s="45"/>
      <c r="AE5" s="41"/>
    </row>
    <row r="6" spans="1:31" x14ac:dyDescent="0.4">
      <c r="T6" s="43" t="str">
        <f>IF(ISNUMBER(VLOOKUP(U6,Blotter!B:C,2,0)),VLOOKUP(U6,Blotter!B:C,2,0),"")</f>
        <v/>
      </c>
      <c r="U6" s="42">
        <f t="shared" ref="U6" si="4">D6</f>
        <v>0</v>
      </c>
      <c r="V6" s="42">
        <f t="shared" ref="V6" si="5">N6</f>
        <v>0</v>
      </c>
      <c r="W6" s="42">
        <f t="shared" ref="W6" si="6">O6</f>
        <v>0</v>
      </c>
      <c r="X6" s="42">
        <f t="shared" ref="X6" si="7">Q6</f>
        <v>0</v>
      </c>
      <c r="AC6" s="44"/>
      <c r="AD6" s="45"/>
      <c r="AE6" s="41"/>
    </row>
    <row r="7" spans="1:31" x14ac:dyDescent="0.4">
      <c r="T7" s="43" t="str">
        <f>IF(ISNUMBER(VLOOKUP(U7,Blotter!B:C,2,0)),VLOOKUP(U7,Blotter!B:C,2,0),"")</f>
        <v/>
      </c>
      <c r="U7" s="42">
        <f t="shared" si="0"/>
        <v>0</v>
      </c>
      <c r="V7" s="42">
        <f t="shared" si="1"/>
        <v>0</v>
      </c>
      <c r="W7" s="42">
        <f t="shared" si="2"/>
        <v>0</v>
      </c>
      <c r="X7" s="42">
        <f t="shared" si="3"/>
        <v>0</v>
      </c>
      <c r="AC7" s="44"/>
      <c r="AD7" s="45"/>
      <c r="AE7" s="41"/>
    </row>
    <row r="8" spans="1:31" x14ac:dyDescent="0.4">
      <c r="T8" s="43" t="str">
        <f>IF(ISNUMBER(VLOOKUP(U8,Blotter!B:C,2,0)),VLOOKUP(U8,Blotter!B:C,2,0),"")</f>
        <v/>
      </c>
      <c r="U8" s="42">
        <f t="shared" si="0"/>
        <v>0</v>
      </c>
      <c r="V8" s="42">
        <f t="shared" si="1"/>
        <v>0</v>
      </c>
      <c r="W8" s="42">
        <f t="shared" si="2"/>
        <v>0</v>
      </c>
      <c r="X8" s="42">
        <f t="shared" si="3"/>
        <v>0</v>
      </c>
      <c r="AC8" s="44"/>
      <c r="AD8" s="45"/>
      <c r="AE8" s="41"/>
    </row>
    <row r="9" spans="1:31" x14ac:dyDescent="0.4">
      <c r="T9" s="43" t="str">
        <f>IF(ISNUMBER(VLOOKUP(U9,Blotter!B:C,2,0)),VLOOKUP(U9,Blotter!B:C,2,0),"")</f>
        <v/>
      </c>
      <c r="U9" s="42">
        <f t="shared" si="0"/>
        <v>0</v>
      </c>
      <c r="V9" s="42">
        <f t="shared" si="1"/>
        <v>0</v>
      </c>
      <c r="W9" s="42">
        <f t="shared" si="2"/>
        <v>0</v>
      </c>
      <c r="X9" s="42">
        <f t="shared" si="3"/>
        <v>0</v>
      </c>
      <c r="AC9" s="44"/>
      <c r="AD9" s="45"/>
      <c r="AE9" s="41"/>
    </row>
    <row r="10" spans="1:31" x14ac:dyDescent="0.4">
      <c r="T10" s="43" t="str">
        <f>IF(ISNUMBER(VLOOKUP(U10,Blotter!B:C,2,0)),VLOOKUP(U10,Blotter!B:C,2,0),"")</f>
        <v/>
      </c>
      <c r="U10" s="42">
        <f t="shared" si="0"/>
        <v>0</v>
      </c>
      <c r="V10" s="42">
        <f t="shared" si="1"/>
        <v>0</v>
      </c>
      <c r="W10" s="42">
        <f t="shared" si="2"/>
        <v>0</v>
      </c>
      <c r="X10" s="42">
        <f t="shared" si="3"/>
        <v>0</v>
      </c>
      <c r="AC10" s="44"/>
      <c r="AD10" s="45"/>
      <c r="AE10" s="41"/>
    </row>
    <row r="11" spans="1:31" x14ac:dyDescent="0.4">
      <c r="T11" s="43" t="str">
        <f>IF(ISNUMBER(VLOOKUP(U11,Blotter!B:C,2,0)),VLOOKUP(U11,Blotter!B:C,2,0),"")</f>
        <v/>
      </c>
      <c r="U11" s="42">
        <f t="shared" si="0"/>
        <v>0</v>
      </c>
      <c r="V11" s="42">
        <f t="shared" si="1"/>
        <v>0</v>
      </c>
      <c r="W11" s="42">
        <f t="shared" si="2"/>
        <v>0</v>
      </c>
      <c r="X11" s="42">
        <f t="shared" si="3"/>
        <v>0</v>
      </c>
      <c r="AC11" s="44"/>
      <c r="AD11" s="45"/>
      <c r="AE11" s="41"/>
    </row>
    <row r="12" spans="1:31" x14ac:dyDescent="0.4">
      <c r="T12" s="43" t="str">
        <f>IF(ISNUMBER(VLOOKUP(U12,Blotter!B:C,2,0)),VLOOKUP(U12,Blotter!B:C,2,0),"")</f>
        <v/>
      </c>
      <c r="U12" s="42">
        <f t="shared" si="0"/>
        <v>0</v>
      </c>
      <c r="V12" s="42">
        <f t="shared" si="1"/>
        <v>0</v>
      </c>
      <c r="W12" s="42">
        <f t="shared" si="2"/>
        <v>0</v>
      </c>
      <c r="X12" s="42">
        <f t="shared" si="3"/>
        <v>0</v>
      </c>
      <c r="AC12" s="44"/>
      <c r="AD12" s="45"/>
      <c r="AE12" s="41"/>
    </row>
    <row r="13" spans="1:31" x14ac:dyDescent="0.4">
      <c r="T13" s="43" t="str">
        <f>IF(ISNUMBER(VLOOKUP(U13,Blotter!B:C,2,0)),VLOOKUP(U13,Blotter!B:C,2,0),"")</f>
        <v/>
      </c>
      <c r="U13" s="42">
        <f t="shared" si="0"/>
        <v>0</v>
      </c>
      <c r="V13" s="42">
        <f t="shared" si="1"/>
        <v>0</v>
      </c>
      <c r="W13" s="42">
        <f t="shared" si="2"/>
        <v>0</v>
      </c>
      <c r="X13" s="42">
        <f t="shared" si="3"/>
        <v>0</v>
      </c>
      <c r="AC13" s="44"/>
      <c r="AD13" s="45"/>
      <c r="AE13" s="41"/>
    </row>
    <row r="14" spans="1:31" x14ac:dyDescent="0.4">
      <c r="T14" s="43" t="str">
        <f>IF(ISNUMBER(VLOOKUP(U14,Blotter!B:C,2,0)),VLOOKUP(U14,Blotter!B:C,2,0),"")</f>
        <v/>
      </c>
      <c r="U14" s="42">
        <f t="shared" si="0"/>
        <v>0</v>
      </c>
      <c r="V14" s="42">
        <f t="shared" si="1"/>
        <v>0</v>
      </c>
      <c r="W14" s="42">
        <f t="shared" si="2"/>
        <v>0</v>
      </c>
      <c r="X14" s="42">
        <f t="shared" si="3"/>
        <v>0</v>
      </c>
      <c r="AC14" s="44"/>
      <c r="AD14" s="45"/>
      <c r="AE14" s="41"/>
    </row>
    <row r="15" spans="1:31" x14ac:dyDescent="0.4">
      <c r="T15" s="43" t="str">
        <f>IF(ISNUMBER(VLOOKUP(U15,Blotter!B:C,2,0)),VLOOKUP(U15,Blotter!B:C,2,0),"")</f>
        <v/>
      </c>
      <c r="U15" s="42">
        <f t="shared" si="0"/>
        <v>0</v>
      </c>
      <c r="V15" s="42">
        <f t="shared" si="1"/>
        <v>0</v>
      </c>
      <c r="W15" s="42">
        <f t="shared" si="2"/>
        <v>0</v>
      </c>
      <c r="X15" s="42">
        <f t="shared" si="3"/>
        <v>0</v>
      </c>
      <c r="AC15" s="44"/>
      <c r="AD15" s="45"/>
      <c r="AE15" s="41"/>
    </row>
    <row r="16" spans="1:31" x14ac:dyDescent="0.4">
      <c r="T16" s="43" t="str">
        <f>IF(ISNUMBER(VLOOKUP(U16,Blotter!B:C,2,0)),VLOOKUP(U16,Blotter!B:C,2,0),"")</f>
        <v/>
      </c>
      <c r="U16" s="42">
        <f t="shared" si="0"/>
        <v>0</v>
      </c>
      <c r="V16" s="42">
        <f t="shared" si="1"/>
        <v>0</v>
      </c>
      <c r="W16" s="42">
        <f t="shared" si="2"/>
        <v>0</v>
      </c>
      <c r="X16" s="42">
        <f t="shared" si="3"/>
        <v>0</v>
      </c>
      <c r="AC16" s="44"/>
      <c r="AD16" s="45"/>
      <c r="AE16" s="41"/>
    </row>
    <row r="17" spans="20:31" x14ac:dyDescent="0.4">
      <c r="T17" s="43" t="str">
        <f>IF(ISNUMBER(VLOOKUP(U17,Blotter!B:C,2,0)),VLOOKUP(U17,Blotter!B:C,2,0),"")</f>
        <v/>
      </c>
      <c r="U17" s="42">
        <f t="shared" si="0"/>
        <v>0</v>
      </c>
      <c r="V17" s="42">
        <f t="shared" si="1"/>
        <v>0</v>
      </c>
      <c r="W17" s="42">
        <f t="shared" si="2"/>
        <v>0</v>
      </c>
      <c r="X17" s="42">
        <f t="shared" si="3"/>
        <v>0</v>
      </c>
      <c r="AC17" s="44"/>
      <c r="AD17" s="45"/>
      <c r="AE17" s="41"/>
    </row>
    <row r="18" spans="20:31" x14ac:dyDescent="0.4">
      <c r="T18" s="43" t="str">
        <f>IF(ISNUMBER(VLOOKUP(U18,Blotter!B:C,2,0)),VLOOKUP(U18,Blotter!B:C,2,0),"")</f>
        <v/>
      </c>
      <c r="U18" s="42">
        <f t="shared" ref="U18:U36" si="8">D18</f>
        <v>0</v>
      </c>
      <c r="V18" s="42">
        <f t="shared" ref="V18:V36" si="9">N18</f>
        <v>0</v>
      </c>
      <c r="W18" s="42">
        <f t="shared" ref="W18:W36" si="10">O18</f>
        <v>0</v>
      </c>
      <c r="X18" s="42">
        <f t="shared" ref="X18:X36" si="11">Q18</f>
        <v>0</v>
      </c>
      <c r="AC18" s="44"/>
      <c r="AD18" s="45"/>
      <c r="AE18" s="41"/>
    </row>
    <row r="19" spans="20:31" x14ac:dyDescent="0.4">
      <c r="T19" s="43" t="str">
        <f>IF(ISNUMBER(VLOOKUP(U19,Blotter!B:C,2,0)),VLOOKUP(U19,Blotter!B:C,2,0),"")</f>
        <v/>
      </c>
      <c r="U19" s="42">
        <f t="shared" si="8"/>
        <v>0</v>
      </c>
      <c r="V19" s="42">
        <f t="shared" si="9"/>
        <v>0</v>
      </c>
      <c r="W19" s="42">
        <f t="shared" si="10"/>
        <v>0</v>
      </c>
      <c r="X19" s="42">
        <f t="shared" si="11"/>
        <v>0</v>
      </c>
      <c r="AC19" s="44"/>
      <c r="AD19" s="45"/>
      <c r="AE19" s="41"/>
    </row>
    <row r="20" spans="20:31" x14ac:dyDescent="0.4">
      <c r="T20" s="43" t="str">
        <f>IF(ISNUMBER(VLOOKUP(U20,Blotter!B:C,2,0)),VLOOKUP(U20,Blotter!B:C,2,0),"")</f>
        <v/>
      </c>
      <c r="U20" s="42">
        <f t="shared" si="8"/>
        <v>0</v>
      </c>
      <c r="V20" s="42">
        <f t="shared" si="9"/>
        <v>0</v>
      </c>
      <c r="W20" s="42">
        <f t="shared" si="10"/>
        <v>0</v>
      </c>
      <c r="X20" s="42">
        <f t="shared" si="11"/>
        <v>0</v>
      </c>
      <c r="AC20" s="44"/>
      <c r="AD20" s="45"/>
      <c r="AE20" s="41"/>
    </row>
    <row r="21" spans="20:31" x14ac:dyDescent="0.4">
      <c r="T21" s="43" t="str">
        <f>IF(ISNUMBER(VLOOKUP(U21,Blotter!B:C,2,0)),VLOOKUP(U21,Blotter!B:C,2,0),"")</f>
        <v/>
      </c>
      <c r="U21" s="42">
        <f t="shared" si="8"/>
        <v>0</v>
      </c>
      <c r="V21" s="42">
        <f t="shared" si="9"/>
        <v>0</v>
      </c>
      <c r="W21" s="42">
        <f t="shared" si="10"/>
        <v>0</v>
      </c>
      <c r="X21" s="42">
        <f t="shared" si="11"/>
        <v>0</v>
      </c>
      <c r="AC21" s="44"/>
      <c r="AD21" s="45"/>
      <c r="AE21" s="41"/>
    </row>
    <row r="22" spans="20:31" x14ac:dyDescent="0.4">
      <c r="T22" s="43" t="str">
        <f>IF(ISNUMBER(VLOOKUP(U22,Blotter!B:C,2,0)),VLOOKUP(U22,Blotter!B:C,2,0),"")</f>
        <v/>
      </c>
      <c r="U22" s="42">
        <f t="shared" si="8"/>
        <v>0</v>
      </c>
      <c r="V22" s="42">
        <f t="shared" si="9"/>
        <v>0</v>
      </c>
      <c r="W22" s="42">
        <f t="shared" si="10"/>
        <v>0</v>
      </c>
      <c r="X22" s="42">
        <f t="shared" si="11"/>
        <v>0</v>
      </c>
      <c r="AC22" s="44"/>
      <c r="AD22" s="45"/>
      <c r="AE22" s="41"/>
    </row>
    <row r="23" spans="20:31" x14ac:dyDescent="0.4">
      <c r="T23" s="43" t="str">
        <f>IF(ISNUMBER(VLOOKUP(U23,Blotter!B:C,2,0)),VLOOKUP(U23,Blotter!B:C,2,0),"")</f>
        <v/>
      </c>
      <c r="U23" s="42">
        <f t="shared" si="8"/>
        <v>0</v>
      </c>
      <c r="V23" s="42">
        <f t="shared" si="9"/>
        <v>0</v>
      </c>
      <c r="W23" s="42">
        <f t="shared" si="10"/>
        <v>0</v>
      </c>
      <c r="X23" s="42">
        <f t="shared" si="11"/>
        <v>0</v>
      </c>
      <c r="AC23" s="44"/>
      <c r="AD23" s="45"/>
      <c r="AE23" s="41"/>
    </row>
    <row r="24" spans="20:31" x14ac:dyDescent="0.4">
      <c r="T24" s="43" t="str">
        <f>IF(ISNUMBER(VLOOKUP(U24,Blotter!B:C,2,0)),VLOOKUP(U24,Blotter!B:C,2,0),"")</f>
        <v/>
      </c>
      <c r="U24" s="42">
        <f t="shared" si="8"/>
        <v>0</v>
      </c>
      <c r="V24" s="42">
        <f t="shared" si="9"/>
        <v>0</v>
      </c>
      <c r="W24" s="42">
        <f t="shared" si="10"/>
        <v>0</v>
      </c>
      <c r="X24" s="42">
        <f t="shared" si="11"/>
        <v>0</v>
      </c>
      <c r="AC24" s="44"/>
      <c r="AD24" s="45"/>
      <c r="AE24" s="41"/>
    </row>
    <row r="25" spans="20:31" x14ac:dyDescent="0.4">
      <c r="T25" s="43" t="str">
        <f>IF(ISNUMBER(VLOOKUP(U25,Blotter!B:C,2,0)),VLOOKUP(U25,Blotter!B:C,2,0),"")</f>
        <v/>
      </c>
      <c r="U25" s="42">
        <f t="shared" si="8"/>
        <v>0</v>
      </c>
      <c r="V25" s="42">
        <f t="shared" si="9"/>
        <v>0</v>
      </c>
      <c r="W25" s="42">
        <f t="shared" si="10"/>
        <v>0</v>
      </c>
      <c r="X25" s="42">
        <f t="shared" si="11"/>
        <v>0</v>
      </c>
      <c r="AC25" s="44"/>
      <c r="AD25" s="45"/>
      <c r="AE25" s="41"/>
    </row>
    <row r="26" spans="20:31" x14ac:dyDescent="0.4">
      <c r="T26" s="43" t="str">
        <f>IF(ISNUMBER(VLOOKUP(U26,Blotter!B:C,2,0)),VLOOKUP(U26,Blotter!B:C,2,0),"")</f>
        <v/>
      </c>
      <c r="U26" s="42">
        <f t="shared" si="8"/>
        <v>0</v>
      </c>
      <c r="V26" s="42">
        <f t="shared" si="9"/>
        <v>0</v>
      </c>
      <c r="W26" s="42">
        <f t="shared" si="10"/>
        <v>0</v>
      </c>
      <c r="X26" s="42">
        <f t="shared" si="11"/>
        <v>0</v>
      </c>
      <c r="AC26" s="44"/>
      <c r="AD26" s="45"/>
      <c r="AE26" s="41"/>
    </row>
    <row r="27" spans="20:31" x14ac:dyDescent="0.4">
      <c r="T27" s="43" t="str">
        <f>IF(ISNUMBER(VLOOKUP(U27,Blotter!B:C,2,0)),VLOOKUP(U27,Blotter!B:C,2,0),"")</f>
        <v/>
      </c>
      <c r="U27" s="42">
        <f t="shared" si="8"/>
        <v>0</v>
      </c>
      <c r="V27" s="42">
        <f t="shared" si="9"/>
        <v>0</v>
      </c>
      <c r="W27" s="42">
        <f t="shared" si="10"/>
        <v>0</v>
      </c>
      <c r="X27" s="42">
        <f t="shared" si="11"/>
        <v>0</v>
      </c>
      <c r="AC27" s="44"/>
      <c r="AD27" s="45"/>
      <c r="AE27" s="41"/>
    </row>
    <row r="28" spans="20:31" x14ac:dyDescent="0.4">
      <c r="T28" s="43" t="str">
        <f>IF(ISNUMBER(VLOOKUP(U28,Blotter!B:C,2,0)),VLOOKUP(U28,Blotter!B:C,2,0),"")</f>
        <v/>
      </c>
      <c r="U28" s="42">
        <f t="shared" si="8"/>
        <v>0</v>
      </c>
      <c r="V28" s="42">
        <f t="shared" si="9"/>
        <v>0</v>
      </c>
      <c r="W28" s="42">
        <f t="shared" si="10"/>
        <v>0</v>
      </c>
      <c r="X28" s="42">
        <f t="shared" si="11"/>
        <v>0</v>
      </c>
      <c r="AC28" s="44"/>
      <c r="AD28" s="45"/>
      <c r="AE28" s="41"/>
    </row>
    <row r="29" spans="20:31" x14ac:dyDescent="0.4">
      <c r="T29" s="43" t="str">
        <f>IF(ISNUMBER(VLOOKUP(U29,Blotter!B:C,2,0)),VLOOKUP(U29,Blotter!B:C,2,0),"")</f>
        <v/>
      </c>
      <c r="U29" s="42">
        <f t="shared" si="8"/>
        <v>0</v>
      </c>
      <c r="V29" s="42">
        <f t="shared" si="9"/>
        <v>0</v>
      </c>
      <c r="W29" s="42">
        <f t="shared" si="10"/>
        <v>0</v>
      </c>
      <c r="X29" s="42">
        <f t="shared" si="11"/>
        <v>0</v>
      </c>
      <c r="AC29" s="44"/>
      <c r="AD29" s="45"/>
      <c r="AE29" s="41"/>
    </row>
    <row r="30" spans="20:31" x14ac:dyDescent="0.4">
      <c r="T30" s="43" t="str">
        <f>IF(ISNUMBER(VLOOKUP(U30,Blotter!B:C,2,0)),VLOOKUP(U30,Blotter!B:C,2,0),"")</f>
        <v/>
      </c>
      <c r="U30" s="42">
        <f t="shared" si="8"/>
        <v>0</v>
      </c>
      <c r="V30" s="42">
        <f t="shared" si="9"/>
        <v>0</v>
      </c>
      <c r="W30" s="42">
        <f t="shared" si="10"/>
        <v>0</v>
      </c>
      <c r="X30" s="42">
        <f t="shared" si="11"/>
        <v>0</v>
      </c>
      <c r="AC30" s="44"/>
      <c r="AD30" s="45"/>
      <c r="AE30" s="41"/>
    </row>
    <row r="31" spans="20:31" x14ac:dyDescent="0.4">
      <c r="T31" s="43" t="str">
        <f>IF(ISNUMBER(VLOOKUP(U31,Blotter!B:C,2,0)),VLOOKUP(U31,Blotter!B:C,2,0),"")</f>
        <v/>
      </c>
      <c r="U31" s="42">
        <f t="shared" si="8"/>
        <v>0</v>
      </c>
      <c r="V31" s="42">
        <f t="shared" si="9"/>
        <v>0</v>
      </c>
      <c r="W31" s="42">
        <f t="shared" si="10"/>
        <v>0</v>
      </c>
      <c r="X31" s="42">
        <f t="shared" si="11"/>
        <v>0</v>
      </c>
      <c r="AC31" s="44"/>
      <c r="AD31" s="45"/>
      <c r="AE31" s="41"/>
    </row>
    <row r="32" spans="20:31" x14ac:dyDescent="0.4">
      <c r="T32" s="43" t="str">
        <f>IF(ISNUMBER(VLOOKUP(U32,Blotter!B:C,2,0)),VLOOKUP(U32,Blotter!B:C,2,0),"")</f>
        <v/>
      </c>
      <c r="U32" s="42">
        <f t="shared" si="8"/>
        <v>0</v>
      </c>
      <c r="V32" s="42">
        <f t="shared" si="9"/>
        <v>0</v>
      </c>
      <c r="W32" s="42">
        <f t="shared" si="10"/>
        <v>0</v>
      </c>
      <c r="X32" s="42">
        <f t="shared" si="11"/>
        <v>0</v>
      </c>
      <c r="AC32" s="44"/>
      <c r="AD32" s="45"/>
      <c r="AE32" s="41"/>
    </row>
    <row r="33" spans="20:31" x14ac:dyDescent="0.4">
      <c r="T33" s="43" t="str">
        <f>IF(ISNUMBER(VLOOKUP(U33,Blotter!B:C,2,0)),VLOOKUP(U33,Blotter!B:C,2,0),"")</f>
        <v/>
      </c>
      <c r="U33" s="42">
        <f t="shared" si="8"/>
        <v>0</v>
      </c>
      <c r="V33" s="42">
        <f t="shared" si="9"/>
        <v>0</v>
      </c>
      <c r="W33" s="42">
        <f t="shared" si="10"/>
        <v>0</v>
      </c>
      <c r="X33" s="42">
        <f t="shared" si="11"/>
        <v>0</v>
      </c>
      <c r="AC33" s="44"/>
      <c r="AD33" s="45"/>
      <c r="AE33" s="41"/>
    </row>
    <row r="34" spans="20:31" x14ac:dyDescent="0.4">
      <c r="T34" s="43" t="str">
        <f>IF(ISNUMBER(VLOOKUP(U34,Blotter!B:C,2,0)),VLOOKUP(U34,Blotter!B:C,2,0),"")</f>
        <v/>
      </c>
      <c r="U34" s="42">
        <f t="shared" si="8"/>
        <v>0</v>
      </c>
      <c r="V34" s="42">
        <f t="shared" si="9"/>
        <v>0</v>
      </c>
      <c r="W34" s="42">
        <f t="shared" si="10"/>
        <v>0</v>
      </c>
      <c r="X34" s="42">
        <f t="shared" si="11"/>
        <v>0</v>
      </c>
    </row>
    <row r="35" spans="20:31" x14ac:dyDescent="0.4">
      <c r="T35" s="43" t="str">
        <f>IF(ISNUMBER(VLOOKUP(U35,Blotter!B:C,2,0)),VLOOKUP(U35,Blotter!B:C,2,0),"")</f>
        <v/>
      </c>
      <c r="U35" s="42">
        <f t="shared" si="8"/>
        <v>0</v>
      </c>
      <c r="V35" s="42">
        <f t="shared" si="9"/>
        <v>0</v>
      </c>
      <c r="W35" s="42">
        <f t="shared" si="10"/>
        <v>0</v>
      </c>
      <c r="X35" s="42">
        <f t="shared" si="11"/>
        <v>0</v>
      </c>
    </row>
    <row r="36" spans="20:31" x14ac:dyDescent="0.4">
      <c r="T36" s="43" t="str">
        <f>IF(ISNUMBER(VLOOKUP(U36,Blotter!B:C,2,0)),VLOOKUP(U36,Blotter!B:C,2,0),"")</f>
        <v/>
      </c>
      <c r="U36" s="42">
        <f t="shared" si="8"/>
        <v>0</v>
      </c>
      <c r="V36" s="42">
        <f t="shared" si="9"/>
        <v>0</v>
      </c>
      <c r="W36" s="42">
        <f t="shared" si="10"/>
        <v>0</v>
      </c>
      <c r="X36" s="42">
        <f t="shared" si="11"/>
        <v>0</v>
      </c>
    </row>
    <row r="37" spans="20:31" x14ac:dyDescent="0.4">
      <c r="T37" s="43"/>
      <c r="U37" s="42"/>
      <c r="V37" s="42"/>
      <c r="W37" s="42"/>
      <c r="X37" s="42"/>
    </row>
    <row r="38" spans="20:31" x14ac:dyDescent="0.4">
      <c r="T38" s="43"/>
      <c r="U38" s="42"/>
      <c r="V38" s="42"/>
      <c r="W38" s="42"/>
      <c r="X38" s="42"/>
    </row>
    <row r="39" spans="20:31" x14ac:dyDescent="0.4">
      <c r="T39" s="43"/>
      <c r="U39" s="42"/>
      <c r="V39" s="42"/>
      <c r="W39" s="42"/>
      <c r="X39" s="42"/>
    </row>
    <row r="40" spans="20:31" x14ac:dyDescent="0.4">
      <c r="T40" s="43"/>
      <c r="U40" s="42"/>
      <c r="V40" s="42"/>
      <c r="W40" s="42"/>
      <c r="X40" s="42"/>
    </row>
    <row r="41" spans="20:31" x14ac:dyDescent="0.4">
      <c r="T41" s="43"/>
      <c r="U41" s="42"/>
      <c r="V41" s="42"/>
      <c r="W41" s="42"/>
      <c r="X41" s="42"/>
    </row>
    <row r="42" spans="20:31" x14ac:dyDescent="0.4">
      <c r="T42" s="43"/>
      <c r="U42" s="42"/>
      <c r="V42" s="42"/>
      <c r="W42" s="42"/>
      <c r="X42" s="42"/>
    </row>
    <row r="43" spans="20:31" x14ac:dyDescent="0.4">
      <c r="T43" s="43"/>
      <c r="U43" s="42"/>
      <c r="V43" s="42"/>
      <c r="W43" s="42"/>
      <c r="X43" s="42"/>
    </row>
    <row r="44" spans="20:31" x14ac:dyDescent="0.4">
      <c r="T44" s="43"/>
      <c r="U44" s="42"/>
      <c r="V44" s="42"/>
      <c r="W44" s="42"/>
      <c r="X44" s="42"/>
    </row>
    <row r="45" spans="20:31" x14ac:dyDescent="0.4">
      <c r="T45" s="43"/>
      <c r="U45" s="42"/>
      <c r="V45" s="42"/>
      <c r="W45" s="42"/>
      <c r="X45" s="42"/>
    </row>
    <row r="46" spans="20:31" x14ac:dyDescent="0.4">
      <c r="T46" s="43"/>
      <c r="U46" s="42"/>
      <c r="V46" s="42"/>
      <c r="W46" s="42"/>
      <c r="X46" s="42"/>
    </row>
    <row r="47" spans="20:31" x14ac:dyDescent="0.4">
      <c r="T47" s="43"/>
      <c r="U47" s="42"/>
      <c r="V47" s="42"/>
      <c r="W47" s="42"/>
      <c r="X47" s="42"/>
    </row>
    <row r="48" spans="20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215</v>
      </c>
      <c r="B1" s="56"/>
    </row>
    <row r="3" spans="1:2" x14ac:dyDescent="0.4">
      <c r="A3" s="80" t="s">
        <v>214</v>
      </c>
      <c r="B3" s="89" t="s">
        <v>213</v>
      </c>
    </row>
    <row r="4" spans="1:2" x14ac:dyDescent="0.4">
      <c r="A4" s="80" t="s">
        <v>212</v>
      </c>
      <c r="B4" s="89">
        <v>7497</v>
      </c>
    </row>
    <row r="5" spans="1:2" x14ac:dyDescent="0.4">
      <c r="A5" s="80" t="s">
        <v>211</v>
      </c>
      <c r="B5" s="89">
        <v>11</v>
      </c>
    </row>
    <row r="6" spans="1:2" x14ac:dyDescent="0.4">
      <c r="A6" s="80" t="s">
        <v>210</v>
      </c>
      <c r="B6" s="89">
        <v>0.25</v>
      </c>
    </row>
    <row r="7" spans="1:2" x14ac:dyDescent="0.4">
      <c r="A7" s="80" t="s">
        <v>209</v>
      </c>
      <c r="B7" s="89" t="s">
        <v>208</v>
      </c>
    </row>
    <row r="8" spans="1:2" x14ac:dyDescent="0.4">
      <c r="A8" s="80" t="s">
        <v>207</v>
      </c>
      <c r="B8" s="89">
        <v>3</v>
      </c>
    </row>
    <row r="10" spans="1:2" x14ac:dyDescent="0.4">
      <c r="A10" s="1" t="s">
        <v>206</v>
      </c>
    </row>
    <row r="11" spans="1:2" x14ac:dyDescent="0.4">
      <c r="A11" s="1" t="s">
        <v>205</v>
      </c>
    </row>
    <row r="12" spans="1:2" x14ac:dyDescent="0.4">
      <c r="A12" s="1" t="s">
        <v>204</v>
      </c>
    </row>
    <row r="13" spans="1:2" x14ac:dyDescent="0.4">
      <c r="A13" s="1" t="s">
        <v>203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8"/>
  <sheetViews>
    <sheetView showGridLines="0" workbookViewId="0">
      <selection activeCell="B20" sqref="B20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229</v>
      </c>
      <c r="B1" s="82" t="s">
        <v>228</v>
      </c>
      <c r="C1" s="82" t="s">
        <v>227</v>
      </c>
      <c r="D1" s="82" t="s">
        <v>226</v>
      </c>
      <c r="E1" s="82" t="s">
        <v>225</v>
      </c>
      <c r="F1" s="82" t="s">
        <v>224</v>
      </c>
      <c r="G1" s="82" t="s">
        <v>223</v>
      </c>
      <c r="H1" s="82" t="s">
        <v>222</v>
      </c>
      <c r="I1" s="82" t="s">
        <v>221</v>
      </c>
      <c r="J1" s="82" t="s">
        <v>220</v>
      </c>
      <c r="K1" s="82" t="s">
        <v>219</v>
      </c>
      <c r="L1" s="82" t="s">
        <v>218</v>
      </c>
      <c r="M1" s="82" t="s">
        <v>217</v>
      </c>
    </row>
    <row r="2" spans="1:13" x14ac:dyDescent="0.4">
      <c r="A2" s="88">
        <v>1</v>
      </c>
      <c r="B2" s="88" t="s">
        <v>254</v>
      </c>
      <c r="C2" s="88" t="s">
        <v>61</v>
      </c>
      <c r="D2" s="88" t="s">
        <v>21</v>
      </c>
      <c r="E2" s="88" t="s">
        <v>83</v>
      </c>
      <c r="F2" s="88" t="s">
        <v>62</v>
      </c>
      <c r="G2" s="88" t="s">
        <v>216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255</v>
      </c>
      <c r="C3" s="88" t="s">
        <v>61</v>
      </c>
      <c r="D3" s="88" t="s">
        <v>22</v>
      </c>
      <c r="E3" s="88" t="s">
        <v>83</v>
      </c>
      <c r="F3" s="88" t="s">
        <v>62</v>
      </c>
      <c r="G3" s="88" t="s">
        <v>216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256</v>
      </c>
      <c r="C4" s="88" t="s">
        <v>61</v>
      </c>
      <c r="D4" s="88" t="s">
        <v>23</v>
      </c>
      <c r="E4" s="88" t="s">
        <v>83</v>
      </c>
      <c r="F4" s="88" t="s">
        <v>62</v>
      </c>
      <c r="G4" s="88" t="s">
        <v>216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257</v>
      </c>
      <c r="C5" s="88" t="s">
        <v>61</v>
      </c>
      <c r="D5" s="88" t="s">
        <v>249</v>
      </c>
      <c r="E5" s="88" t="s">
        <v>84</v>
      </c>
      <c r="F5" s="88" t="s">
        <v>59</v>
      </c>
      <c r="G5" s="88" t="s">
        <v>216</v>
      </c>
      <c r="H5" s="88"/>
      <c r="I5" s="88"/>
      <c r="J5" s="88"/>
      <c r="K5" s="88" t="s">
        <v>249</v>
      </c>
      <c r="L5" s="88"/>
      <c r="M5" s="88"/>
    </row>
    <row r="6" spans="1:13" x14ac:dyDescent="0.4">
      <c r="A6" s="88">
        <v>1</v>
      </c>
      <c r="B6" s="88" t="s">
        <v>258</v>
      </c>
      <c r="C6" s="88" t="s">
        <v>61</v>
      </c>
      <c r="D6" s="88" t="s">
        <v>65</v>
      </c>
      <c r="E6" s="88" t="s">
        <v>84</v>
      </c>
      <c r="F6" s="88" t="s">
        <v>59</v>
      </c>
      <c r="G6" s="88" t="s">
        <v>216</v>
      </c>
      <c r="H6" s="88"/>
      <c r="I6" s="88"/>
      <c r="J6" s="88"/>
      <c r="K6" s="88" t="s">
        <v>250</v>
      </c>
      <c r="L6" s="88"/>
      <c r="M6" s="88"/>
    </row>
    <row r="7" spans="1:13" x14ac:dyDescent="0.4">
      <c r="A7" s="88">
        <v>1</v>
      </c>
      <c r="B7" s="88" t="s">
        <v>273</v>
      </c>
      <c r="C7" s="88" t="s">
        <v>61</v>
      </c>
      <c r="D7" s="88" t="s">
        <v>66</v>
      </c>
      <c r="E7" s="88" t="s">
        <v>83</v>
      </c>
      <c r="F7" s="88" t="s">
        <v>60</v>
      </c>
      <c r="G7" s="88" t="s">
        <v>216</v>
      </c>
      <c r="H7" s="88"/>
      <c r="I7" s="88"/>
      <c r="J7" s="88">
        <v>500</v>
      </c>
      <c r="K7" s="88" t="s">
        <v>66</v>
      </c>
      <c r="L7" s="88"/>
      <c r="M7" s="88"/>
    </row>
    <row r="8" spans="1:13" x14ac:dyDescent="0.4">
      <c r="A8" s="88">
        <v>1</v>
      </c>
      <c r="B8" s="88" t="s">
        <v>186</v>
      </c>
      <c r="C8" s="88" t="s">
        <v>61</v>
      </c>
      <c r="D8" s="88" t="s">
        <v>24</v>
      </c>
      <c r="E8" s="88" t="s">
        <v>64</v>
      </c>
      <c r="F8" s="88" t="s">
        <v>62</v>
      </c>
      <c r="G8" s="88">
        <v>202604</v>
      </c>
      <c r="H8" s="88"/>
      <c r="I8" s="88"/>
      <c r="J8" s="88"/>
      <c r="K8" s="88" t="s">
        <v>24</v>
      </c>
      <c r="L8" s="88"/>
      <c r="M8" s="88"/>
    </row>
    <row r="9" spans="1:13" x14ac:dyDescent="0.4">
      <c r="A9" s="88">
        <v>1</v>
      </c>
      <c r="B9" s="88" t="s">
        <v>262</v>
      </c>
      <c r="C9" s="88" t="s">
        <v>61</v>
      </c>
      <c r="D9" s="88" t="s">
        <v>5</v>
      </c>
      <c r="E9" s="88" t="s">
        <v>64</v>
      </c>
      <c r="F9" s="88" t="s">
        <v>62</v>
      </c>
      <c r="G9" s="88" t="s">
        <v>216</v>
      </c>
      <c r="H9" s="88"/>
      <c r="I9" s="88"/>
      <c r="J9" s="88"/>
      <c r="K9" s="88" t="s">
        <v>5</v>
      </c>
      <c r="L9" s="88"/>
      <c r="M9" s="88"/>
    </row>
    <row r="10" spans="1:13" x14ac:dyDescent="0.4">
      <c r="A10" s="88">
        <v>1</v>
      </c>
      <c r="B10" s="88" t="s">
        <v>263</v>
      </c>
      <c r="C10" s="88" t="s">
        <v>61</v>
      </c>
      <c r="D10" s="88" t="s">
        <v>9</v>
      </c>
      <c r="E10" s="88" t="s">
        <v>64</v>
      </c>
      <c r="F10" s="88" t="s">
        <v>62</v>
      </c>
      <c r="G10" s="88" t="s">
        <v>216</v>
      </c>
      <c r="H10" s="88"/>
      <c r="I10" s="88"/>
      <c r="J10" s="88"/>
      <c r="K10" s="88" t="s">
        <v>9</v>
      </c>
      <c r="L10" s="88"/>
      <c r="M10" s="88"/>
    </row>
    <row r="11" spans="1:13" x14ac:dyDescent="0.4">
      <c r="A11" s="88">
        <v>1</v>
      </c>
      <c r="B11" s="88" t="s">
        <v>264</v>
      </c>
      <c r="C11" s="88" t="s">
        <v>61</v>
      </c>
      <c r="D11" s="88" t="s">
        <v>26</v>
      </c>
      <c r="E11" s="88" t="s">
        <v>85</v>
      </c>
      <c r="F11" s="88" t="s">
        <v>62</v>
      </c>
      <c r="G11" s="88" t="s">
        <v>216</v>
      </c>
      <c r="H11" s="88"/>
      <c r="I11" s="88"/>
      <c r="J11" s="88"/>
      <c r="K11" s="88" t="s">
        <v>26</v>
      </c>
      <c r="L11" s="88"/>
      <c r="M11" s="88"/>
    </row>
    <row r="12" spans="1:13" x14ac:dyDescent="0.4">
      <c r="A12" s="88">
        <v>1</v>
      </c>
      <c r="B12" s="88" t="s">
        <v>265</v>
      </c>
      <c r="C12" s="88" t="s">
        <v>61</v>
      </c>
      <c r="D12" s="88" t="s">
        <v>27</v>
      </c>
      <c r="E12" s="88" t="s">
        <v>85</v>
      </c>
      <c r="F12" s="88" t="s">
        <v>62</v>
      </c>
      <c r="G12" s="88" t="s">
        <v>216</v>
      </c>
      <c r="H12" s="88"/>
      <c r="I12" s="88"/>
      <c r="J12" s="88"/>
      <c r="K12" s="88" t="s">
        <v>27</v>
      </c>
      <c r="L12" s="88"/>
      <c r="M12" s="88"/>
    </row>
    <row r="13" spans="1:13" x14ac:dyDescent="0.4">
      <c r="A13" s="88">
        <v>1</v>
      </c>
      <c r="B13" s="88" t="s">
        <v>266</v>
      </c>
      <c r="C13" s="88" t="s">
        <v>61</v>
      </c>
      <c r="D13" s="88" t="s">
        <v>25</v>
      </c>
      <c r="E13" s="88" t="s">
        <v>85</v>
      </c>
      <c r="F13" s="88" t="s">
        <v>62</v>
      </c>
      <c r="G13" s="88" t="s">
        <v>216</v>
      </c>
      <c r="H13" s="88"/>
      <c r="I13" s="88"/>
      <c r="J13" s="88"/>
      <c r="K13" s="88" t="s">
        <v>25</v>
      </c>
      <c r="L13" s="88"/>
      <c r="M13" s="88"/>
    </row>
    <row r="14" spans="1:13" x14ac:dyDescent="0.4">
      <c r="A14" s="88">
        <v>1</v>
      </c>
      <c r="B14" s="88" t="s">
        <v>142</v>
      </c>
      <c r="C14" s="88" t="s">
        <v>61</v>
      </c>
      <c r="D14" s="88" t="s">
        <v>28</v>
      </c>
      <c r="E14" s="88" t="s">
        <v>86</v>
      </c>
      <c r="F14" s="88" t="s">
        <v>62</v>
      </c>
      <c r="G14" s="88">
        <v>202605</v>
      </c>
      <c r="H14" s="88"/>
      <c r="I14" s="88"/>
      <c r="J14" s="88"/>
      <c r="K14" s="88" t="s">
        <v>28</v>
      </c>
      <c r="L14" s="88"/>
      <c r="M14" s="88"/>
    </row>
    <row r="15" spans="1:13" x14ac:dyDescent="0.4">
      <c r="A15" s="88">
        <v>1</v>
      </c>
      <c r="B15" s="88" t="s">
        <v>184</v>
      </c>
      <c r="C15" s="88" t="s">
        <v>61</v>
      </c>
      <c r="D15" s="88" t="s">
        <v>29</v>
      </c>
      <c r="E15" s="88" t="s">
        <v>86</v>
      </c>
      <c r="F15" s="88" t="s">
        <v>62</v>
      </c>
      <c r="G15" s="88">
        <v>202605</v>
      </c>
      <c r="H15" s="88"/>
      <c r="I15" s="88"/>
      <c r="J15" s="88"/>
      <c r="K15" s="88" t="s">
        <v>29</v>
      </c>
      <c r="L15" s="88"/>
      <c r="M15" s="88"/>
    </row>
    <row r="16" spans="1:13" x14ac:dyDescent="0.4">
      <c r="A16" s="88">
        <v>1</v>
      </c>
      <c r="B16" s="88" t="s">
        <v>190</v>
      </c>
      <c r="C16" s="88" t="s">
        <v>61</v>
      </c>
      <c r="D16" s="88" t="s">
        <v>31</v>
      </c>
      <c r="E16" s="88" t="s">
        <v>86</v>
      </c>
      <c r="F16" s="88" t="s">
        <v>62</v>
      </c>
      <c r="G16" s="88">
        <v>202605</v>
      </c>
      <c r="H16" s="88"/>
      <c r="I16" s="88"/>
      <c r="J16" s="88"/>
      <c r="K16" s="88" t="s">
        <v>31</v>
      </c>
      <c r="L16" s="88"/>
      <c r="M16" s="88"/>
    </row>
    <row r="17" spans="1:13" x14ac:dyDescent="0.4">
      <c r="A17" s="88">
        <v>1</v>
      </c>
      <c r="B17" s="88" t="s">
        <v>139</v>
      </c>
      <c r="C17" s="88" t="s">
        <v>61</v>
      </c>
      <c r="D17" s="88" t="s">
        <v>32</v>
      </c>
      <c r="E17" s="88" t="s">
        <v>68</v>
      </c>
      <c r="F17" s="88" t="s">
        <v>62</v>
      </c>
      <c r="G17" s="88">
        <v>202605</v>
      </c>
      <c r="H17" s="88"/>
      <c r="I17" s="88"/>
      <c r="J17" s="88"/>
      <c r="K17" s="88" t="s">
        <v>32</v>
      </c>
      <c r="L17" s="88"/>
      <c r="M17" s="88"/>
    </row>
    <row r="18" spans="1:13" x14ac:dyDescent="0.4">
      <c r="A18" s="88">
        <v>1</v>
      </c>
      <c r="B18" s="88" t="s">
        <v>187</v>
      </c>
      <c r="C18" s="88" t="s">
        <v>61</v>
      </c>
      <c r="D18" s="88" t="s">
        <v>33</v>
      </c>
      <c r="E18" s="88" t="s">
        <v>68</v>
      </c>
      <c r="F18" s="88" t="s">
        <v>62</v>
      </c>
      <c r="G18" s="88">
        <v>202605</v>
      </c>
      <c r="H18" s="88"/>
      <c r="I18" s="88"/>
      <c r="J18" s="88"/>
      <c r="K18" s="88" t="s">
        <v>33</v>
      </c>
      <c r="L18" s="88"/>
      <c r="M18" s="88"/>
    </row>
    <row r="19" spans="1:13" x14ac:dyDescent="0.4">
      <c r="A19" s="88">
        <v>1</v>
      </c>
      <c r="B19" s="88" t="s">
        <v>304</v>
      </c>
      <c r="C19" s="88" t="s">
        <v>61</v>
      </c>
      <c r="D19" s="88" t="s">
        <v>34</v>
      </c>
      <c r="E19" s="88" t="s">
        <v>68</v>
      </c>
      <c r="F19" s="88" t="s">
        <v>62</v>
      </c>
      <c r="G19" s="88">
        <v>202605</v>
      </c>
      <c r="H19" s="88"/>
      <c r="I19" s="88"/>
      <c r="J19" s="88"/>
      <c r="K19" s="88" t="s">
        <v>34</v>
      </c>
      <c r="L19" s="88"/>
      <c r="M19" s="88"/>
    </row>
    <row r="20" spans="1:13" x14ac:dyDescent="0.4">
      <c r="A20" s="88">
        <v>1</v>
      </c>
      <c r="B20" s="88" t="s">
        <v>194</v>
      </c>
      <c r="C20" s="88" t="s">
        <v>61</v>
      </c>
      <c r="D20" s="88" t="s">
        <v>69</v>
      </c>
      <c r="E20" s="88" t="s">
        <v>68</v>
      </c>
      <c r="F20" s="88" t="s">
        <v>62</v>
      </c>
      <c r="G20" s="88">
        <v>202605</v>
      </c>
      <c r="H20" s="88"/>
      <c r="I20" s="88"/>
      <c r="J20" s="88"/>
      <c r="K20" s="88" t="s">
        <v>69</v>
      </c>
      <c r="L20" s="88"/>
      <c r="M20" s="88"/>
    </row>
    <row r="21" spans="1:13" x14ac:dyDescent="0.4">
      <c r="A21" s="88">
        <v>1</v>
      </c>
      <c r="B21" s="88" t="s">
        <v>35</v>
      </c>
      <c r="C21" s="88" t="s">
        <v>61</v>
      </c>
      <c r="D21" s="88" t="s">
        <v>35</v>
      </c>
      <c r="E21" s="88" t="s">
        <v>83</v>
      </c>
      <c r="F21" s="88" t="s">
        <v>62</v>
      </c>
      <c r="G21" s="88">
        <v>202604</v>
      </c>
      <c r="H21" s="88"/>
      <c r="I21" s="88"/>
      <c r="J21" s="88"/>
      <c r="K21" s="88" t="s">
        <v>35</v>
      </c>
      <c r="L21" s="88"/>
      <c r="M21" s="88"/>
    </row>
    <row r="22" spans="1:13" x14ac:dyDescent="0.4">
      <c r="A22" s="88">
        <v>1</v>
      </c>
      <c r="B22" s="88" t="s">
        <v>36</v>
      </c>
      <c r="C22" s="88" t="s">
        <v>61</v>
      </c>
      <c r="D22" s="88" t="s">
        <v>36</v>
      </c>
      <c r="E22" s="88" t="s">
        <v>83</v>
      </c>
      <c r="F22" s="88" t="s">
        <v>62</v>
      </c>
      <c r="G22" s="88">
        <v>202605</v>
      </c>
      <c r="H22" s="88"/>
      <c r="I22" s="88"/>
      <c r="J22" s="88"/>
      <c r="K22" s="88" t="s">
        <v>36</v>
      </c>
      <c r="L22" s="88"/>
      <c r="M22" s="88"/>
    </row>
    <row r="23" spans="1:13" x14ac:dyDescent="0.4">
      <c r="A23" s="88">
        <v>1</v>
      </c>
      <c r="B23" s="88" t="s">
        <v>156</v>
      </c>
      <c r="C23" s="88" t="s">
        <v>61</v>
      </c>
      <c r="D23" s="88" t="s">
        <v>37</v>
      </c>
      <c r="E23" s="88" t="s">
        <v>83</v>
      </c>
      <c r="F23" s="88" t="s">
        <v>62</v>
      </c>
      <c r="G23" s="88">
        <v>202604</v>
      </c>
      <c r="H23" s="88"/>
      <c r="I23" s="88"/>
      <c r="J23" s="88"/>
      <c r="K23" s="88" t="s">
        <v>37</v>
      </c>
      <c r="L23" s="88"/>
      <c r="M23" s="88"/>
    </row>
    <row r="24" spans="1:13" x14ac:dyDescent="0.4">
      <c r="A24" s="88">
        <v>1</v>
      </c>
      <c r="B24" s="88" t="s">
        <v>272</v>
      </c>
      <c r="C24" s="88" t="s">
        <v>61</v>
      </c>
      <c r="D24" s="88" t="s">
        <v>38</v>
      </c>
      <c r="E24" s="88" t="s">
        <v>68</v>
      </c>
      <c r="F24" s="88" t="s">
        <v>62</v>
      </c>
      <c r="G24" s="88" t="s">
        <v>216</v>
      </c>
      <c r="H24" s="88"/>
      <c r="I24" s="88"/>
      <c r="J24" s="88"/>
      <c r="K24" s="88" t="s">
        <v>38</v>
      </c>
      <c r="L24" s="88"/>
      <c r="M24" s="88"/>
    </row>
    <row r="25" spans="1:13" x14ac:dyDescent="0.4">
      <c r="A25" s="88">
        <v>1</v>
      </c>
      <c r="B25" s="88" t="s">
        <v>267</v>
      </c>
      <c r="C25" s="88" t="s">
        <v>61</v>
      </c>
      <c r="D25" s="88" t="s">
        <v>42</v>
      </c>
      <c r="E25" s="88" t="s">
        <v>83</v>
      </c>
      <c r="F25" s="88" t="s">
        <v>62</v>
      </c>
      <c r="G25" s="88" t="s">
        <v>216</v>
      </c>
      <c r="H25" s="88"/>
      <c r="I25" s="88"/>
      <c r="J25" s="88"/>
      <c r="K25" s="88" t="s">
        <v>42</v>
      </c>
      <c r="L25" s="88"/>
      <c r="M25" s="88"/>
    </row>
    <row r="26" spans="1:13" x14ac:dyDescent="0.4">
      <c r="A26" s="88">
        <v>1</v>
      </c>
      <c r="B26" s="88" t="s">
        <v>268</v>
      </c>
      <c r="C26" s="88" t="s">
        <v>61</v>
      </c>
      <c r="D26" s="88" t="s">
        <v>40</v>
      </c>
      <c r="E26" s="88" t="s">
        <v>83</v>
      </c>
      <c r="F26" s="88" t="s">
        <v>62</v>
      </c>
      <c r="G26" s="88" t="s">
        <v>216</v>
      </c>
      <c r="H26" s="88"/>
      <c r="I26" s="88"/>
      <c r="J26" s="88"/>
      <c r="K26" s="88" t="s">
        <v>40</v>
      </c>
      <c r="L26" s="88"/>
      <c r="M26" s="88"/>
    </row>
    <row r="27" spans="1:13" x14ac:dyDescent="0.4">
      <c r="A27" s="88">
        <v>1</v>
      </c>
      <c r="B27" s="88" t="s">
        <v>269</v>
      </c>
      <c r="C27" s="88" t="s">
        <v>61</v>
      </c>
      <c r="D27" s="88" t="s">
        <v>43</v>
      </c>
      <c r="E27" s="88" t="s">
        <v>83</v>
      </c>
      <c r="F27" s="88" t="s">
        <v>62</v>
      </c>
      <c r="G27" s="88" t="s">
        <v>216</v>
      </c>
      <c r="H27" s="88"/>
      <c r="I27" s="88"/>
      <c r="J27" s="88"/>
      <c r="K27" s="88" t="s">
        <v>43</v>
      </c>
      <c r="L27" s="88"/>
      <c r="M27" s="88"/>
    </row>
    <row r="28" spans="1:13" x14ac:dyDescent="0.4">
      <c r="A28" s="88">
        <v>1</v>
      </c>
      <c r="B28" s="88" t="s">
        <v>270</v>
      </c>
      <c r="C28" s="88" t="s">
        <v>61</v>
      </c>
      <c r="D28" s="88" t="s">
        <v>41</v>
      </c>
      <c r="E28" s="88" t="s">
        <v>83</v>
      </c>
      <c r="F28" s="88" t="s">
        <v>62</v>
      </c>
      <c r="G28" s="88" t="s">
        <v>216</v>
      </c>
      <c r="H28" s="88"/>
      <c r="I28" s="88"/>
      <c r="J28" s="88"/>
      <c r="K28" s="88" t="s">
        <v>41</v>
      </c>
      <c r="L28" s="88"/>
      <c r="M28" s="88"/>
    </row>
    <row r="29" spans="1:13" x14ac:dyDescent="0.4">
      <c r="A29" s="88">
        <v>1</v>
      </c>
      <c r="B29" s="88" t="s">
        <v>271</v>
      </c>
      <c r="C29" s="88" t="s">
        <v>61</v>
      </c>
      <c r="D29" s="88" t="s">
        <v>39</v>
      </c>
      <c r="E29" s="88" t="s">
        <v>83</v>
      </c>
      <c r="F29" s="88" t="s">
        <v>62</v>
      </c>
      <c r="G29" s="88" t="s">
        <v>216</v>
      </c>
      <c r="H29" s="88"/>
      <c r="I29" s="88"/>
      <c r="J29" s="88"/>
      <c r="K29" s="88" t="s">
        <v>39</v>
      </c>
      <c r="L29" s="88"/>
      <c r="M29" s="88"/>
    </row>
    <row r="30" spans="1:13" x14ac:dyDescent="0.4">
      <c r="A30" s="88">
        <v>1</v>
      </c>
      <c r="B30" s="88" t="s">
        <v>274</v>
      </c>
      <c r="C30" s="88" t="s">
        <v>61</v>
      </c>
      <c r="D30" s="88" t="s">
        <v>46</v>
      </c>
      <c r="E30" s="88" t="s">
        <v>86</v>
      </c>
      <c r="F30" s="88" t="s">
        <v>62</v>
      </c>
      <c r="G30" s="88" t="s">
        <v>216</v>
      </c>
      <c r="H30" s="88"/>
      <c r="I30" s="88"/>
      <c r="J30" s="88"/>
      <c r="K30" s="88" t="s">
        <v>46</v>
      </c>
      <c r="L30" s="88"/>
      <c r="M30" s="88"/>
    </row>
    <row r="31" spans="1:13" x14ac:dyDescent="0.4">
      <c r="A31" s="88">
        <v>1</v>
      </c>
      <c r="B31" s="88" t="s">
        <v>275</v>
      </c>
      <c r="C31" s="88" t="s">
        <v>61</v>
      </c>
      <c r="D31" s="88" t="s">
        <v>71</v>
      </c>
      <c r="E31" s="88" t="s">
        <v>86</v>
      </c>
      <c r="F31" s="88" t="s">
        <v>62</v>
      </c>
      <c r="G31" s="88" t="s">
        <v>216</v>
      </c>
      <c r="H31" s="88"/>
      <c r="I31" s="88"/>
      <c r="J31" s="88"/>
      <c r="K31" s="88" t="s">
        <v>71</v>
      </c>
      <c r="L31" s="88"/>
      <c r="M31" s="88"/>
    </row>
    <row r="32" spans="1:13" x14ac:dyDescent="0.4">
      <c r="A32" s="88">
        <v>1</v>
      </c>
      <c r="B32" s="88" t="s">
        <v>259</v>
      </c>
      <c r="C32" s="88" t="s">
        <v>61</v>
      </c>
      <c r="D32" s="88" t="s">
        <v>251</v>
      </c>
      <c r="E32" s="88" t="s">
        <v>84</v>
      </c>
      <c r="F32" s="88" t="s">
        <v>59</v>
      </c>
      <c r="G32" s="88" t="s">
        <v>216</v>
      </c>
      <c r="H32" s="88"/>
      <c r="I32" s="88"/>
      <c r="J32" s="88"/>
      <c r="K32" s="88" t="s">
        <v>251</v>
      </c>
      <c r="L32" s="88"/>
      <c r="M32" s="88"/>
    </row>
    <row r="33" spans="1:13" x14ac:dyDescent="0.4">
      <c r="A33" s="88">
        <v>1</v>
      </c>
      <c r="B33" s="88" t="s">
        <v>260</v>
      </c>
      <c r="C33" s="88" t="s">
        <v>61</v>
      </c>
      <c r="D33" s="88" t="s">
        <v>252</v>
      </c>
      <c r="E33" s="88" t="s">
        <v>84</v>
      </c>
      <c r="F33" s="88" t="s">
        <v>59</v>
      </c>
      <c r="G33" s="88" t="s">
        <v>216</v>
      </c>
      <c r="H33" s="88"/>
      <c r="I33" s="88"/>
      <c r="J33" s="88"/>
      <c r="K33" s="88" t="s">
        <v>252</v>
      </c>
      <c r="L33" s="88"/>
      <c r="M33" s="88"/>
    </row>
    <row r="34" spans="1:13" x14ac:dyDescent="0.4">
      <c r="A34" s="88">
        <v>1</v>
      </c>
      <c r="B34" s="88" t="s">
        <v>261</v>
      </c>
      <c r="C34" s="88" t="s">
        <v>61</v>
      </c>
      <c r="D34" s="88" t="s">
        <v>253</v>
      </c>
      <c r="E34" s="88" t="s">
        <v>84</v>
      </c>
      <c r="F34" s="88" t="s">
        <v>59</v>
      </c>
      <c r="G34" s="88" t="s">
        <v>216</v>
      </c>
      <c r="H34" s="88"/>
      <c r="I34" s="88"/>
      <c r="J34" s="88"/>
      <c r="K34" s="88" t="s">
        <v>253</v>
      </c>
      <c r="M34" s="88"/>
    </row>
    <row r="35" spans="1:13" x14ac:dyDescent="0.4">
      <c r="A35" s="88">
        <v>1</v>
      </c>
      <c r="B35" s="9" t="s">
        <v>312</v>
      </c>
      <c r="C35" s="88" t="s">
        <v>197</v>
      </c>
      <c r="D35" s="88" t="s">
        <v>44</v>
      </c>
      <c r="E35" s="88" t="s">
        <v>201</v>
      </c>
      <c r="F35" s="88" t="s">
        <v>62</v>
      </c>
      <c r="L35" s="88"/>
      <c r="M35" s="88"/>
    </row>
    <row r="36" spans="1:13" x14ac:dyDescent="0.4">
      <c r="A36" s="88">
        <v>1</v>
      </c>
      <c r="B36" s="9" t="s">
        <v>198</v>
      </c>
      <c r="C36" s="88" t="s">
        <v>197</v>
      </c>
      <c r="D36" s="88" t="s">
        <v>45</v>
      </c>
      <c r="E36" s="88" t="s">
        <v>201</v>
      </c>
      <c r="F36" s="88" t="s">
        <v>62</v>
      </c>
      <c r="G36" s="88"/>
      <c r="H36" s="88"/>
      <c r="I36" s="88"/>
      <c r="J36" s="88"/>
      <c r="K36" s="88"/>
      <c r="L36" s="88"/>
      <c r="M36" s="88"/>
    </row>
    <row r="37" spans="1:13" x14ac:dyDescent="0.4">
      <c r="M37" s="88"/>
    </row>
    <row r="38" spans="1:13" x14ac:dyDescent="0.4">
      <c r="M38" s="88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/>
      <c r="D54" s="31"/>
      <c r="E54" s="31"/>
      <c r="F54" s="31"/>
      <c r="G54" s="31"/>
    </row>
    <row r="55" spans="3:7" x14ac:dyDescent="0.4">
      <c r="C55" s="31" t="s">
        <v>147</v>
      </c>
      <c r="D55" s="31" t="s">
        <v>27</v>
      </c>
      <c r="E55" s="31" t="s">
        <v>61</v>
      </c>
      <c r="F55" s="31" t="s">
        <v>85</v>
      </c>
      <c r="G55" s="31" t="s">
        <v>62</v>
      </c>
    </row>
    <row r="56" spans="3:7" x14ac:dyDescent="0.4">
      <c r="C56" s="31" t="s">
        <v>67</v>
      </c>
      <c r="D56" s="31" t="s">
        <v>67</v>
      </c>
      <c r="E56" s="31" t="s">
        <v>61</v>
      </c>
      <c r="F56" s="31" t="s">
        <v>64</v>
      </c>
      <c r="G56" s="31" t="s">
        <v>62</v>
      </c>
    </row>
    <row r="57" spans="3:7" x14ac:dyDescent="0.4">
      <c r="C57" s="31" t="s">
        <v>142</v>
      </c>
      <c r="D57" s="31" t="s">
        <v>28</v>
      </c>
      <c r="E57" s="31" t="s">
        <v>61</v>
      </c>
      <c r="F57" s="31" t="s">
        <v>86</v>
      </c>
      <c r="G57" s="31" t="s">
        <v>62</v>
      </c>
    </row>
    <row r="58" spans="3:7" x14ac:dyDescent="0.4">
      <c r="C58" s="31" t="s">
        <v>184</v>
      </c>
      <c r="D58" s="31" t="s">
        <v>29</v>
      </c>
      <c r="E58" s="31" t="s">
        <v>61</v>
      </c>
      <c r="F58" s="31" t="s">
        <v>86</v>
      </c>
      <c r="G58" s="31" t="s">
        <v>62</v>
      </c>
    </row>
    <row r="59" spans="3:7" x14ac:dyDescent="0.4">
      <c r="C59" s="31" t="s">
        <v>190</v>
      </c>
      <c r="D59" s="31" t="s">
        <v>31</v>
      </c>
      <c r="E59" s="31" t="s">
        <v>61</v>
      </c>
      <c r="F59" s="31" t="s">
        <v>86</v>
      </c>
      <c r="G59" s="31" t="s">
        <v>62</v>
      </c>
    </row>
    <row r="60" spans="3:7" x14ac:dyDescent="0.4">
      <c r="C60" s="31" t="s">
        <v>139</v>
      </c>
      <c r="D60" s="31" t="s">
        <v>32</v>
      </c>
      <c r="E60" s="31" t="s">
        <v>61</v>
      </c>
      <c r="F60" s="31" t="s">
        <v>68</v>
      </c>
      <c r="G60" s="31" t="s">
        <v>62</v>
      </c>
    </row>
    <row r="61" spans="3:7" x14ac:dyDescent="0.4">
      <c r="C61" s="31" t="s">
        <v>187</v>
      </c>
      <c r="D61" s="31" t="s">
        <v>33</v>
      </c>
      <c r="E61" s="31" t="s">
        <v>61</v>
      </c>
      <c r="F61" s="31" t="s">
        <v>68</v>
      </c>
      <c r="G61" s="31" t="s">
        <v>62</v>
      </c>
    </row>
    <row r="62" spans="3:7" x14ac:dyDescent="0.4">
      <c r="C62" s="31" t="s">
        <v>195</v>
      </c>
      <c r="D62" s="31" t="s">
        <v>34</v>
      </c>
      <c r="E62" s="31" t="s">
        <v>61</v>
      </c>
      <c r="F62" s="31" t="s">
        <v>68</v>
      </c>
      <c r="G62" s="31" t="s">
        <v>62</v>
      </c>
    </row>
    <row r="63" spans="3:7" x14ac:dyDescent="0.4">
      <c r="C63" s="31" t="s">
        <v>194</v>
      </c>
      <c r="D63" s="31" t="s">
        <v>69</v>
      </c>
      <c r="E63" s="31" t="s">
        <v>61</v>
      </c>
      <c r="F63" s="31" t="s">
        <v>68</v>
      </c>
      <c r="G63" s="31" t="s">
        <v>62</v>
      </c>
    </row>
    <row r="64" spans="3:7" x14ac:dyDescent="0.4">
      <c r="C64" s="31" t="s">
        <v>35</v>
      </c>
      <c r="D64" s="31" t="s">
        <v>35</v>
      </c>
      <c r="E64" s="31" t="s">
        <v>61</v>
      </c>
      <c r="F64" s="31" t="s">
        <v>83</v>
      </c>
      <c r="G64" s="31" t="s">
        <v>62</v>
      </c>
    </row>
    <row r="65" spans="3:7" x14ac:dyDescent="0.4">
      <c r="C65" s="31" t="s">
        <v>36</v>
      </c>
      <c r="D65" s="31" t="s">
        <v>36</v>
      </c>
      <c r="E65" s="31" t="s">
        <v>61</v>
      </c>
      <c r="F65" s="31" t="s">
        <v>83</v>
      </c>
      <c r="G65" s="31" t="s">
        <v>62</v>
      </c>
    </row>
    <row r="66" spans="3:7" x14ac:dyDescent="0.4">
      <c r="C66" s="31" t="s">
        <v>156</v>
      </c>
      <c r="D66" s="31" t="s">
        <v>37</v>
      </c>
      <c r="E66" s="31" t="s">
        <v>61</v>
      </c>
      <c r="F66" s="31" t="s">
        <v>83</v>
      </c>
      <c r="G66" s="31" t="s">
        <v>62</v>
      </c>
    </row>
    <row r="67" spans="3:7" ht="14.25" x14ac:dyDescent="0.45">
      <c r="C67"/>
      <c r="D67"/>
      <c r="E67"/>
      <c r="F67"/>
      <c r="G67"/>
    </row>
    <row r="68" spans="3:7" x14ac:dyDescent="0.4">
      <c r="C68" s="31" t="s">
        <v>70</v>
      </c>
      <c r="D68" s="31" t="s">
        <v>71</v>
      </c>
      <c r="E68" s="31" t="s">
        <v>61</v>
      </c>
      <c r="F68" s="31" t="s">
        <v>86</v>
      </c>
      <c r="G68" s="31" t="s">
        <v>62</v>
      </c>
    </row>
    <row r="69" spans="3:7" x14ac:dyDescent="0.4">
      <c r="C69" s="31" t="s">
        <v>46</v>
      </c>
      <c r="D69" s="31" t="s">
        <v>46</v>
      </c>
      <c r="E69" s="31" t="s">
        <v>61</v>
      </c>
      <c r="F69" s="31" t="s">
        <v>86</v>
      </c>
      <c r="G69" s="31" t="s">
        <v>62</v>
      </c>
    </row>
    <row r="70" spans="3:7" x14ac:dyDescent="0.4">
      <c r="C70" s="31" t="s">
        <v>72</v>
      </c>
      <c r="D70" s="31" t="s">
        <v>73</v>
      </c>
      <c r="E70" s="31" t="s">
        <v>61</v>
      </c>
      <c r="F70" s="31" t="s">
        <v>84</v>
      </c>
      <c r="G70" s="31" t="s">
        <v>59</v>
      </c>
    </row>
    <row r="71" spans="3:7" x14ac:dyDescent="0.4">
      <c r="C71" s="31" t="s">
        <v>74</v>
      </c>
      <c r="D71" s="31" t="s">
        <v>75</v>
      </c>
      <c r="E71" s="31" t="s">
        <v>61</v>
      </c>
      <c r="F71" s="31" t="s">
        <v>84</v>
      </c>
      <c r="G71" s="31" t="s">
        <v>59</v>
      </c>
    </row>
    <row r="72" spans="3:7" x14ac:dyDescent="0.4">
      <c r="C72" s="31" t="s">
        <v>76</v>
      </c>
      <c r="D72" s="31" t="s">
        <v>47</v>
      </c>
      <c r="E72" s="31" t="s">
        <v>61</v>
      </c>
      <c r="F72" s="31" t="s">
        <v>84</v>
      </c>
      <c r="G72" s="31" t="s">
        <v>59</v>
      </c>
    </row>
    <row r="73" spans="3:7" x14ac:dyDescent="0.4">
      <c r="C73" s="31" t="s">
        <v>77</v>
      </c>
      <c r="D73" s="31" t="s">
        <v>38</v>
      </c>
      <c r="E73" s="31" t="s">
        <v>61</v>
      </c>
      <c r="F73" s="31" t="s">
        <v>68</v>
      </c>
      <c r="G73" s="31" t="s">
        <v>62</v>
      </c>
    </row>
    <row r="74" spans="3:7" x14ac:dyDescent="0.4">
      <c r="C74" s="31" t="s">
        <v>42</v>
      </c>
      <c r="D74" s="31" t="s">
        <v>59</v>
      </c>
      <c r="E74" s="31" t="s">
        <v>61</v>
      </c>
      <c r="F74" s="31" t="s">
        <v>83</v>
      </c>
      <c r="G74" s="31" t="s">
        <v>62</v>
      </c>
    </row>
    <row r="75" spans="3:7" x14ac:dyDescent="0.4">
      <c r="C75" s="31" t="s">
        <v>40</v>
      </c>
      <c r="D75" s="31" t="s">
        <v>78</v>
      </c>
      <c r="E75" s="31" t="s">
        <v>61</v>
      </c>
      <c r="F75" s="31" t="s">
        <v>83</v>
      </c>
      <c r="G75" s="31" t="s">
        <v>62</v>
      </c>
    </row>
    <row r="76" spans="3:7" x14ac:dyDescent="0.4">
      <c r="C76" s="31" t="s">
        <v>43</v>
      </c>
      <c r="D76" s="31" t="s">
        <v>60</v>
      </c>
      <c r="E76" s="31" t="s">
        <v>61</v>
      </c>
      <c r="F76" s="31" t="s">
        <v>83</v>
      </c>
      <c r="G76" s="31" t="s">
        <v>62</v>
      </c>
    </row>
    <row r="77" spans="3:7" x14ac:dyDescent="0.4">
      <c r="C77" s="31" t="s">
        <v>79</v>
      </c>
      <c r="D77" s="31" t="s">
        <v>80</v>
      </c>
      <c r="E77" s="31" t="s">
        <v>61</v>
      </c>
      <c r="F77" s="31" t="s">
        <v>83</v>
      </c>
      <c r="G77" s="31" t="s">
        <v>62</v>
      </c>
    </row>
    <row r="78" spans="3:7" x14ac:dyDescent="0.4">
      <c r="C78" s="31" t="s">
        <v>81</v>
      </c>
      <c r="D78" s="31" t="s">
        <v>82</v>
      </c>
      <c r="E78" s="31" t="s">
        <v>61</v>
      </c>
      <c r="F78" s="31" t="s">
        <v>83</v>
      </c>
      <c r="G78" s="31" t="s">
        <v>62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>
      <selection activeCell="C19" sqref="C19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228</v>
      </c>
      <c r="B1" s="86" t="s">
        <v>246</v>
      </c>
      <c r="C1" s="86" t="s">
        <v>227</v>
      </c>
      <c r="D1" s="86" t="s">
        <v>226</v>
      </c>
      <c r="E1" s="86" t="s">
        <v>218</v>
      </c>
      <c r="F1" s="86" t="s">
        <v>225</v>
      </c>
      <c r="G1" s="86" t="s">
        <v>224</v>
      </c>
      <c r="H1" s="86" t="s">
        <v>245</v>
      </c>
      <c r="I1" s="86" t="s">
        <v>244</v>
      </c>
      <c r="J1" s="86" t="s">
        <v>243</v>
      </c>
      <c r="K1" s="86" t="s">
        <v>242</v>
      </c>
      <c r="L1" s="86" t="s">
        <v>241</v>
      </c>
      <c r="M1" s="86" t="s">
        <v>240</v>
      </c>
      <c r="N1" s="86" t="s">
        <v>239</v>
      </c>
      <c r="O1" s="86" t="s">
        <v>238</v>
      </c>
      <c r="P1" s="86" t="s">
        <v>237</v>
      </c>
      <c r="Q1" s="86" t="s">
        <v>236</v>
      </c>
      <c r="R1" s="86" t="s">
        <v>235</v>
      </c>
      <c r="S1" s="86" t="s">
        <v>234</v>
      </c>
      <c r="T1" s="86" t="s">
        <v>233</v>
      </c>
      <c r="U1" s="86" t="s">
        <v>232</v>
      </c>
      <c r="V1" s="86" t="s">
        <v>231</v>
      </c>
      <c r="W1" s="86" t="s">
        <v>230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254</v>
      </c>
      <c r="B2" s="81">
        <v>649180678</v>
      </c>
      <c r="C2" s="81" t="s">
        <v>61</v>
      </c>
      <c r="D2" s="81" t="s">
        <v>21</v>
      </c>
      <c r="E2" s="81" t="s">
        <v>276</v>
      </c>
      <c r="F2" s="81" t="s">
        <v>83</v>
      </c>
      <c r="G2" s="81" t="s">
        <v>62</v>
      </c>
      <c r="H2" s="91">
        <v>6842.5</v>
      </c>
      <c r="I2" s="91">
        <v>6841.75</v>
      </c>
      <c r="J2" s="91">
        <v>6842.75</v>
      </c>
      <c r="K2" s="91">
        <v>6842.25</v>
      </c>
      <c r="L2" s="91">
        <v>6794</v>
      </c>
      <c r="M2" s="91">
        <v>6742.5</v>
      </c>
      <c r="N2" s="91">
        <v>6869.75</v>
      </c>
      <c r="O2" s="91">
        <v>6631.5</v>
      </c>
      <c r="P2" s="91">
        <v>48568</v>
      </c>
      <c r="Q2" s="91"/>
      <c r="R2" s="91"/>
      <c r="S2" s="91"/>
      <c r="T2" s="91"/>
      <c r="U2" s="91"/>
      <c r="V2" s="85">
        <v>46090.869606481479</v>
      </c>
      <c r="W2" s="81" t="s">
        <v>277</v>
      </c>
      <c r="X2" s="81"/>
      <c r="Y2" s="81"/>
      <c r="Z2" s="81"/>
    </row>
    <row r="3" spans="1:32" x14ac:dyDescent="0.4">
      <c r="A3" s="81" t="s">
        <v>255</v>
      </c>
      <c r="B3" s="81">
        <v>750150196</v>
      </c>
      <c r="C3" s="81" t="s">
        <v>61</v>
      </c>
      <c r="D3" s="81" t="s">
        <v>22</v>
      </c>
      <c r="E3" s="81" t="s">
        <v>278</v>
      </c>
      <c r="F3" s="81" t="s">
        <v>83</v>
      </c>
      <c r="G3" s="81" t="s">
        <v>62</v>
      </c>
      <c r="H3" s="91">
        <v>25164.75</v>
      </c>
      <c r="I3" s="91">
        <v>25159.25</v>
      </c>
      <c r="J3" s="91">
        <v>25163.75</v>
      </c>
      <c r="K3" s="91">
        <v>25161.5</v>
      </c>
      <c r="L3" s="91">
        <v>24883.25</v>
      </c>
      <c r="M3" s="91">
        <v>24764.75</v>
      </c>
      <c r="N3" s="91">
        <v>25271.25</v>
      </c>
      <c r="O3" s="91">
        <v>24212.25</v>
      </c>
      <c r="P3" s="91">
        <v>9846</v>
      </c>
      <c r="Q3" s="91"/>
      <c r="R3" s="91"/>
      <c r="S3" s="91"/>
      <c r="T3" s="91"/>
      <c r="U3" s="91"/>
      <c r="V3" s="85">
        <v>46090.869606481479</v>
      </c>
      <c r="W3" s="81" t="s">
        <v>277</v>
      </c>
      <c r="X3" s="81"/>
      <c r="Y3" s="81"/>
      <c r="Z3" s="81"/>
    </row>
    <row r="4" spans="1:32" x14ac:dyDescent="0.4">
      <c r="A4" s="81" t="s">
        <v>256</v>
      </c>
      <c r="B4" s="81">
        <v>770561234</v>
      </c>
      <c r="C4" s="81" t="s">
        <v>61</v>
      </c>
      <c r="D4" s="81" t="s">
        <v>23</v>
      </c>
      <c r="E4" s="81" t="s">
        <v>279</v>
      </c>
      <c r="F4" s="81" t="s">
        <v>83</v>
      </c>
      <c r="G4" s="81" t="s">
        <v>62</v>
      </c>
      <c r="H4" s="91">
        <v>2569.4</v>
      </c>
      <c r="I4" s="91">
        <v>2569.5</v>
      </c>
      <c r="J4" s="91">
        <v>2570.1999999999998</v>
      </c>
      <c r="K4" s="91">
        <v>2569.85</v>
      </c>
      <c r="L4" s="91">
        <v>2543.4</v>
      </c>
      <c r="M4" s="91">
        <v>2524.9</v>
      </c>
      <c r="N4" s="91">
        <v>2580.5</v>
      </c>
      <c r="O4" s="91">
        <v>2434</v>
      </c>
      <c r="P4" s="91">
        <v>4749</v>
      </c>
      <c r="Q4" s="91"/>
      <c r="R4" s="91"/>
      <c r="S4" s="91"/>
      <c r="T4" s="91"/>
      <c r="U4" s="91"/>
      <c r="V4" s="85">
        <v>46090.869606481479</v>
      </c>
      <c r="W4" s="81" t="s">
        <v>277</v>
      </c>
      <c r="X4" s="81"/>
      <c r="Y4" s="81"/>
      <c r="Z4" s="81"/>
    </row>
    <row r="5" spans="1:32" x14ac:dyDescent="0.4">
      <c r="A5" s="81" t="s">
        <v>257</v>
      </c>
      <c r="B5" s="81">
        <v>638120304</v>
      </c>
      <c r="C5" s="81" t="s">
        <v>61</v>
      </c>
      <c r="D5" s="81" t="s">
        <v>63</v>
      </c>
      <c r="E5" s="81" t="s">
        <v>280</v>
      </c>
      <c r="F5" s="81" t="s">
        <v>84</v>
      </c>
      <c r="G5" s="81" t="s">
        <v>59</v>
      </c>
      <c r="H5" s="91">
        <v>5728</v>
      </c>
      <c r="I5" s="91">
        <v>5732</v>
      </c>
      <c r="J5" s="91">
        <v>5736</v>
      </c>
      <c r="K5" s="91">
        <v>5734</v>
      </c>
      <c r="L5" s="91">
        <v>5645</v>
      </c>
      <c r="M5" s="91">
        <v>5545</v>
      </c>
      <c r="N5" s="91">
        <v>5759</v>
      </c>
      <c r="O5" s="91">
        <v>5463</v>
      </c>
      <c r="P5" s="91">
        <v>6993</v>
      </c>
      <c r="Q5" s="91"/>
      <c r="R5" s="91"/>
      <c r="S5" s="91"/>
      <c r="T5" s="91"/>
      <c r="U5" s="91"/>
      <c r="V5" s="85">
        <v>46090.869606481479</v>
      </c>
      <c r="W5" s="81" t="s">
        <v>277</v>
      </c>
      <c r="X5" s="81"/>
      <c r="Y5" s="81"/>
      <c r="Z5" s="81"/>
    </row>
    <row r="6" spans="1:32" x14ac:dyDescent="0.4">
      <c r="A6" s="81" t="s">
        <v>258</v>
      </c>
      <c r="B6" s="81">
        <v>638120262</v>
      </c>
      <c r="C6" s="81" t="s">
        <v>61</v>
      </c>
      <c r="D6" s="81" t="s">
        <v>65</v>
      </c>
      <c r="E6" s="81" t="s">
        <v>281</v>
      </c>
      <c r="F6" s="81" t="s">
        <v>84</v>
      </c>
      <c r="G6" s="81" t="s">
        <v>59</v>
      </c>
      <c r="H6" s="91">
        <v>24017</v>
      </c>
      <c r="I6" s="91">
        <v>24023</v>
      </c>
      <c r="J6" s="91">
        <v>24045</v>
      </c>
      <c r="K6" s="91">
        <v>24034</v>
      </c>
      <c r="L6" s="91">
        <v>23768</v>
      </c>
      <c r="M6" s="91">
        <v>23369</v>
      </c>
      <c r="N6" s="91">
        <v>24160</v>
      </c>
      <c r="O6" s="91">
        <v>22955</v>
      </c>
      <c r="P6" s="91">
        <v>144</v>
      </c>
      <c r="Q6" s="91"/>
      <c r="R6" s="91"/>
      <c r="S6" s="91"/>
      <c r="T6" s="91"/>
      <c r="U6" s="91"/>
      <c r="V6" s="85">
        <v>46090.869606481479</v>
      </c>
      <c r="W6" s="81" t="s">
        <v>277</v>
      </c>
      <c r="X6" s="81"/>
      <c r="Y6" s="81"/>
      <c r="Z6" s="81"/>
    </row>
    <row r="7" spans="1:32" x14ac:dyDescent="0.4">
      <c r="A7" s="1" t="s">
        <v>273</v>
      </c>
      <c r="B7" s="1">
        <v>635680486</v>
      </c>
      <c r="C7" s="1" t="s">
        <v>61</v>
      </c>
      <c r="D7" s="1" t="s">
        <v>66</v>
      </c>
      <c r="E7" s="1" t="s">
        <v>310</v>
      </c>
      <c r="F7" s="1" t="s">
        <v>83</v>
      </c>
      <c r="G7" s="1" t="s">
        <v>60</v>
      </c>
      <c r="H7" s="93">
        <v>54405</v>
      </c>
      <c r="I7" s="93">
        <v>54390</v>
      </c>
      <c r="J7" s="93">
        <v>54410</v>
      </c>
      <c r="K7" s="93">
        <v>54400</v>
      </c>
      <c r="L7" s="93">
        <v>53800</v>
      </c>
      <c r="M7" s="93">
        <v>53130</v>
      </c>
      <c r="N7" s="93">
        <v>54710</v>
      </c>
      <c r="O7" s="93">
        <v>51025</v>
      </c>
      <c r="P7" s="93">
        <v>12345</v>
      </c>
      <c r="Q7" s="93"/>
      <c r="R7" s="93"/>
      <c r="S7" s="93"/>
      <c r="T7" s="93"/>
      <c r="U7" s="93"/>
      <c r="V7" s="92">
        <v>46090.869606481479</v>
      </c>
      <c r="W7" s="1" t="s">
        <v>277</v>
      </c>
    </row>
    <row r="8" spans="1:32" x14ac:dyDescent="0.4">
      <c r="A8" s="1" t="s">
        <v>186</v>
      </c>
      <c r="B8" s="1">
        <v>304037436</v>
      </c>
      <c r="C8" s="1" t="s">
        <v>61</v>
      </c>
      <c r="D8" s="1" t="s">
        <v>24</v>
      </c>
      <c r="E8" s="1" t="s">
        <v>282</v>
      </c>
      <c r="F8" s="1" t="s">
        <v>64</v>
      </c>
      <c r="G8" s="1" t="s">
        <v>62</v>
      </c>
      <c r="H8" s="93">
        <v>86</v>
      </c>
      <c r="I8" s="93">
        <v>85.91</v>
      </c>
      <c r="J8" s="93">
        <v>86.04</v>
      </c>
      <c r="K8" s="93">
        <v>85.974999999999994</v>
      </c>
      <c r="L8" s="93">
        <v>90.9</v>
      </c>
      <c r="M8" s="93">
        <v>98</v>
      </c>
      <c r="N8" s="93">
        <v>119.48</v>
      </c>
      <c r="O8" s="93">
        <v>81.19</v>
      </c>
      <c r="P8" s="93">
        <v>1016579</v>
      </c>
      <c r="Q8" s="93"/>
      <c r="R8" s="93"/>
      <c r="S8" s="93"/>
      <c r="T8" s="93"/>
      <c r="U8" s="93"/>
      <c r="V8" s="92">
        <v>46090.869606481479</v>
      </c>
      <c r="W8" s="1" t="s">
        <v>277</v>
      </c>
    </row>
    <row r="9" spans="1:32" x14ac:dyDescent="0.4">
      <c r="A9" s="1" t="s">
        <v>262</v>
      </c>
      <c r="B9" s="1">
        <v>269460069</v>
      </c>
      <c r="C9" s="1" t="s">
        <v>61</v>
      </c>
      <c r="D9" s="1" t="s">
        <v>5</v>
      </c>
      <c r="E9" s="1" t="s">
        <v>283</v>
      </c>
      <c r="F9" s="1" t="s">
        <v>64</v>
      </c>
      <c r="G9" s="1" t="s">
        <v>62</v>
      </c>
      <c r="H9" s="93">
        <v>3.214</v>
      </c>
      <c r="I9" s="93">
        <v>3.214</v>
      </c>
      <c r="J9" s="93">
        <v>3.2170000000000001</v>
      </c>
      <c r="K9" s="93">
        <v>3.2155</v>
      </c>
      <c r="L9" s="93">
        <v>3.351</v>
      </c>
      <c r="M9" s="93">
        <v>3.4289999999999998</v>
      </c>
      <c r="N9" s="93">
        <v>3.6219999999999999</v>
      </c>
      <c r="O9" s="93">
        <v>3.2050000000000001</v>
      </c>
      <c r="P9" s="93">
        <v>54695</v>
      </c>
      <c r="Q9" s="93"/>
      <c r="R9" s="93"/>
      <c r="S9" s="93"/>
      <c r="T9" s="93"/>
      <c r="U9" s="93"/>
      <c r="V9" s="92">
        <v>46090.869606481479</v>
      </c>
      <c r="W9" s="1" t="s">
        <v>277</v>
      </c>
    </row>
    <row r="10" spans="1:32" x14ac:dyDescent="0.4">
      <c r="A10" s="1" t="s">
        <v>263</v>
      </c>
      <c r="B10" s="1">
        <v>600696533</v>
      </c>
      <c r="C10" s="1" t="s">
        <v>61</v>
      </c>
      <c r="D10" s="1" t="s">
        <v>9</v>
      </c>
      <c r="E10" s="1" t="s">
        <v>284</v>
      </c>
      <c r="F10" s="1" t="s">
        <v>64</v>
      </c>
      <c r="G10" s="1" t="s">
        <v>62</v>
      </c>
      <c r="H10" s="93">
        <v>2.5518000000000001</v>
      </c>
      <c r="I10" s="93">
        <v>2.5472000000000001</v>
      </c>
      <c r="J10" s="93">
        <v>2.5529999999999999</v>
      </c>
      <c r="K10" s="93">
        <v>2.5501</v>
      </c>
      <c r="L10" s="93">
        <v>2.6303999999999998</v>
      </c>
      <c r="M10" s="93">
        <v>2.7</v>
      </c>
      <c r="N10" s="93">
        <v>3.0407000000000002</v>
      </c>
      <c r="O10" s="93">
        <v>2.4373999999999998</v>
      </c>
      <c r="P10" s="93">
        <v>120434</v>
      </c>
      <c r="Q10" s="93"/>
      <c r="R10" s="93"/>
      <c r="S10" s="93"/>
      <c r="T10" s="93"/>
      <c r="U10" s="93"/>
      <c r="V10" s="92">
        <v>46090.869606481479</v>
      </c>
      <c r="W10" s="1" t="s">
        <v>277</v>
      </c>
    </row>
    <row r="11" spans="1:32" x14ac:dyDescent="0.4">
      <c r="A11" s="1" t="s">
        <v>264</v>
      </c>
      <c r="B11" s="1">
        <v>430360630</v>
      </c>
      <c r="C11" s="1" t="s">
        <v>61</v>
      </c>
      <c r="D11" s="1" t="s">
        <v>26</v>
      </c>
      <c r="E11" s="1" t="s">
        <v>285</v>
      </c>
      <c r="F11" s="1" t="s">
        <v>85</v>
      </c>
      <c r="G11" s="1" t="s">
        <v>62</v>
      </c>
      <c r="H11" s="93">
        <v>5181.5</v>
      </c>
      <c r="I11" s="93">
        <v>5181.3999999999996</v>
      </c>
      <c r="J11" s="93">
        <v>5182.1000000000004</v>
      </c>
      <c r="K11" s="93">
        <v>5181.75</v>
      </c>
      <c r="L11" s="93">
        <v>5197.8999999999996</v>
      </c>
      <c r="M11" s="93">
        <v>5236</v>
      </c>
      <c r="N11" s="93">
        <v>5244.3</v>
      </c>
      <c r="O11" s="93">
        <v>5060</v>
      </c>
      <c r="P11" s="93">
        <v>31318</v>
      </c>
      <c r="Q11" s="93"/>
      <c r="R11" s="93"/>
      <c r="S11" s="93"/>
      <c r="T11" s="93"/>
      <c r="U11" s="93"/>
      <c r="V11" s="92">
        <v>46090.869606481479</v>
      </c>
      <c r="W11" s="1" t="s">
        <v>277</v>
      </c>
    </row>
    <row r="12" spans="1:32" x14ac:dyDescent="0.4">
      <c r="A12" s="1" t="s">
        <v>265</v>
      </c>
      <c r="B12" s="1">
        <v>760200596</v>
      </c>
      <c r="C12" s="1" t="s">
        <v>61</v>
      </c>
      <c r="D12" s="1" t="s">
        <v>27</v>
      </c>
      <c r="E12" s="1" t="s">
        <v>286</v>
      </c>
      <c r="F12" s="1" t="s">
        <v>85</v>
      </c>
      <c r="G12" s="1" t="s">
        <v>62</v>
      </c>
      <c r="H12" s="93">
        <v>86.76</v>
      </c>
      <c r="I12" s="93">
        <v>86.644999999999996</v>
      </c>
      <c r="J12" s="93">
        <v>86.69</v>
      </c>
      <c r="K12" s="93">
        <v>86.66749999999999</v>
      </c>
      <c r="L12" s="93">
        <v>84.62</v>
      </c>
      <c r="M12" s="93">
        <v>84.805000000000007</v>
      </c>
      <c r="N12" s="93">
        <v>87.185000000000002</v>
      </c>
      <c r="O12" s="93">
        <v>80</v>
      </c>
      <c r="P12" s="93">
        <v>331</v>
      </c>
      <c r="Q12" s="93"/>
      <c r="R12" s="93"/>
      <c r="S12" s="93"/>
      <c r="T12" s="93"/>
      <c r="U12" s="93"/>
      <c r="V12" s="92">
        <v>46090.869606481479</v>
      </c>
      <c r="W12" s="1" t="s">
        <v>277</v>
      </c>
    </row>
    <row r="13" spans="1:32" x14ac:dyDescent="0.4">
      <c r="A13" s="1" t="s">
        <v>266</v>
      </c>
      <c r="B13" s="1">
        <v>712565973</v>
      </c>
      <c r="C13" s="1" t="s">
        <v>61</v>
      </c>
      <c r="D13" s="1" t="s">
        <v>25</v>
      </c>
      <c r="E13" s="1" t="s">
        <v>287</v>
      </c>
      <c r="F13" s="1" t="s">
        <v>85</v>
      </c>
      <c r="G13" s="1" t="s">
        <v>62</v>
      </c>
      <c r="H13" s="93">
        <v>5.8784999999999998</v>
      </c>
      <c r="I13" s="93">
        <v>5.8985000000000003</v>
      </c>
      <c r="J13" s="93">
        <v>5.9</v>
      </c>
      <c r="K13" s="93">
        <v>5.8992500000000003</v>
      </c>
      <c r="L13" s="93">
        <v>5.835</v>
      </c>
      <c r="M13" s="93">
        <v>5.8</v>
      </c>
      <c r="N13" s="93">
        <v>5.8784999999999998</v>
      </c>
      <c r="O13" s="93">
        <v>5.6784999999999997</v>
      </c>
      <c r="P13" s="93">
        <v>547</v>
      </c>
      <c r="Q13" s="93"/>
      <c r="R13" s="93"/>
      <c r="S13" s="93"/>
      <c r="T13" s="93"/>
      <c r="U13" s="93"/>
      <c r="V13" s="92">
        <v>46090.869606481479</v>
      </c>
      <c r="W13" s="1" t="s">
        <v>277</v>
      </c>
    </row>
    <row r="14" spans="1:32" x14ac:dyDescent="0.4">
      <c r="A14" s="1" t="s">
        <v>142</v>
      </c>
      <c r="B14" s="1">
        <v>671574022</v>
      </c>
      <c r="C14" s="1" t="s">
        <v>61</v>
      </c>
      <c r="D14" s="1" t="s">
        <v>28</v>
      </c>
      <c r="E14" s="1" t="s">
        <v>299</v>
      </c>
      <c r="F14" s="1" t="s">
        <v>86</v>
      </c>
      <c r="G14" s="1" t="s">
        <v>62</v>
      </c>
      <c r="H14" s="93">
        <v>453.25</v>
      </c>
      <c r="I14" s="93">
        <v>-100</v>
      </c>
      <c r="J14" s="93">
        <v>-100</v>
      </c>
      <c r="K14" s="93">
        <v>-100</v>
      </c>
      <c r="L14" s="93">
        <v>460.5</v>
      </c>
      <c r="M14" s="93">
        <v>464</v>
      </c>
      <c r="N14" s="93">
        <v>476</v>
      </c>
      <c r="O14" s="93">
        <v>453</v>
      </c>
      <c r="P14" s="93">
        <v>411655</v>
      </c>
      <c r="Q14" s="93"/>
      <c r="R14" s="93"/>
      <c r="S14" s="93"/>
      <c r="T14" s="93"/>
      <c r="U14" s="93"/>
      <c r="V14" s="92">
        <v>46090.869606481479</v>
      </c>
      <c r="W14" s="1" t="s">
        <v>277</v>
      </c>
    </row>
    <row r="15" spans="1:32" x14ac:dyDescent="0.4">
      <c r="A15" s="1" t="s">
        <v>184</v>
      </c>
      <c r="B15" s="1">
        <v>642254817</v>
      </c>
      <c r="C15" s="1" t="s">
        <v>61</v>
      </c>
      <c r="D15" s="1" t="s">
        <v>29</v>
      </c>
      <c r="E15" s="1" t="s">
        <v>300</v>
      </c>
      <c r="F15" s="1" t="s">
        <v>86</v>
      </c>
      <c r="G15" s="1" t="s">
        <v>62</v>
      </c>
      <c r="H15" s="93">
        <v>602.5</v>
      </c>
      <c r="I15" s="93">
        <v>-100</v>
      </c>
      <c r="J15" s="93">
        <v>-100</v>
      </c>
      <c r="K15" s="93">
        <v>-100</v>
      </c>
      <c r="L15" s="93">
        <v>616.75</v>
      </c>
      <c r="M15" s="93">
        <v>625</v>
      </c>
      <c r="N15" s="93">
        <v>641.75</v>
      </c>
      <c r="O15" s="93">
        <v>601.25</v>
      </c>
      <c r="P15" s="93">
        <v>159696</v>
      </c>
      <c r="Q15" s="93"/>
      <c r="R15" s="93"/>
      <c r="S15" s="93"/>
      <c r="T15" s="93"/>
      <c r="U15" s="93"/>
      <c r="V15" s="92">
        <v>46090.869606481479</v>
      </c>
      <c r="W15" s="1" t="s">
        <v>277</v>
      </c>
    </row>
    <row r="16" spans="1:32" x14ac:dyDescent="0.4">
      <c r="A16" s="1" t="s">
        <v>190</v>
      </c>
      <c r="B16" s="1">
        <v>665643569</v>
      </c>
      <c r="C16" s="1" t="s">
        <v>61</v>
      </c>
      <c r="D16" s="1" t="s">
        <v>31</v>
      </c>
      <c r="E16" s="1" t="s">
        <v>301</v>
      </c>
      <c r="F16" s="1" t="s">
        <v>86</v>
      </c>
      <c r="G16" s="1" t="s">
        <v>62</v>
      </c>
      <c r="H16" s="93">
        <v>1196.25</v>
      </c>
      <c r="I16" s="93">
        <v>-100</v>
      </c>
      <c r="J16" s="93">
        <v>-100</v>
      </c>
      <c r="K16" s="93">
        <v>-100</v>
      </c>
      <c r="L16" s="93">
        <v>1200.75</v>
      </c>
      <c r="M16" s="93">
        <v>1219.5</v>
      </c>
      <c r="N16" s="93">
        <v>1233.75</v>
      </c>
      <c r="O16" s="93">
        <v>1193</v>
      </c>
      <c r="P16" s="93">
        <v>185177</v>
      </c>
      <c r="Q16" s="93"/>
      <c r="R16" s="93"/>
      <c r="S16" s="93"/>
      <c r="T16" s="93"/>
      <c r="U16" s="93"/>
      <c r="V16" s="92">
        <v>46090.869606481479</v>
      </c>
      <c r="W16" s="1" t="s">
        <v>277</v>
      </c>
    </row>
    <row r="17" spans="1:23" x14ac:dyDescent="0.4">
      <c r="A17" s="1" t="s">
        <v>139</v>
      </c>
      <c r="B17" s="1">
        <v>634760175</v>
      </c>
      <c r="C17" s="1" t="s">
        <v>61</v>
      </c>
      <c r="D17" s="1" t="s">
        <v>32</v>
      </c>
      <c r="E17" s="1" t="s">
        <v>302</v>
      </c>
      <c r="F17" s="1" t="s">
        <v>68</v>
      </c>
      <c r="G17" s="1" t="s">
        <v>62</v>
      </c>
      <c r="H17" s="93">
        <v>14.62</v>
      </c>
      <c r="I17" s="93">
        <v>-100</v>
      </c>
      <c r="J17" s="93">
        <v>-100</v>
      </c>
      <c r="K17" s="93">
        <v>-100</v>
      </c>
      <c r="L17" s="93">
        <v>14.1</v>
      </c>
      <c r="M17" s="93">
        <v>14.26</v>
      </c>
      <c r="N17" s="93">
        <v>14.64</v>
      </c>
      <c r="O17" s="93">
        <v>14.25</v>
      </c>
      <c r="P17" s="93">
        <v>149066</v>
      </c>
      <c r="Q17" s="93"/>
      <c r="R17" s="93"/>
      <c r="S17" s="93"/>
      <c r="T17" s="93"/>
      <c r="U17" s="93"/>
      <c r="V17" s="92">
        <v>46090.869606481479</v>
      </c>
      <c r="W17" s="1" t="s">
        <v>277</v>
      </c>
    </row>
    <row r="18" spans="1:23" x14ac:dyDescent="0.4">
      <c r="A18" s="1" t="s">
        <v>187</v>
      </c>
      <c r="B18" s="1">
        <v>634760204</v>
      </c>
      <c r="C18" s="1" t="s">
        <v>61</v>
      </c>
      <c r="D18" s="1" t="s">
        <v>33</v>
      </c>
      <c r="E18" s="1" t="s">
        <v>303</v>
      </c>
      <c r="F18" s="1" t="s">
        <v>68</v>
      </c>
      <c r="G18" s="1" t="s">
        <v>62</v>
      </c>
      <c r="H18" s="93">
        <v>297.10000000000002</v>
      </c>
      <c r="I18" s="93">
        <v>-100</v>
      </c>
      <c r="J18" s="93">
        <v>-100</v>
      </c>
      <c r="K18" s="93">
        <v>-100</v>
      </c>
      <c r="L18" s="93">
        <v>293.3</v>
      </c>
      <c r="M18" s="93">
        <v>296.95</v>
      </c>
      <c r="N18" s="93">
        <v>301.64999999999998</v>
      </c>
      <c r="O18" s="93">
        <v>293.14999999999998</v>
      </c>
      <c r="P18" s="93">
        <v>16842</v>
      </c>
      <c r="Q18" s="93"/>
      <c r="R18" s="93"/>
      <c r="S18" s="93"/>
      <c r="T18" s="93"/>
      <c r="U18" s="93"/>
      <c r="V18" s="92">
        <v>46090.869606481479</v>
      </c>
      <c r="W18" s="1" t="s">
        <v>277</v>
      </c>
    </row>
    <row r="19" spans="1:23" x14ac:dyDescent="0.4">
      <c r="A19" s="1" t="s">
        <v>304</v>
      </c>
      <c r="B19" s="1">
        <v>707621000</v>
      </c>
      <c r="C19" s="1" t="s">
        <v>61</v>
      </c>
      <c r="D19" s="1" t="s">
        <v>34</v>
      </c>
      <c r="E19" s="1" t="s">
        <v>304</v>
      </c>
      <c r="F19" s="1" t="s">
        <v>68</v>
      </c>
      <c r="G19" s="1" t="s">
        <v>62</v>
      </c>
      <c r="H19" s="93">
        <v>3322</v>
      </c>
      <c r="I19" s="93">
        <v>-1</v>
      </c>
      <c r="J19" s="93">
        <v>-1</v>
      </c>
      <c r="K19" s="93">
        <v>-1</v>
      </c>
      <c r="L19" s="93">
        <v>3230</v>
      </c>
      <c r="M19" s="93">
        <v>3225</v>
      </c>
      <c r="N19" s="93">
        <v>3330</v>
      </c>
      <c r="O19" s="93">
        <v>3179</v>
      </c>
      <c r="P19" s="93">
        <v>18447</v>
      </c>
      <c r="Q19" s="93"/>
      <c r="R19" s="93"/>
      <c r="S19" s="93"/>
      <c r="T19" s="93"/>
      <c r="U19" s="93"/>
      <c r="V19" s="92">
        <v>46090.869606481479</v>
      </c>
      <c r="W19" s="1" t="s">
        <v>277</v>
      </c>
    </row>
    <row r="20" spans="1:23" x14ac:dyDescent="0.4">
      <c r="A20" s="1" t="s">
        <v>194</v>
      </c>
      <c r="B20" s="1">
        <v>634760245</v>
      </c>
      <c r="C20" s="1" t="s">
        <v>61</v>
      </c>
      <c r="D20" s="1" t="s">
        <v>69</v>
      </c>
      <c r="E20" s="1" t="s">
        <v>305</v>
      </c>
      <c r="F20" s="1" t="s">
        <v>68</v>
      </c>
      <c r="G20" s="1" t="s">
        <v>62</v>
      </c>
      <c r="H20" s="93">
        <v>64.680000000000007</v>
      </c>
      <c r="I20" s="93">
        <v>-100</v>
      </c>
      <c r="J20" s="93">
        <v>-100</v>
      </c>
      <c r="K20" s="93">
        <v>-100</v>
      </c>
      <c r="L20" s="93">
        <v>64.2</v>
      </c>
      <c r="M20" s="93">
        <v>64.2</v>
      </c>
      <c r="N20" s="93">
        <v>65.02</v>
      </c>
      <c r="O20" s="93">
        <v>64.08</v>
      </c>
      <c r="P20" s="93">
        <v>32607</v>
      </c>
      <c r="Q20" s="93"/>
      <c r="R20" s="93"/>
      <c r="S20" s="93"/>
      <c r="T20" s="93"/>
      <c r="U20" s="93"/>
      <c r="V20" s="92">
        <v>46090.869606481479</v>
      </c>
      <c r="W20" s="1" t="s">
        <v>277</v>
      </c>
    </row>
    <row r="21" spans="1:23" x14ac:dyDescent="0.4">
      <c r="A21" s="1" t="s">
        <v>35</v>
      </c>
      <c r="B21" s="1">
        <v>738739101</v>
      </c>
      <c r="C21" s="1" t="s">
        <v>61</v>
      </c>
      <c r="D21" s="1" t="s">
        <v>35</v>
      </c>
      <c r="E21" s="1" t="s">
        <v>306</v>
      </c>
      <c r="F21" s="1" t="s">
        <v>83</v>
      </c>
      <c r="G21" s="1" t="s">
        <v>62</v>
      </c>
      <c r="H21" s="93">
        <v>230.125</v>
      </c>
      <c r="I21" s="93">
        <v>-100</v>
      </c>
      <c r="J21" s="93">
        <v>-100</v>
      </c>
      <c r="K21" s="93">
        <v>-100</v>
      </c>
      <c r="L21" s="93">
        <v>234.57499999999999</v>
      </c>
      <c r="M21" s="93">
        <v>228.07499999999999</v>
      </c>
      <c r="N21" s="93">
        <v>230.92500000000001</v>
      </c>
      <c r="O21" s="93">
        <v>227.32499999999999</v>
      </c>
      <c r="P21" s="93">
        <v>38861</v>
      </c>
      <c r="Q21" s="93"/>
      <c r="R21" s="93"/>
      <c r="S21" s="93"/>
      <c r="T21" s="93"/>
      <c r="U21" s="93"/>
      <c r="V21" s="92">
        <v>46090.869606481479</v>
      </c>
      <c r="W21" s="1" t="s">
        <v>277</v>
      </c>
    </row>
    <row r="22" spans="1:23" x14ac:dyDescent="0.4">
      <c r="A22" s="1" t="s">
        <v>36</v>
      </c>
      <c r="B22" s="1">
        <v>786686904</v>
      </c>
      <c r="C22" s="1" t="s">
        <v>61</v>
      </c>
      <c r="D22" s="1" t="s">
        <v>36</v>
      </c>
      <c r="E22" s="1" t="s">
        <v>307</v>
      </c>
      <c r="F22" s="1" t="s">
        <v>83</v>
      </c>
      <c r="G22" s="1" t="s">
        <v>62</v>
      </c>
      <c r="H22" s="93">
        <v>342.95</v>
      </c>
      <c r="I22" s="93">
        <v>-100</v>
      </c>
      <c r="J22" s="93">
        <v>-100</v>
      </c>
      <c r="K22" s="93">
        <v>-100</v>
      </c>
      <c r="L22" s="93">
        <v>348.07499999999999</v>
      </c>
      <c r="M22" s="93">
        <v>339.7</v>
      </c>
      <c r="N22" s="93">
        <v>343.625</v>
      </c>
      <c r="O22" s="93">
        <v>338.82499999999999</v>
      </c>
      <c r="P22" s="93">
        <v>11896</v>
      </c>
      <c r="Q22" s="93"/>
      <c r="R22" s="93"/>
      <c r="S22" s="93"/>
      <c r="T22" s="93"/>
      <c r="U22" s="93"/>
      <c r="V22" s="92">
        <v>46090.869606481479</v>
      </c>
      <c r="W22" s="1" t="s">
        <v>277</v>
      </c>
    </row>
    <row r="23" spans="1:23" x14ac:dyDescent="0.4">
      <c r="A23" s="1" t="s">
        <v>156</v>
      </c>
      <c r="B23" s="1">
        <v>735014937</v>
      </c>
      <c r="C23" s="1" t="s">
        <v>61</v>
      </c>
      <c r="D23" s="1" t="s">
        <v>37</v>
      </c>
      <c r="E23" s="1" t="s">
        <v>308</v>
      </c>
      <c r="F23" s="1" t="s">
        <v>83</v>
      </c>
      <c r="G23" s="1" t="s">
        <v>62</v>
      </c>
      <c r="H23" s="93">
        <v>94.825000000000003</v>
      </c>
      <c r="I23" s="93">
        <v>-100</v>
      </c>
      <c r="J23" s="93">
        <v>-100</v>
      </c>
      <c r="K23" s="93">
        <v>-100</v>
      </c>
      <c r="L23" s="93">
        <v>95.625</v>
      </c>
      <c r="M23" s="93">
        <v>95.35</v>
      </c>
      <c r="N23" s="93">
        <v>95.5</v>
      </c>
      <c r="O23" s="93">
        <v>94.1</v>
      </c>
      <c r="P23" s="93">
        <v>30165</v>
      </c>
      <c r="Q23" s="93"/>
      <c r="R23" s="93"/>
      <c r="S23" s="93"/>
      <c r="T23" s="93"/>
      <c r="U23" s="93"/>
      <c r="V23" s="92">
        <v>46090.869606481479</v>
      </c>
      <c r="W23" s="1" t="s">
        <v>277</v>
      </c>
    </row>
    <row r="24" spans="1:23" x14ac:dyDescent="0.4">
      <c r="A24" s="1" t="s">
        <v>272</v>
      </c>
      <c r="B24" s="1">
        <v>792232100</v>
      </c>
      <c r="C24" s="1" t="s">
        <v>61</v>
      </c>
      <c r="D24" s="1" t="s">
        <v>38</v>
      </c>
      <c r="E24" s="1" t="s">
        <v>288</v>
      </c>
      <c r="F24" s="1" t="s">
        <v>68</v>
      </c>
      <c r="G24" s="1" t="s">
        <v>62</v>
      </c>
      <c r="H24" s="93">
        <v>98.625</v>
      </c>
      <c r="I24" s="93">
        <v>98.63</v>
      </c>
      <c r="J24" s="93">
        <v>98.635000000000005</v>
      </c>
      <c r="K24" s="93">
        <v>98.632499999999993</v>
      </c>
      <c r="L24" s="93">
        <v>98.71</v>
      </c>
      <c r="M24" s="93">
        <v>99.04</v>
      </c>
      <c r="N24" s="93">
        <v>99.435000000000002</v>
      </c>
      <c r="O24" s="93">
        <v>98.564999999999998</v>
      </c>
      <c r="P24" s="93">
        <v>11235</v>
      </c>
      <c r="Q24" s="93"/>
      <c r="R24" s="93"/>
      <c r="S24" s="93"/>
      <c r="T24" s="93"/>
      <c r="U24" s="93"/>
      <c r="V24" s="92">
        <v>46090.869606481479</v>
      </c>
      <c r="W24" s="1" t="s">
        <v>277</v>
      </c>
    </row>
    <row r="25" spans="1:23" x14ac:dyDescent="0.4">
      <c r="A25" s="1" t="s">
        <v>267</v>
      </c>
      <c r="B25" s="1">
        <v>496647057</v>
      </c>
      <c r="C25" s="1" t="s">
        <v>61</v>
      </c>
      <c r="D25" s="1" t="s">
        <v>59</v>
      </c>
      <c r="E25" s="1" t="s">
        <v>289</v>
      </c>
      <c r="F25" s="1" t="s">
        <v>83</v>
      </c>
      <c r="G25" s="1" t="s">
        <v>62</v>
      </c>
      <c r="H25" s="93">
        <v>1.1669499999999999</v>
      </c>
      <c r="I25" s="93">
        <v>1.1669499999999999</v>
      </c>
      <c r="J25" s="93">
        <v>1.1670499999999999</v>
      </c>
      <c r="K25" s="93">
        <v>1.1669999999999998</v>
      </c>
      <c r="L25" s="93">
        <v>1.1655500000000001</v>
      </c>
      <c r="M25" s="93">
        <v>1.1604000000000001</v>
      </c>
      <c r="N25" s="93">
        <v>1.1675500000000001</v>
      </c>
      <c r="O25" s="93">
        <v>1.1560999999999999</v>
      </c>
      <c r="P25" s="93">
        <v>153875</v>
      </c>
      <c r="Q25" s="93"/>
      <c r="R25" s="93"/>
      <c r="S25" s="93"/>
      <c r="T25" s="93"/>
      <c r="U25" s="93"/>
      <c r="V25" s="92">
        <v>46090.869606481479</v>
      </c>
      <c r="W25" s="1" t="s">
        <v>277</v>
      </c>
    </row>
    <row r="26" spans="1:23" x14ac:dyDescent="0.4">
      <c r="A26" s="1" t="s">
        <v>268</v>
      </c>
      <c r="B26" s="1">
        <v>496647091</v>
      </c>
      <c r="C26" s="1" t="s">
        <v>61</v>
      </c>
      <c r="D26" s="1" t="s">
        <v>78</v>
      </c>
      <c r="E26" s="1" t="s">
        <v>290</v>
      </c>
      <c r="F26" s="1" t="s">
        <v>83</v>
      </c>
      <c r="G26" s="1" t="s">
        <v>62</v>
      </c>
      <c r="H26" s="93">
        <v>1.3428</v>
      </c>
      <c r="I26" s="93">
        <v>1.3427</v>
      </c>
      <c r="J26" s="93">
        <v>1.3429</v>
      </c>
      <c r="K26" s="93">
        <v>1.3428</v>
      </c>
      <c r="L26" s="93">
        <v>1.3387</v>
      </c>
      <c r="M26" s="93">
        <v>1.3351</v>
      </c>
      <c r="N26" s="93">
        <v>1.3438000000000001</v>
      </c>
      <c r="O26" s="93">
        <v>1.3283</v>
      </c>
      <c r="P26" s="93">
        <v>72466</v>
      </c>
      <c r="Q26" s="93"/>
      <c r="R26" s="93"/>
      <c r="S26" s="93"/>
      <c r="T26" s="93"/>
      <c r="U26" s="93"/>
      <c r="V26" s="92">
        <v>46090.869606481479</v>
      </c>
      <c r="W26" s="1" t="s">
        <v>277</v>
      </c>
    </row>
    <row r="27" spans="1:23" x14ac:dyDescent="0.4">
      <c r="A27" s="1" t="s">
        <v>269</v>
      </c>
      <c r="B27" s="1">
        <v>496647108</v>
      </c>
      <c r="C27" s="1" t="s">
        <v>61</v>
      </c>
      <c r="D27" s="1" t="s">
        <v>60</v>
      </c>
      <c r="E27" s="1" t="s">
        <v>291</v>
      </c>
      <c r="F27" s="1" t="s">
        <v>83</v>
      </c>
      <c r="G27" s="1" t="s">
        <v>62</v>
      </c>
      <c r="H27" s="93">
        <v>6.3889999999999997E-3</v>
      </c>
      <c r="I27" s="93">
        <v>6.3885000000000001E-3</v>
      </c>
      <c r="J27" s="93">
        <v>6.3895000000000002E-3</v>
      </c>
      <c r="K27" s="93">
        <v>6.3890000000000006E-3</v>
      </c>
      <c r="L27" s="93">
        <v>6.3879999999999996E-3</v>
      </c>
      <c r="M27" s="93">
        <v>6.3800000000000003E-3</v>
      </c>
      <c r="N27" s="93">
        <v>6.3905000000000003E-3</v>
      </c>
      <c r="O27" s="93">
        <v>6.3464999999999997E-3</v>
      </c>
      <c r="P27" s="93">
        <v>85160</v>
      </c>
      <c r="Q27" s="93"/>
      <c r="R27" s="93"/>
      <c r="S27" s="93"/>
      <c r="T27" s="93"/>
      <c r="U27" s="93"/>
      <c r="V27" s="92">
        <v>46090.869606481479</v>
      </c>
      <c r="W27" s="1" t="s">
        <v>277</v>
      </c>
    </row>
    <row r="28" spans="1:23" x14ac:dyDescent="0.4">
      <c r="A28" s="1" t="s">
        <v>270</v>
      </c>
      <c r="B28" s="1">
        <v>496879111</v>
      </c>
      <c r="C28" s="1" t="s">
        <v>61</v>
      </c>
      <c r="D28" s="1" t="s">
        <v>80</v>
      </c>
      <c r="E28" s="1" t="s">
        <v>292</v>
      </c>
      <c r="F28" s="1" t="s">
        <v>83</v>
      </c>
      <c r="G28" s="1" t="s">
        <v>62</v>
      </c>
      <c r="H28" s="93">
        <v>0.73980000000000001</v>
      </c>
      <c r="I28" s="93">
        <v>0.73975000000000002</v>
      </c>
      <c r="J28" s="93">
        <v>0.73985000000000001</v>
      </c>
      <c r="K28" s="93">
        <v>0.73980000000000001</v>
      </c>
      <c r="L28" s="93">
        <v>0.73919999999999997</v>
      </c>
      <c r="M28" s="93">
        <v>0.73875000000000002</v>
      </c>
      <c r="N28" s="93">
        <v>0.74250000000000005</v>
      </c>
      <c r="O28" s="93">
        <v>0.73799999999999999</v>
      </c>
      <c r="P28" s="93">
        <v>30906</v>
      </c>
      <c r="Q28" s="93"/>
      <c r="R28" s="93"/>
      <c r="S28" s="93"/>
      <c r="T28" s="93"/>
      <c r="U28" s="93"/>
      <c r="V28" s="92">
        <v>46090.869606481479</v>
      </c>
      <c r="W28" s="1" t="s">
        <v>277</v>
      </c>
    </row>
    <row r="29" spans="1:23" x14ac:dyDescent="0.4">
      <c r="A29" s="1" t="s">
        <v>271</v>
      </c>
      <c r="B29" s="1">
        <v>496647009</v>
      </c>
      <c r="C29" s="1" t="s">
        <v>61</v>
      </c>
      <c r="D29" s="1" t="s">
        <v>82</v>
      </c>
      <c r="E29" s="1" t="s">
        <v>293</v>
      </c>
      <c r="F29" s="1" t="s">
        <v>83</v>
      </c>
      <c r="G29" s="1" t="s">
        <v>62</v>
      </c>
      <c r="H29" s="93">
        <v>0.70650000000000002</v>
      </c>
      <c r="I29" s="93">
        <v>0.70650000000000002</v>
      </c>
      <c r="J29" s="93">
        <v>0.70655000000000001</v>
      </c>
      <c r="K29" s="93">
        <v>0.70652500000000007</v>
      </c>
      <c r="L29" s="93">
        <v>0.70189999999999997</v>
      </c>
      <c r="M29" s="93">
        <v>0.69835000000000003</v>
      </c>
      <c r="N29" s="93">
        <v>0.70730000000000004</v>
      </c>
      <c r="O29" s="93">
        <v>0.69489999999999996</v>
      </c>
      <c r="P29" s="93">
        <v>62742</v>
      </c>
      <c r="Q29" s="93"/>
      <c r="R29" s="93"/>
      <c r="S29" s="93"/>
      <c r="T29" s="93"/>
      <c r="U29" s="93"/>
      <c r="V29" s="92">
        <v>46090.869606481479</v>
      </c>
      <c r="W29" s="1" t="s">
        <v>277</v>
      </c>
    </row>
    <row r="30" spans="1:23" x14ac:dyDescent="0.4">
      <c r="A30" s="1" t="s">
        <v>274</v>
      </c>
      <c r="B30" s="1">
        <v>815824224</v>
      </c>
      <c r="C30" s="1" t="s">
        <v>61</v>
      </c>
      <c r="D30" s="1" t="s">
        <v>46</v>
      </c>
      <c r="E30" s="1" t="s">
        <v>294</v>
      </c>
      <c r="F30" s="1" t="s">
        <v>86</v>
      </c>
      <c r="G30" s="1" t="s">
        <v>62</v>
      </c>
      <c r="H30" s="93">
        <v>116.625</v>
      </c>
      <c r="I30" s="93">
        <v>116.625</v>
      </c>
      <c r="J30" s="93">
        <v>116.65625</v>
      </c>
      <c r="K30" s="93">
        <v>116.640625</v>
      </c>
      <c r="L30" s="93">
        <v>116.1875</v>
      </c>
      <c r="M30" s="93">
        <v>115.8125</v>
      </c>
      <c r="N30" s="93">
        <v>116.71875</v>
      </c>
      <c r="O30" s="93">
        <v>115.0625</v>
      </c>
      <c r="P30" s="93">
        <v>566117</v>
      </c>
      <c r="Q30" s="93"/>
      <c r="R30" s="93"/>
      <c r="S30" s="93"/>
      <c r="T30" s="93"/>
      <c r="U30" s="93"/>
      <c r="V30" s="92">
        <v>46090.869606481479</v>
      </c>
      <c r="W30" s="1" t="s">
        <v>277</v>
      </c>
    </row>
    <row r="31" spans="1:23" x14ac:dyDescent="0.4">
      <c r="A31" s="1" t="s">
        <v>275</v>
      </c>
      <c r="B31" s="1">
        <v>815824229</v>
      </c>
      <c r="C31" s="1" t="s">
        <v>61</v>
      </c>
      <c r="D31" s="1" t="s">
        <v>71</v>
      </c>
      <c r="E31" s="1" t="s">
        <v>309</v>
      </c>
      <c r="F31" s="1" t="s">
        <v>86</v>
      </c>
      <c r="G31" s="1" t="s">
        <v>62</v>
      </c>
      <c r="H31" s="93">
        <v>112.59375</v>
      </c>
      <c r="I31" s="93">
        <v>112.59375</v>
      </c>
      <c r="J31" s="93">
        <v>112.609375</v>
      </c>
      <c r="K31" s="93">
        <v>112.6015625</v>
      </c>
      <c r="L31" s="93">
        <v>112.4375</v>
      </c>
      <c r="M31" s="93">
        <v>112.1875</v>
      </c>
      <c r="N31" s="93">
        <v>112.671875</v>
      </c>
      <c r="O31" s="93">
        <v>111.828125</v>
      </c>
      <c r="P31" s="93">
        <v>2658505</v>
      </c>
      <c r="Q31" s="93"/>
      <c r="R31" s="93"/>
      <c r="S31" s="93"/>
      <c r="T31" s="93"/>
      <c r="U31" s="93"/>
      <c r="V31" s="92">
        <v>46090.869606481479</v>
      </c>
      <c r="W31" s="1" t="s">
        <v>277</v>
      </c>
    </row>
    <row r="32" spans="1:23" x14ac:dyDescent="0.4">
      <c r="A32" s="1" t="s">
        <v>259</v>
      </c>
      <c r="B32" s="1">
        <v>813041669</v>
      </c>
      <c r="C32" s="1" t="s">
        <v>61</v>
      </c>
      <c r="D32" s="1" t="s">
        <v>73</v>
      </c>
      <c r="E32" s="1" t="s">
        <v>311</v>
      </c>
      <c r="F32" s="1" t="s">
        <v>84</v>
      </c>
      <c r="G32" s="1" t="s">
        <v>59</v>
      </c>
      <c r="H32" s="93">
        <v>127.42</v>
      </c>
      <c r="I32" s="93">
        <v>127.42</v>
      </c>
      <c r="J32" s="93">
        <v>127.43</v>
      </c>
      <c r="K32" s="93">
        <v>127.42500000000001</v>
      </c>
      <c r="L32" s="93">
        <v>126.93</v>
      </c>
      <c r="M32" s="93">
        <v>126.7</v>
      </c>
      <c r="N32" s="93">
        <v>127.48</v>
      </c>
      <c r="O32" s="93">
        <v>125.94</v>
      </c>
      <c r="P32" s="93">
        <v>2145114</v>
      </c>
      <c r="Q32" s="93"/>
      <c r="R32" s="93"/>
      <c r="S32" s="93"/>
      <c r="T32" s="93"/>
      <c r="U32" s="93"/>
      <c r="V32" s="92">
        <v>46090.869606481479</v>
      </c>
      <c r="W32" s="1" t="s">
        <v>277</v>
      </c>
    </row>
    <row r="33" spans="1:23" x14ac:dyDescent="0.4">
      <c r="A33" s="1" t="s">
        <v>260</v>
      </c>
      <c r="B33" s="1">
        <v>813041681</v>
      </c>
      <c r="C33" s="1" t="s">
        <v>61</v>
      </c>
      <c r="D33" s="1" t="s">
        <v>75</v>
      </c>
      <c r="E33" s="1" t="s">
        <v>295</v>
      </c>
      <c r="F33" s="1" t="s">
        <v>84</v>
      </c>
      <c r="G33" s="1" t="s">
        <v>59</v>
      </c>
      <c r="H33" s="93">
        <v>111.44</v>
      </c>
      <c r="I33" s="93">
        <v>111.42</v>
      </c>
      <c r="J33" s="93">
        <v>111.44</v>
      </c>
      <c r="K33" s="93">
        <v>111.43</v>
      </c>
      <c r="L33" s="93">
        <v>110.88</v>
      </c>
      <c r="M33" s="93">
        <v>111</v>
      </c>
      <c r="N33" s="93">
        <v>111.7</v>
      </c>
      <c r="O33" s="93">
        <v>110.14</v>
      </c>
      <c r="P33" s="93">
        <v>328496</v>
      </c>
      <c r="Q33" s="93"/>
      <c r="R33" s="93"/>
      <c r="S33" s="93"/>
      <c r="T33" s="93"/>
      <c r="U33" s="93"/>
      <c r="V33" s="92">
        <v>46090.869606481479</v>
      </c>
      <c r="W33" s="1" t="s">
        <v>277</v>
      </c>
    </row>
    <row r="34" spans="1:23" x14ac:dyDescent="0.4">
      <c r="A34" s="1" t="s">
        <v>261</v>
      </c>
      <c r="B34" s="1">
        <v>813041663</v>
      </c>
      <c r="C34" s="1" t="s">
        <v>61</v>
      </c>
      <c r="D34" s="1" t="s">
        <v>47</v>
      </c>
      <c r="E34" s="1" t="s">
        <v>296</v>
      </c>
      <c r="F34" s="1" t="s">
        <v>84</v>
      </c>
      <c r="G34" s="1" t="s">
        <v>59</v>
      </c>
      <c r="H34" s="93">
        <v>118.77</v>
      </c>
      <c r="I34" s="93">
        <v>-1</v>
      </c>
      <c r="J34" s="93">
        <v>-1</v>
      </c>
      <c r="K34" s="93">
        <v>-1</v>
      </c>
      <c r="L34" s="93">
        <v>118.6</v>
      </c>
      <c r="M34" s="93">
        <v>117.62</v>
      </c>
      <c r="N34" s="93">
        <v>118.97</v>
      </c>
      <c r="O34" s="93">
        <v>117.42</v>
      </c>
      <c r="P34" s="93">
        <v>705078</v>
      </c>
      <c r="Q34" s="93"/>
      <c r="R34" s="93"/>
      <c r="S34" s="93"/>
      <c r="T34" s="93"/>
      <c r="U34" s="93"/>
      <c r="V34" s="92">
        <v>46090.869606481479</v>
      </c>
      <c r="W34" s="1" t="s">
        <v>277</v>
      </c>
    </row>
    <row r="35" spans="1:23" x14ac:dyDescent="0.4">
      <c r="A35" s="1" t="s">
        <v>312</v>
      </c>
      <c r="B35" s="1">
        <v>479624278</v>
      </c>
      <c r="C35" s="1" t="s">
        <v>197</v>
      </c>
      <c r="D35" s="1" t="s">
        <v>44</v>
      </c>
      <c r="E35" s="1" t="s">
        <v>297</v>
      </c>
      <c r="F35" s="1" t="s">
        <v>201</v>
      </c>
      <c r="G35" s="1" t="s">
        <v>62</v>
      </c>
      <c r="H35" s="93">
        <v>68902.75</v>
      </c>
      <c r="I35" s="93">
        <v>68902.75</v>
      </c>
      <c r="J35" s="93">
        <v>68903</v>
      </c>
      <c r="K35" s="93">
        <v>68902.875</v>
      </c>
      <c r="L35" s="93">
        <v>67317.25</v>
      </c>
      <c r="M35" s="93"/>
      <c r="N35" s="93">
        <v>69646.5</v>
      </c>
      <c r="O35" s="93">
        <v>65471</v>
      </c>
      <c r="P35" s="93">
        <v>351.10540517999999</v>
      </c>
      <c r="Q35" s="93"/>
      <c r="R35" s="93"/>
      <c r="S35" s="93"/>
      <c r="T35" s="93"/>
      <c r="U35" s="93"/>
      <c r="V35" s="92">
        <v>46090.869606481479</v>
      </c>
      <c r="W35" s="1" t="s">
        <v>277</v>
      </c>
    </row>
    <row r="36" spans="1:23" x14ac:dyDescent="0.4">
      <c r="A36" s="1" t="s">
        <v>198</v>
      </c>
      <c r="B36" s="1">
        <v>495759171</v>
      </c>
      <c r="C36" s="1" t="s">
        <v>197</v>
      </c>
      <c r="D36" s="1" t="s">
        <v>45</v>
      </c>
      <c r="E36" s="1" t="s">
        <v>298</v>
      </c>
      <c r="F36" s="1" t="s">
        <v>201</v>
      </c>
      <c r="G36" s="1" t="s">
        <v>62</v>
      </c>
      <c r="H36" s="93">
        <v>2030.35</v>
      </c>
      <c r="I36" s="93">
        <v>2030.35</v>
      </c>
      <c r="J36" s="93">
        <v>2030.4</v>
      </c>
      <c r="K36" s="93">
        <v>2030.375</v>
      </c>
      <c r="L36" s="93">
        <v>1964.3</v>
      </c>
      <c r="M36" s="93"/>
      <c r="N36" s="93">
        <v>2056.0500000000002</v>
      </c>
      <c r="O36" s="93">
        <v>1914.8</v>
      </c>
      <c r="P36" s="93">
        <v>3593.66171377</v>
      </c>
      <c r="Q36" s="93"/>
      <c r="R36" s="93"/>
      <c r="S36" s="93"/>
      <c r="T36" s="93"/>
      <c r="U36" s="93"/>
      <c r="V36" s="92">
        <v>46090.869606481479</v>
      </c>
      <c r="W36" s="1" t="s">
        <v>277</v>
      </c>
    </row>
    <row r="37" spans="1:23" x14ac:dyDescent="0.4"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2"/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231</v>
      </c>
      <c r="B1" s="86" t="s">
        <v>248</v>
      </c>
      <c r="C1" s="86" t="s">
        <v>247</v>
      </c>
    </row>
    <row r="2" spans="1:3" x14ac:dyDescent="0.4">
      <c r="A2" s="87">
        <v>46086.543078703704</v>
      </c>
      <c r="B2" s="84" t="s">
        <v>313</v>
      </c>
      <c r="C2" s="84" t="s">
        <v>314</v>
      </c>
    </row>
    <row r="3" spans="1:3" x14ac:dyDescent="0.4">
      <c r="A3" s="87">
        <v>46086.543090277781</v>
      </c>
      <c r="B3" s="84" t="s">
        <v>313</v>
      </c>
      <c r="C3" s="84" t="s">
        <v>315</v>
      </c>
    </row>
    <row r="4" spans="1:3" x14ac:dyDescent="0.4">
      <c r="A4" s="87">
        <v>46086.54310185185</v>
      </c>
      <c r="B4" s="84" t="s">
        <v>313</v>
      </c>
      <c r="C4" s="84" t="s">
        <v>316</v>
      </c>
    </row>
    <row r="5" spans="1:3" x14ac:dyDescent="0.4">
      <c r="A5" s="85">
        <v>46090.383530092593</v>
      </c>
      <c r="B5" s="1" t="s">
        <v>313</v>
      </c>
      <c r="C5" s="1" t="s">
        <v>314</v>
      </c>
    </row>
    <row r="6" spans="1:3" x14ac:dyDescent="0.4">
      <c r="A6" s="85">
        <v>46090.38354166667</v>
      </c>
      <c r="B6" s="1" t="s">
        <v>313</v>
      </c>
      <c r="C6" s="1" t="s">
        <v>315</v>
      </c>
    </row>
    <row r="7" spans="1:3" x14ac:dyDescent="0.4">
      <c r="A7" s="85">
        <v>46090.38354166667</v>
      </c>
      <c r="B7" s="81" t="s">
        <v>313</v>
      </c>
      <c r="C7" s="81" t="s">
        <v>316</v>
      </c>
    </row>
    <row r="8" spans="1:3" x14ac:dyDescent="0.4">
      <c r="A8" s="85">
        <v>46090.869409722225</v>
      </c>
      <c r="B8" s="81" t="s">
        <v>313</v>
      </c>
      <c r="C8" s="81" t="s">
        <v>314</v>
      </c>
    </row>
    <row r="9" spans="1:3" x14ac:dyDescent="0.4">
      <c r="A9" s="85">
        <v>46090.869409722225</v>
      </c>
      <c r="B9" s="81" t="s">
        <v>313</v>
      </c>
      <c r="C9" s="81" t="s">
        <v>315</v>
      </c>
    </row>
    <row r="10" spans="1:3" x14ac:dyDescent="0.4">
      <c r="A10" s="85">
        <v>46090.869409722225</v>
      </c>
      <c r="B10" s="1" t="s">
        <v>313</v>
      </c>
      <c r="C10" s="1" t="s">
        <v>316</v>
      </c>
    </row>
    <row r="11" spans="1:3" x14ac:dyDescent="0.4">
      <c r="A11" s="85"/>
    </row>
    <row r="12" spans="1:3" x14ac:dyDescent="0.4">
      <c r="A12" s="85"/>
    </row>
    <row r="13" spans="1:3" x14ac:dyDescent="0.4">
      <c r="A13" s="85"/>
    </row>
    <row r="14" spans="1:3" x14ac:dyDescent="0.4">
      <c r="A14" s="85"/>
    </row>
    <row r="15" spans="1:3" x14ac:dyDescent="0.4">
      <c r="A15" s="85"/>
    </row>
    <row r="16" spans="1:3" x14ac:dyDescent="0.4">
      <c r="A16" s="85"/>
    </row>
    <row r="17" spans="1:1" x14ac:dyDescent="0.4">
      <c r="A17" s="85"/>
    </row>
    <row r="18" spans="1:1" x14ac:dyDescent="0.4">
      <c r="A18" s="85"/>
    </row>
    <row r="19" spans="1:1" x14ac:dyDescent="0.4">
      <c r="A19" s="85"/>
    </row>
    <row r="20" spans="1:1" x14ac:dyDescent="0.4">
      <c r="A20" s="85"/>
    </row>
    <row r="21" spans="1:1" x14ac:dyDescent="0.4">
      <c r="A21" s="85"/>
    </row>
    <row r="22" spans="1:1" x14ac:dyDescent="0.4">
      <c r="A22" s="85"/>
    </row>
    <row r="23" spans="1:1" x14ac:dyDescent="0.4">
      <c r="A23" s="85"/>
    </row>
    <row r="24" spans="1:1" x14ac:dyDescent="0.4">
      <c r="A24" s="85"/>
    </row>
    <row r="25" spans="1:1" x14ac:dyDescent="0.4">
      <c r="A25" s="85"/>
    </row>
    <row r="26" spans="1:1" x14ac:dyDescent="0.4">
      <c r="A26" s="85"/>
    </row>
    <row r="27" spans="1:1" x14ac:dyDescent="0.4">
      <c r="A27" s="85"/>
    </row>
    <row r="28" spans="1:1" x14ac:dyDescent="0.4">
      <c r="A28" s="85"/>
    </row>
    <row r="29" spans="1:1" x14ac:dyDescent="0.4">
      <c r="A29" s="85"/>
    </row>
    <row r="30" spans="1:1" x14ac:dyDescent="0.4">
      <c r="A30" s="85"/>
    </row>
    <row r="31" spans="1:1" x14ac:dyDescent="0.4">
      <c r="A31" s="85"/>
    </row>
    <row r="32" spans="1:1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2026-03-09T19:52:56Z</dcterms:modified>
</cp:coreProperties>
</file>