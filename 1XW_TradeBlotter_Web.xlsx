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551" documentId="13_ncr:1_{6F5069F1-F0E7-4440-AA6D-4AFA11BBED1B}" xr6:coauthVersionLast="47" xr6:coauthVersionMax="47" xr10:uidLastSave="{54424417-0BD1-4588-A603-84F978016F35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0" i="2" l="1"/>
  <c r="N10" i="2"/>
  <c r="E10" i="2" a="1"/>
  <c r="E10" i="2" s="1"/>
  <c r="C10" i="2"/>
  <c r="U10" i="2" s="1"/>
  <c r="B10" i="2"/>
  <c r="T10" i="2" s="1"/>
  <c r="T69" i="6"/>
  <c r="P27" i="3"/>
  <c r="Z27" i="3"/>
  <c r="O27" i="3"/>
  <c r="J27" i="3"/>
  <c r="R27" i="3" s="1"/>
  <c r="G27" i="3"/>
  <c r="W69" i="6"/>
  <c r="U69" i="6"/>
  <c r="V69" i="6"/>
  <c r="Z26" i="3"/>
  <c r="U26" i="3"/>
  <c r="V26" i="3" s="1"/>
  <c r="S26" i="3"/>
  <c r="T26" i="3" s="1"/>
  <c r="O26" i="3"/>
  <c r="J26" i="3"/>
  <c r="R26" i="3" s="1"/>
  <c r="Z25" i="3"/>
  <c r="U25" i="3"/>
  <c r="V25" i="3" s="1"/>
  <c r="S25" i="3"/>
  <c r="T25" i="3" s="1"/>
  <c r="O25" i="3"/>
  <c r="J25" i="3"/>
  <c r="R25" i="3" s="1"/>
  <c r="X68" i="6"/>
  <c r="W68" i="6"/>
  <c r="V68" i="6"/>
  <c r="U68" i="6"/>
  <c r="T68" i="6"/>
  <c r="X67" i="6"/>
  <c r="W67" i="6"/>
  <c r="V67" i="6"/>
  <c r="U67" i="6"/>
  <c r="T67" i="6" s="1"/>
  <c r="R9" i="2"/>
  <c r="N9" i="2"/>
  <c r="E9" i="2" a="1"/>
  <c r="C9" i="2"/>
  <c r="U9" i="2" s="1"/>
  <c r="B9" i="2"/>
  <c r="T9" i="2" s="1"/>
  <c r="C1" i="3"/>
  <c r="K6" i="9"/>
  <c r="X66" i="6"/>
  <c r="W66" i="6"/>
  <c r="V66" i="6"/>
  <c r="U66" i="6"/>
  <c r="T66" i="6"/>
  <c r="R8" i="2"/>
  <c r="N8" i="2"/>
  <c r="E8" i="2" a="1"/>
  <c r="C8" i="2"/>
  <c r="U8" i="2" s="1"/>
  <c r="B8" i="2"/>
  <c r="T8" i="2" s="1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R24" i="3" l="1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Y27" i="3" l="1" a="1"/>
  <c r="Y27" i="3" s="1"/>
  <c r="I27" i="3" a="1"/>
  <c r="I27" i="3" s="1"/>
  <c r="X27" i="3" a="1"/>
  <c r="X27" i="3" s="1"/>
  <c r="X25" i="3" a="1"/>
  <c r="X25" i="3" s="1"/>
  <c r="I26" i="3" a="1"/>
  <c r="I26" i="3" s="1"/>
  <c r="I25" i="3" a="1"/>
  <c r="I25" i="3" s="1"/>
  <c r="Y26" i="3" a="1"/>
  <c r="Y26" i="3" s="1"/>
  <c r="X26" i="3" a="1"/>
  <c r="X26" i="3" s="1"/>
  <c r="Y25" i="3" a="1"/>
  <c r="Y25" i="3" s="1"/>
  <c r="I24" i="3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7" i="3" l="1"/>
  <c r="S27" i="3" s="1"/>
  <c r="T27" i="3" s="1"/>
  <c r="L25" i="3"/>
  <c r="L26" i="3"/>
  <c r="L24" i="3"/>
  <c r="O19" i="3"/>
  <c r="N27" i="3" l="1" a="1"/>
  <c r="N27" i="3" s="1"/>
  <c r="K27" i="3" s="1"/>
  <c r="U27" i="3" s="1"/>
  <c r="V27" i="3" s="1"/>
  <c r="M27" i="3"/>
  <c r="N26" i="3" a="1"/>
  <c r="N26" i="3" s="1"/>
  <c r="K26" i="3" s="1"/>
  <c r="M26" i="3"/>
  <c r="N25" i="3" a="1"/>
  <c r="N25" i="3" s="1"/>
  <c r="K25" i="3" s="1"/>
  <c r="M25" i="3"/>
  <c r="N24" i="3" a="1"/>
  <c r="N24" i="3" s="1"/>
  <c r="K24" i="3" s="1"/>
  <c r="M24" i="3"/>
  <c r="S24" i="3"/>
  <c r="T24" i="3" s="1"/>
  <c r="N23" i="3" a="1"/>
  <c r="N21" i="3" a="1"/>
  <c r="N22" i="3" a="1"/>
  <c r="N20" i="3" a="1"/>
  <c r="X2" i="6"/>
  <c r="W2" i="6"/>
  <c r="V2" i="6"/>
  <c r="U24" i="3" l="1"/>
  <c r="V24" i="3" s="1"/>
  <c r="Y21" i="3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L20" i="3" s="1"/>
  <c r="S20" i="3" s="1"/>
  <c r="T20" i="3" s="1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N20" i="3" l="1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M20" i="3"/>
  <c r="C4" i="2"/>
  <c r="U4" i="2" s="1"/>
  <c r="J19" i="3"/>
  <c r="R19" i="3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E9" i="2" l="1"/>
  <c r="E8" i="2"/>
  <c r="M21" i="3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I29" i="4" l="1"/>
  <c r="L29" i="4" s="1"/>
  <c r="K29" i="4"/>
  <c r="G25" i="3"/>
  <c r="G26" i="3"/>
  <c r="G21" i="3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D10" i="2" s="1" a="1"/>
  <c r="D10" i="2" s="1"/>
  <c r="F10" i="2" s="1"/>
  <c r="T19" i="3"/>
  <c r="M19" i="3"/>
  <c r="G10" i="2" s="1" a="1"/>
  <c r="G10" i="2" s="1"/>
  <c r="D8" i="2" l="1" a="1"/>
  <c r="D8" i="2" s="1"/>
  <c r="F8" i="2" s="1"/>
  <c r="D9" i="2" a="1"/>
  <c r="D9" i="2" s="1"/>
  <c r="F9" i="2" s="1"/>
  <c r="G4" i="2" a="1"/>
  <c r="G4" i="2" s="1"/>
  <c r="G9" i="2" a="1"/>
  <c r="G9" i="2" s="1"/>
  <c r="G7" i="2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D4" i="2" a="1"/>
  <c r="D4" i="2" s="1"/>
  <c r="H4" i="2" s="1"/>
  <c r="K4" i="2" s="1"/>
  <c r="L4" i="2" s="1"/>
  <c r="M4" i="2" l="1"/>
  <c r="J5" i="9"/>
  <c r="I6" i="9"/>
  <c r="L5" i="9"/>
  <c r="D6" i="9" s="1"/>
  <c r="E6" i="9"/>
  <c r="U19" i="3"/>
  <c r="V19" i="3" s="1"/>
  <c r="M5" i="9"/>
  <c r="N5" i="9"/>
  <c r="O5" i="9" s="1"/>
  <c r="C9" i="3" a="1"/>
  <c r="C9" i="3" s="1"/>
  <c r="C8" i="3"/>
  <c r="C10" i="3" a="1"/>
  <c r="C10" i="3" s="1"/>
  <c r="C11" i="3" a="1"/>
  <c r="C11" i="3" s="1"/>
  <c r="J6" i="9" l="1"/>
  <c r="L6" i="9" s="1"/>
  <c r="M6" i="9" s="1"/>
  <c r="P4" i="2"/>
  <c r="Q4" i="2" s="1"/>
  <c r="O4" i="2"/>
  <c r="M5" i="2" s="1"/>
  <c r="C13" i="3" a="1"/>
  <c r="C13" i="3" s="1"/>
  <c r="J4" i="2"/>
  <c r="H5" i="2" s="1"/>
  <c r="N6" i="9" l="1"/>
  <c r="O6" i="9" s="1"/>
  <c r="J5" i="2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C12" i="3" a="1"/>
  <c r="C12" i="3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M9" i="2" s="1"/>
  <c r="K8" i="2"/>
  <c r="L8" i="2" s="1"/>
  <c r="J8" i="2"/>
  <c r="H9" i="2" s="1"/>
  <c r="C3" i="3"/>
  <c r="P9" i="2" l="1"/>
  <c r="Q9" i="2" s="1"/>
  <c r="O9" i="2"/>
  <c r="M10" i="2" s="1"/>
  <c r="K9" i="2"/>
  <c r="L9" i="2" s="1"/>
  <c r="J9" i="2"/>
  <c r="H10" i="2" s="1"/>
  <c r="D9" i="3"/>
  <c r="K10" i="2" l="1"/>
  <c r="L10" i="2" s="1"/>
  <c r="J10" i="2"/>
  <c r="P10" i="2"/>
  <c r="Q10" i="2" s="1"/>
  <c r="O10" i="2"/>
  <c r="C6" i="3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<sst xmlns="http://schemas.openxmlformats.org/spreadsheetml/2006/main" count="1536" uniqueCount="350">
  <si>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</si>
  <si>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</si>
  <si>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</si>
  <si>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</si>
  <si>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</si>
  <si>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</si>
  <si>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</si>
  <si>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</si>
  <si>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</si>
  <si>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</si>
  <si>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</si>
  <si>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</si>
  <si>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</si>
  <si>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</si>
  <si>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</si>
  <si>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</si>
  <si>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</si>
  <si>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</si>
  <si>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</si>
  <si>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</si>
  <si>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</si>
  <si>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</si>
  <si>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</si>
  <si>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</si>
  <si>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</si>
  <si>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</si>
  <si>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</si>
  <si>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</si>
  <si>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</si>
  <si>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</si>
  <si>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</si>
  <si>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</si>
  <si>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</si>
  <si>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</si>
  <si>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</si>
  <si>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</si>
  <si>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</si>
  <si>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</si>
  <si>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</si>
  <si>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</si>
  <si>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</si>
  <si>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</si>
  <si>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</si>
  <si>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</si>
  <si>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</si>
  <si>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</si>
  <si>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</si>
  <si>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</si>
  <si>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</si>
  <si>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</si>
  <si>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</si>
  <si>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</si>
  <si>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</si>
  <si>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</si>
  <si>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</si>
  <si>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</si>
  <si>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</si>
  <si>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</si>
  <si>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</si>
  <si>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</si>
  <si>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</si>
  <si>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</si>
  <si>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</si>
  <si>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</si>
  <si>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</si>
  <si>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</si>
  <si>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</si>
  <si>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</si>
  <si>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</si>
  <si>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</si>
  <si>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</si>
  <si>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</si>
  <si>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</si>
  <si>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</si>
  <si>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</si>
  <si>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</si>
  <si>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</si>
  <si>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</si>
  <si>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</si>
  <si>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</si>
  <si>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</si>
  <si>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</si>
  <si>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</si>
  <si>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</si>
  <si>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</si>
  <si>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</si>
  <si>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</si>
  <si>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</si>
  <si>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</si>
  <si>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</si>
  <si>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</si>
  <si>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</si>
  <si>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</si>
  <si>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</si>
  <si>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</si>
  <si>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</si>
  <si>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</si>
  <si>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</si>
  <si>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</si>
  <si>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</si>
  <si>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</si>
  <si>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</si>
  <si>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</si>
  <si>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</si>
  <si>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</si>
  <si>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</si>
  <si>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</si>
  <si>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</si>
  <si>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</si>
  <si>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</si>
  <si>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</si>
  <si>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</si>
  <si>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</si>
  <si>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</si>
  <si>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</si>
  <si>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</si>
  <si>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</si>
  <si>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</si>
  <si>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</si>
  <si>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</si>
  <si>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</si>
  <si>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</si>
  <si>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</si>
  <si>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</si>
  <si>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</si>
  <si>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</si>
  <si>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</si>
  <si>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</si>
  <si>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</si>
  <si>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</si>
  <si>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</si>
  <si>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</si>
  <si>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</si>
  <si>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</si>
  <si>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</si>
  <si>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</si>
  <si>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</si>
  <si>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</si>
  <si>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</si>
  <si>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</si>
  <si>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</si>
  <si>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</si>
  <si>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</si>
  <si>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</si>
  <si>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</si>
  <si>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</si>
  <si>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</si>
  <si>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</si>
  <si>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</si>
  <si>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</si>
  <si>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</si>
  <si>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</si>
  <si>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</si>
  <si>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</si>
  <si>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</si>
  <si>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</si>
  <si>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</si>
  <si>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</si>
  <si>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</si>
  <si>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</si>
  <si>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</si>
  <si>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</si>
  <si>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</si>
  <si>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</si>
  <si>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</si>
  <si>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</si>
  <si>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</si>
  <si>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</si>
  <si>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</si>
  <si>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</si>
  <si>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</si>
  <si>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</si>
  <si>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</si>
  <si>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</si>
  <si>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</si>
  <si>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</si>
  <si>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</si>
  <si>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</si>
  <si>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</si>
  <si>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</si>
  <si>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</si>
  <si>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</si>
  <si>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</si>
  <si>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</si>
  <si>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</si>
  <si>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</si>
  <si>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</si>
  <si>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</si>
  <si>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</si>
  <si>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</si>
  <si>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</si>
  <si>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</si>
  <si>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</si>
  <si>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</si>
  <si>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</si>
  <si>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</si>
  <si>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</si>
  <si>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</si>
  <si>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</si>
  <si>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</si>
  <si>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</si>
  <si>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</si>
  <si>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</si>
  <si>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</si>
  <si>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</si>
  <si>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</si>
  <si>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</si>
  <si>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</si>
  <si>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</si>
  <si>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</si>
  <si>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</si>
  <si>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</si>
  <si>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</si>
  <si>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</si>
  <si>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</si>
  <si>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</si>
  <si>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</si>
  <si>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</si>
  <si>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</si>
  <si>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</si>
  <si>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</si>
  <si>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</si>
  <si>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</si>
  <si>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</si>
  <si>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</si>
  <si>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</si>
  <si>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</si>
  <si>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</si>
  <si>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</si>
  <si>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</si>
  <si>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</si>
  <si>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</si>
  <si>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</si>
  <si>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</si>
  <si>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</si>
  <si>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</si>
  <si>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</si>
  <si>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</si>
  <si>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</si>
  <si>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</si>
  <si>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</si>
  <si>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</si>
  <si>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</si>
  <si>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</si>
  <si>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</si>
  <si>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</si>
  <si>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</si>
  <si>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</si>
  <si>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</si>
  <si>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</si>
  <si>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</si>
  <si>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</si>
  <si>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</si>
  <si>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</si>
  <si>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</si>
  <si>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</si>
  <si>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</si>
  <si>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</si>
  <si>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</si>
  <si>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</si>
  <si>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</si>
  <si>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</si>
  <si>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</si>
  <si>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</si>
  <si>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</si>
  <si>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</si>
  <si>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</si>
  <si>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</si>
  <si>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</si>
  <si>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</si>
  <si>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</si>
  <si>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</si>
  <si>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</si>
  <si>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</si>
  <si>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</si>
  <si>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</si>
  <si>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</si>
  <si>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</si>
  <si>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</si>
  <si>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</si>
  <si>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</si>
  <si>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</si>
  <si>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</si>
  <si>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</si>
  <si>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</si>
  <si>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</si>
  <si>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</si>
  <si>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</si>
  <si>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</si>
  <si>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</si>
  <si>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</si>
  <si>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</si>
  <si>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</si>
  <si>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</si>
  <si>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</si>
  <si>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</si>
  <si>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</si>
  <si>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</si>
  <si>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</si>
  <si>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</si>
  <si>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</si>
  <si>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</si>
  <si>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</si>
  <si>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</si>
  <si>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</si>
  <si>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</si>
  <si>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</si>
  <si>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</si>
  <si>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</si>
  <si>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</si>
  <si>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</si>
  <si>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</si>
  <si>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</si>
  <si>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</si>
  <si>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</si>
  <si>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</si>
  <si>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</si>
  <si>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</si>
  <si>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</si>
  <si>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</si>
  <si>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</si>
  <si>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INFO</t>
  </si>
  <si>
    <t>Starting. host=127.0.0.1 port=7497 clientId=11 mktDataType=3 interval=0.25s</t>
  </si>
  <si>
    <t>Connected to TWS.</t>
  </si>
  <si>
    <t>Loaded 36 contracts from Symbols sheet.</t>
  </si>
  <si>
    <t>NKD</t>
  </si>
  <si>
    <t>NKDM6</t>
  </si>
  <si>
    <t>NKD 12JUN26</t>
  </si>
  <si>
    <t>ERROR</t>
  </si>
  <si>
    <t>Loop error: (-2147352567, 'Exception occurred.', (0, None, None, None, 0, -2146777998), None). Reconnecting in 2s.</t>
  </si>
  <si>
    <t>Reconnected to TWS.</t>
  </si>
  <si>
    <t>Long NKD Futures</t>
  </si>
  <si>
    <t>Loop error: (-2147352567, 'Exception occurred.', (0, None, None, None, 0, -2146827284), None). Reconnecting in 2s.</t>
  </si>
  <si>
    <t>OGM6 C5500</t>
  </si>
  <si>
    <t>OGM6 C4930</t>
  </si>
  <si>
    <t>C</t>
  </si>
  <si>
    <t>OG</t>
  </si>
  <si>
    <t>Long GC Call Spread</t>
  </si>
  <si>
    <t>Loaded 38 contracts from Symbols sheet.</t>
  </si>
  <si>
    <t>GC JUN26 4930 C</t>
  </si>
  <si>
    <t>GC JUN26 5500 C</t>
  </si>
  <si>
    <t>RISK</t>
  </si>
  <si>
    <t>Close</t>
  </si>
  <si>
    <t>End of deflation era / pro-growth government policies / attractive valuations</t>
  </si>
  <si>
    <t>Weekly retrace to previous support area and weekly up</t>
  </si>
  <si>
    <t>Weekly hammer after 50% retrace and weekly up</t>
  </si>
  <si>
    <t>Central banks buying spree / geopolitical or dollar shock hedge</t>
  </si>
  <si>
    <t>Rate differential expectations, BCE 2-3 hikes before year-end</t>
  </si>
  <si>
    <t>Weekly doji + weekly up / potential continuation to new highs</t>
  </si>
  <si>
    <t>Long 6E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</si>
</sst>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  <numFmt numFmtId="176" formatCode="#,##0.000"/>
    <numFmt numFmtId="177" formatCode="#,##0.0000;\-#,##0.0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100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76" fontId="5" fillId="0" borderId="0" xfId="2" applyNumberFormat="1" applyFont="1" applyAlignment="1">
      <alignment horizontal="center"/>
    </xf>
    <xf numFmtId="169" fontId="5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3.1763048617103662E-2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6.1420510632011149E-2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4"/>
                <c:pt idx="0">
                  <c:v>1000</c:v>
                </c:pt>
                <c:pt idx="1">
                  <c:v>1000</c:v>
                </c:pt>
                <c:pt idx="2">
                  <c:v>1028.744450632011</c:v>
                </c:pt>
                <c:pt idx="3">
                  <c:v>1061.4205106320112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8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  <c:pt idx="6">
                  <c:v>-5.8519850599000112E-2</c:v>
                </c:pt>
                <c:pt idx="7">
                  <c:v>-6.7934652093010084E-2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-9.000000000000008E-3</c:v>
                </c:pt>
                <c:pt idx="3">
                  <c:v>-1.8584219999999929E-2</c:v>
                </c:pt>
                <c:pt idx="4">
                  <c:v>-2.5776719999999975E-2</c:v>
                </c:pt>
                <c:pt idx="5">
                  <c:v>-1.7031719999999972E-2</c:v>
                </c:pt>
                <c:pt idx="6">
                  <c:v>-2.6937720000000054E-2</c:v>
                </c:pt>
                <c:pt idx="7">
                  <c:v>-3.5797095000000057E-2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8"/>
                <c:pt idx="0">
                  <c:v>0</c:v>
                </c:pt>
                <c:pt idx="1">
                  <c:v>1.0612690632010979E-2</c:v>
                </c:pt>
                <c:pt idx="2">
                  <c:v>1.0933780632010892E-2</c:v>
                </c:pt>
                <c:pt idx="3">
                  <c:v>6.1195606320108009E-3</c:v>
                </c:pt>
                <c:pt idx="4">
                  <c:v>1.6517090632010678E-2</c:v>
                </c:pt>
                <c:pt idx="5">
                  <c:v>5.5127830632010433E-2</c:v>
                </c:pt>
                <c:pt idx="6">
                  <c:v>5.4702790632010334E-2</c:v>
                </c:pt>
                <c:pt idx="7">
                  <c:v>5.7471540632010543E-2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2656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158</v>
      </c>
      <c r="C1" s="79">
        <f ca="1">TODAY()</f>
        <v>46125</v>
      </c>
    </row>
    <row r="2" spans="2:11" x14ac:dyDescent="0.4">
      <c r="B2" s="32" t="s">
        <v>107</v>
      </c>
      <c r="C2" s="37" t="s">
        <v>342</v>
      </c>
      <c r="E2" s="47" t="s">
        <v>120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1061420.5106320111</v>
      </c>
      <c r="E3" s="47" t="s">
        <v>121</v>
      </c>
      <c r="F3" s="47" t="s">
        <v>290</v>
      </c>
      <c r="G3" s="47"/>
      <c r="H3" s="28"/>
    </row>
    <row r="4" spans="2:11" x14ac:dyDescent="0.4">
      <c r="B4" s="32" t="s">
        <v>52</v>
      </c>
      <c r="C4" s="28">
        <f>SUM(N18:N1012)</f>
        <v>61420.510632011181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168</v>
      </c>
      <c r="C5" s="3">
        <f ca="1">OFFSET(NAV!B1,MATCH(C1,NAV!B:B,1),11)</f>
        <v>6.1420510632011149E-2</v>
      </c>
      <c r="D5" s="3"/>
      <c r="E5" s="47" t="s">
        <v>178</v>
      </c>
      <c r="F5" s="47" t="s">
        <v>50</v>
      </c>
      <c r="G5" s="47"/>
      <c r="H5" s="28"/>
      <c r="K5" s="51"/>
    </row>
    <row r="6" spans="2:11" x14ac:dyDescent="0.4">
      <c r="B6" s="32" t="s">
        <v>169</v>
      </c>
      <c r="C6" s="3">
        <f ca="1">OFFSET(NAV!B1,MATCH(C1,NAV!B:B,1),12)</f>
        <v>3.1763048617103662E-2</v>
      </c>
      <c r="D6" s="3"/>
      <c r="E6" s="47" t="s">
        <v>312</v>
      </c>
      <c r="F6" s="47"/>
      <c r="G6" s="47"/>
      <c r="H6" s="28"/>
      <c r="K6" s="51"/>
    </row>
    <row r="7" spans="2:11" x14ac:dyDescent="0.4">
      <c r="B7" s="32" t="s">
        <v>137</v>
      </c>
      <c r="C7" s="28">
        <f>Cash_Mgmt!H13</f>
        <v>33651.029999999955</v>
      </c>
      <c r="D7" s="3">
        <f ca="1">C7/C3</f>
        <v>3.1703768358464092E-2</v>
      </c>
      <c r="E7" s="47"/>
      <c r="F7" s="47"/>
      <c r="G7" s="47"/>
      <c r="H7" s="51"/>
      <c r="K7" s="51"/>
    </row>
    <row r="8" spans="2:11" x14ac:dyDescent="0.4">
      <c r="B8" s="32" t="s">
        <v>138</v>
      </c>
      <c r="C8" s="28">
        <f>C4+C7</f>
        <v>95071.540632011136</v>
      </c>
      <c r="D8" s="3">
        <f ca="1">C5+D7</f>
        <v>9.3124278990475234E-2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1266855</v>
      </c>
      <c r="D9" s="3">
        <f ca="1">C9/$C$3</f>
        <v>1.1935467492009035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9480</v>
      </c>
      <c r="D10" s="3">
        <f t="shared" ref="D10:D14" ca="1" si="0">C10/$C$3</f>
        <v>8.9314271818199918E-3</v>
      </c>
      <c r="H10" s="44"/>
    </row>
    <row r="11" spans="2:11" x14ac:dyDescent="0.4">
      <c r="B11" s="32" t="s">
        <v>110</v>
      </c>
      <c r="C11" s="28">
        <f t="array" ref="C11">SUM((F19:F212="Put")*(M19:M212))</f>
        <v>4770</v>
      </c>
      <c r="D11" s="3">
        <f t="shared" ca="1" si="0"/>
        <v>4.4939776009790466E-3</v>
      </c>
    </row>
    <row r="12" spans="2:11" x14ac:dyDescent="0.4">
      <c r="B12" s="32" t="s">
        <v>111</v>
      </c>
      <c r="C12" s="28" cm="1">
        <f t="array" ref="C12">SUM((PLB!G4:G999="O")*(PLB!E4:E999))</f>
        <v>35797.095000000001</v>
      </c>
      <c r="D12" s="3">
        <f t="shared" ca="1" si="0"/>
        <v>3.3725648450758705E-2</v>
      </c>
    </row>
    <row r="13" spans="2:11" x14ac:dyDescent="0.4">
      <c r="B13" s="32" t="s">
        <v>132</v>
      </c>
      <c r="C13" s="28">
        <f t="array" ref="C13">SUM((PLB!G4:G999="O")*(PLB!D4:D999))</f>
        <v>57471.540632011231</v>
      </c>
      <c r="D13" s="3">
        <f t="shared" ca="1" si="0"/>
        <v>5.4145873436900555E-2</v>
      </c>
      <c r="F13" s="59"/>
      <c r="G13" s="59"/>
    </row>
    <row r="14" spans="2:11" x14ac:dyDescent="0.4">
      <c r="B14" s="32" t="s">
        <v>133</v>
      </c>
      <c r="C14" s="28">
        <f>C12+C13</f>
        <v>93268.635632011225</v>
      </c>
      <c r="D14" s="3">
        <f t="shared" ca="1" si="0"/>
        <v>8.7871521887659246E-2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119</v>
      </c>
      <c r="F17" s="4" t="s">
        <v>2</v>
      </c>
      <c r="G17" s="4" t="s">
        <v>142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341</v>
      </c>
      <c r="Q17" s="4" t="s">
        <v>113</v>
      </c>
      <c r="R17" s="4" t="s">
        <v>3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130</v>
      </c>
      <c r="C18" s="12"/>
      <c r="D18" s="12"/>
      <c r="E18" s="10" t="s">
        <v>178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3948.9699999999543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185</v>
      </c>
      <c r="C19" s="10">
        <v>1</v>
      </c>
      <c r="D19" s="10" t="s">
        <v>187</v>
      </c>
      <c r="E19" s="10" t="s">
        <v>312</v>
      </c>
      <c r="F19" s="10" t="s">
        <v>290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1986.5461873597799</v>
      </c>
      <c r="L19" s="29">
        <f t="shared" ref="L19" si="2">IF(I19=0,IF(H19&gt;0,X19,Y19),Z19)</f>
        <v>2198.8000000000002</v>
      </c>
      <c r="M19" s="28">
        <f t="shared" ref="M19" si="3">I19*J19*L19</f>
        <v>109940.00000000001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10612.690632011014</v>
      </c>
      <c r="O19" s="29">
        <f>VLOOKUP(D19,Multiplier!B:H,3,0)</f>
        <v>140</v>
      </c>
      <c r="P19" s="27"/>
      <c r="Q19" s="27"/>
      <c r="R19" s="28">
        <f t="shared" ref="R19" si="4">(1-Q19)*P19*J19*H19</f>
        <v>0</v>
      </c>
      <c r="S19" s="29">
        <f>IF(OR(F19="Futures",F19="Spot"),IF(I19=0,0,IF(I19&gt;0,L19-O19,L19+O19)),0)</f>
        <v>2058.8000000000002</v>
      </c>
      <c r="T19" s="3">
        <f t="shared" ref="T19" si="5">IF(S19&gt;0,IF(ISNUMBER(S19/L19-1),S19/L19-1,0),0)</f>
        <v>-6.3671093323631078E-2</v>
      </c>
      <c r="U19" s="29">
        <f>IF(OR(F19="Futures",F19="Spot"),IF(I19=0,0,IF(I19&gt;0,K19-P19,K19+P19)),0)</f>
        <v>1986.5461873597799</v>
      </c>
      <c r="V19" s="3">
        <f t="shared" ref="V19" si="6">IF(U19&gt;0,IF(ISNUMBER(U19/L19-1),U19/L19-1,0),0)</f>
        <v>-9.6531659377942614E-2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2198.8000000000002</v>
      </c>
      <c r="AB19" s="29"/>
    </row>
    <row r="20" spans="2:28" x14ac:dyDescent="0.4">
      <c r="B20" s="9" t="s">
        <v>282</v>
      </c>
      <c r="C20" s="10">
        <v>2</v>
      </c>
      <c r="D20" s="10" t="s">
        <v>34</v>
      </c>
      <c r="E20" s="10" t="s">
        <v>121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3246</v>
      </c>
      <c r="M20" s="28">
        <f t="shared" ref="M20" si="9">I20*J20*L20</f>
        <v>97380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321.08999999999651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3041</v>
      </c>
      <c r="T20" s="3">
        <f t="shared" ref="T20" si="11">IF(S20&gt;0,IF(ISNUMBER(S20/L20-1),S20/L20-1,0),0)</f>
        <v>-6.3154651879235968E-2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-9.5718730745532943E-2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3246</v>
      </c>
      <c r="AB20" s="29"/>
    </row>
    <row r="21" spans="2:28" x14ac:dyDescent="0.4">
      <c r="B21" s="9" t="s">
        <v>304</v>
      </c>
      <c r="C21" s="10">
        <v>3</v>
      </c>
      <c r="D21" s="10" t="s">
        <v>24</v>
      </c>
      <c r="E21" s="10" t="s">
        <v>121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1.75</v>
      </c>
      <c r="M21" s="28">
        <f t="shared" ref="M21:M22" si="16">I21*J21*L21</f>
        <v>5250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-5377.1100000000024</v>
      </c>
      <c r="O21" s="29">
        <f>VLOOKUP(D21,Multiplier!B:H,3,0)</f>
        <v>2.1</v>
      </c>
      <c r="P21" s="27">
        <v>3.5423700000000009</v>
      </c>
      <c r="Q21" s="27"/>
      <c r="R21" s="28">
        <f t="shared" ref="R21:R22" si="17">(1-Q21)*P21*J21*H21</f>
        <v>10627.110000000002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1.75</v>
      </c>
      <c r="AB21" s="29"/>
    </row>
    <row r="22" spans="2:28" x14ac:dyDescent="0.4">
      <c r="B22" s="9" t="s">
        <v>305</v>
      </c>
      <c r="C22" s="10">
        <v>3</v>
      </c>
      <c r="D22" s="10" t="s">
        <v>24</v>
      </c>
      <c r="E22" s="10" t="s">
        <v>121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0.34762999999999999</v>
      </c>
      <c r="L22" s="29">
        <f t="shared" si="15"/>
        <v>0.16</v>
      </c>
      <c r="M22" s="28">
        <f t="shared" si="16"/>
        <v>-480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562.88999999999987</v>
      </c>
      <c r="O22" s="29">
        <f>VLOOKUP(D22,Multiplier!B:H,3,0)</f>
        <v>2.1</v>
      </c>
      <c r="P22" s="27">
        <v>0.34762999999999994</v>
      </c>
      <c r="Q22" s="27"/>
      <c r="R22" s="28">
        <f t="shared" si="17"/>
        <v>-1042.8899999999999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0.16</v>
      </c>
      <c r="AB22" s="29"/>
    </row>
    <row r="23" spans="2:28" x14ac:dyDescent="0.4">
      <c r="B23" s="9" t="s">
        <v>316</v>
      </c>
      <c r="C23" s="10">
        <v>4</v>
      </c>
      <c r="D23" s="10" t="s">
        <v>25</v>
      </c>
      <c r="E23" s="10" t="s">
        <v>121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5.4700988000000006</v>
      </c>
      <c r="L23" s="29">
        <f t="shared" ref="L23" si="23">IF(I23=0,IF(H23&gt;0,X23,Y23),Z23)</f>
        <v>5.8860000000000001</v>
      </c>
      <c r="M23" s="28">
        <f t="shared" ref="M23" si="24">I23*J23*L23</f>
        <v>147150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10397.529999999999</v>
      </c>
      <c r="O23" s="29">
        <f>VLOOKUP(D23,Multiplier!B:H,3,0)</f>
        <v>0.1918</v>
      </c>
      <c r="P23" s="27">
        <v>0.28770000000000001</v>
      </c>
      <c r="Q23" s="27"/>
      <c r="R23" s="28">
        <f t="shared" ref="R23" si="25">(1-Q23)*P23*J23*H23</f>
        <v>7192.5</v>
      </c>
      <c r="S23" s="29">
        <f t="shared" ref="S23" si="26">IF(OR(F23="Futures",F23="Spot"),IF(I23=0,0,IF(I23&gt;0,L23-O23,L23+O23)),0)</f>
        <v>5.6942000000000004</v>
      </c>
      <c r="T23" s="3">
        <f t="shared" ref="T23" si="27">IF(S23&gt;0,IF(ISNUMBER(S23/L23-1),S23/L23-1,0),0)</f>
        <v>-3.2585796805980283E-2</v>
      </c>
      <c r="U23" s="29">
        <f t="shared" ref="U23" si="28">IF(OR(F23="Futures",F23="Stocks"),IF(I23=0,0,IF(I23&gt;0,K23-P23,K23+P23)),0)</f>
        <v>5.1823988000000005</v>
      </c>
      <c r="V23" s="3">
        <f t="shared" ref="V23" si="29">IF(U23&gt;0,IF(ISNUMBER(U23/L23-1),U23/L23-1,0),0)</f>
        <v>-0.1195380903839619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5.8860000000000001</v>
      </c>
      <c r="AB23" s="29"/>
    </row>
    <row r="24" spans="2:28" x14ac:dyDescent="0.4">
      <c r="B24" s="9" t="s">
        <v>326</v>
      </c>
      <c r="C24" s="10">
        <v>5</v>
      </c>
      <c r="D24" s="10" t="s">
        <v>325</v>
      </c>
      <c r="E24" s="10" t="s">
        <v>120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1</v>
      </c>
      <c r="J24" s="28">
        <f>VLOOKUP(D24,Multiplier!B:D,2,0)</f>
        <v>5</v>
      </c>
      <c r="K24" s="29">
        <f t="shared" ref="K24" si="30">L24-N24/(H24*J24)</f>
        <v>49667.851999999999</v>
      </c>
      <c r="L24" s="29">
        <f t="shared" ref="L24" si="31">IF(I24=0,IF(H24&gt;0,X24,Y24),Z24)</f>
        <v>57390</v>
      </c>
      <c r="M24" s="28">
        <f t="shared" ref="M24" si="32">I24*J24*L24</f>
        <v>286950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38610.739999999991</v>
      </c>
      <c r="O24" s="29">
        <f>VLOOKUP(D24,Multiplier!B:H,3,0)</f>
        <v>1749</v>
      </c>
      <c r="P24" s="27">
        <v>-1749</v>
      </c>
      <c r="Q24" s="27"/>
      <c r="R24" s="28">
        <f t="shared" ref="R24" si="33">(1-Q24)*P24*J24*H24</f>
        <v>-8745</v>
      </c>
      <c r="S24" s="29">
        <f t="shared" ref="S24" si="34">IF(OR(F24="Futures",F24="Spot"),IF(I24=0,0,IF(I24&gt;0,L24-O24,L24+O24)),0)</f>
        <v>55641</v>
      </c>
      <c r="T24" s="3">
        <f t="shared" ref="T24" si="35">IF(S24&gt;0,IF(ISNUMBER(S24/L24-1),S24/L24-1,0),0)</f>
        <v>-3.0475692629377993E-2</v>
      </c>
      <c r="U24" s="29">
        <f t="shared" ref="U24" si="36">IF(OR(F24="Futures",F24="Stocks"),IF(I24=0,0,IF(I24&gt;0,K24-P24,K24+P24)),0)</f>
        <v>51416.851999999999</v>
      </c>
      <c r="V24" s="3">
        <f t="shared" ref="V24" si="37">IF(U24&gt;0,IF(ISNUMBER(U24/L24-1),U24/L24-1,0),0)</f>
        <v>-0.10407994424115696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51468.333333333336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57390</v>
      </c>
      <c r="AB24" s="29"/>
    </row>
    <row r="25" spans="2:28" x14ac:dyDescent="0.4">
      <c r="B25" s="9" t="s">
        <v>333</v>
      </c>
      <c r="C25" s="10">
        <v>6</v>
      </c>
      <c r="D25" s="10" t="s">
        <v>26</v>
      </c>
      <c r="E25" s="10" t="s">
        <v>121</v>
      </c>
      <c r="F25" s="10" t="s">
        <v>83</v>
      </c>
      <c r="G25" s="28">
        <f>VLOOKUP(D25,Multiplier!B:I,8,0)</f>
        <v>0</v>
      </c>
      <c r="H25" s="11">
        <v>-1</v>
      </c>
      <c r="I25" s="28">
        <f t="array" ref="I25">ROUND(SUM((Trades!V$2:V$9999)*(Trades!U$2:U$9999=Blotter!B25)*(Trades!$T$2:T$9999=Blotter!C25)),8)</f>
        <v>-1</v>
      </c>
      <c r="J25" s="28">
        <f>VLOOKUP(D25,Multiplier!B:D,2,0)</f>
        <v>100</v>
      </c>
      <c r="K25" s="29">
        <f t="shared" ref="K25:K26" si="38">L25-N25/(H25*J25)</f>
        <v>26.3748</v>
      </c>
      <c r="L25" s="29">
        <f t="shared" ref="L25:L26" si="39">IF(I25=0,IF(H25&gt;0,X25,Y25),Z25)</f>
        <v>17.600000000000001</v>
      </c>
      <c r="M25" s="28">
        <f t="shared" ref="M25:M26" si="40">I25*J25*L25</f>
        <v>-1760.0000000000002</v>
      </c>
      <c r="N25" s="95">
        <f t="array" ref="N25">-SUM((Trades!T$2:T$9999=Blotter!C25)*(Trades!U$2:U$9999=Blotter!B25)*(Trades!V$2:V$9999)*(Trades!W$2:W$9999))*J25+SUM((Trades!T$2:T$9999=Blotter!C25)*(Trades!U$2:U$9999=Blotter!B25)*(Trades!X$2:X$9999))+(L25*I25)*J25</f>
        <v>877.47999999999979</v>
      </c>
      <c r="O25" s="29">
        <f>VLOOKUP(D25,Multiplier!B:H,3,0)</f>
        <v>185.2</v>
      </c>
      <c r="P25" s="27">
        <v>26.37</v>
      </c>
      <c r="Q25" s="27"/>
      <c r="R25" s="28">
        <f t="shared" ref="R25:R26" si="41">(1-Q25)*P25*J25*H25</f>
        <v>-2637</v>
      </c>
      <c r="S25" s="29">
        <f t="shared" ref="S25:S26" si="42">IF(OR(F25="Futures",F25="Spot"),IF(I25=0,0,IF(I25&gt;0,L25-O25,L25+O25)),0)</f>
        <v>0</v>
      </c>
      <c r="T25" s="3">
        <f t="shared" ref="T25:T26" si="43">IF(S25&gt;0,IF(ISNUMBER(S25/L25-1),S25/L25-1,0),0)</f>
        <v>0</v>
      </c>
      <c r="U25" s="29">
        <f t="shared" ref="U25:U26" si="44">IF(OR(F25="Futures",F25="Stocks"),IF(I25=0,0,IF(I25&gt;0,K25-P25,K25+P25)),0)</f>
        <v>0</v>
      </c>
      <c r="V25" s="3">
        <f t="shared" ref="V25:V26" si="45">IF(U25&gt;0,IF(ISNUMBER(U25/L25-1),U25/L25-1,0),0)</f>
        <v>0</v>
      </c>
      <c r="X25" s="34">
        <f t="array" ref="X25">IF(ISNUMBER(SUM((Trades!T$2:T$9999=Blotter!C25)*(Trades!U$2:U$9999=Blotter!B25)*(Trades!W$2:W$9999)*(Trades!V$2:V$9999)*(Trades!V$2:V$9999&lt;0))/SUM((Trades!T$2:T$9999=Blotter!C25)*(Trades!U$2:U$9999=Blotter!B25)*(Trades!V$2:V$9999)*(Trades!V$2:V$9999&lt;0))),SUM((Trades!T$2:T$9999=Blotter!C25)*(Trades!U$2:U$9999=Blotter!B25)*(Trades!W$2:W$9999)*(Trades!V$2:V$9999)*(Trades!V$2:V$9999&lt;0))/SUM((Trades!T$2:T$9999=Blotter!C25)*(Trades!U$2:U$9999=Blotter!B25)*(Trades!V$2:V$9999)*(Trades!V$2:V$9999&lt;0)),0)</f>
        <v>26.4</v>
      </c>
      <c r="Y25" s="34">
        <f t="array" ref="Y25">IF(ISNUMBER(SUM((Trades!T$2:T$9999=Blotter!C25)*(Trades!U$2:U$9999=Blotter!B25)*(Trades!W$2:W$9999)*(Trades!V$2:V$9999)*(Trades!V$2:V$9999&gt;0))/SUM((Trades!T$2:T$9999=Blotter!C25)*(Trades!U$2:U$9999=Blotter!B25)*(Trades!V$2:V$9999)*(Trades!V$2:V$9999&gt;0))),SUM((Trades!T$2:T$9999=Blotter!C25)*(Trades!U$2:U$9999=Blotter!B25)*(Trades!W$2:W$9999)*(Trades!V$2:V$9999)*(Trades!V$2:V$9999&gt;0))/SUM((Trades!T$2:T$9999=Blotter!C25)*(Trades!U$2:U$9999=Blotter!B25)*(Trades!V$2:V$9999)*(Trades!V$2:V$9999&gt;0)),0)</f>
        <v>0</v>
      </c>
      <c r="Z25" s="35">
        <f>IF(C$2="Last",IF(ISNUMBER(VLOOKUP(B25,Prices!A:L,8,0)),VLOOKUP(B25,Prices!A:L,8,0),0),IF(ISNUMBER(VLOOKUP(B25,Prices!A:L,12,0)),VLOOKUP(B25,Prices!A:L,12,0),0))</f>
        <v>17.600000000000001</v>
      </c>
      <c r="AB25" s="29"/>
    </row>
    <row r="26" spans="2:28" x14ac:dyDescent="0.4">
      <c r="B26" s="9" t="s">
        <v>334</v>
      </c>
      <c r="C26" s="10">
        <v>6</v>
      </c>
      <c r="D26" s="10" t="s">
        <v>26</v>
      </c>
      <c r="E26" s="10" t="s">
        <v>121</v>
      </c>
      <c r="F26" s="10" t="s">
        <v>83</v>
      </c>
      <c r="G26" s="28">
        <f>VLOOKUP(D26,Multiplier!B:I,8,0)</f>
        <v>0</v>
      </c>
      <c r="H26" s="11">
        <v>1</v>
      </c>
      <c r="I26" s="28">
        <f t="array" ref="I26">ROUND(SUM((Trades!V$2:V$9999)*(Trades!U$2:U$9999=Blotter!B26)*(Trades!$T$2:T$9999=Blotter!C26)),8)</f>
        <v>1</v>
      </c>
      <c r="J26" s="28">
        <f>VLOOKUP(D26,Multiplier!B:D,2,0)</f>
        <v>100</v>
      </c>
      <c r="K26" s="29">
        <f t="shared" si="38"/>
        <v>125.42520000000002</v>
      </c>
      <c r="L26" s="29">
        <f t="shared" si="39"/>
        <v>112.4</v>
      </c>
      <c r="M26" s="28">
        <f t="shared" si="40"/>
        <v>11240</v>
      </c>
      <c r="N26" s="95">
        <f t="array" ref="N26">-SUM((Trades!T$2:T$9999=Blotter!C26)*(Trades!U$2:U$9999=Blotter!B26)*(Trades!V$2:V$9999)*(Trades!W$2:W$9999))*J26+SUM((Trades!T$2:T$9999=Blotter!C26)*(Trades!U$2:U$9999=Blotter!B26)*(Trades!X$2:X$9999))+(L26*I26)*J26</f>
        <v>-1302.5200000000004</v>
      </c>
      <c r="O26" s="29">
        <f>VLOOKUP(D26,Multiplier!B:H,3,0)</f>
        <v>185.2</v>
      </c>
      <c r="P26" s="27">
        <v>125.43</v>
      </c>
      <c r="Q26" s="27"/>
      <c r="R26" s="28">
        <f t="shared" si="41"/>
        <v>12543</v>
      </c>
      <c r="S26" s="29">
        <f t="shared" si="42"/>
        <v>0</v>
      </c>
      <c r="T26" s="3">
        <f t="shared" si="43"/>
        <v>0</v>
      </c>
      <c r="U26" s="29">
        <f t="shared" si="44"/>
        <v>0</v>
      </c>
      <c r="V26" s="3">
        <f t="shared" si="45"/>
        <v>0</v>
      </c>
      <c r="X26" s="34">
        <f t="array" ref="X26">IF(ISNUMBER(SUM((Trades!T$2:T$9999=Blotter!C26)*(Trades!U$2:U$9999=Blotter!B26)*(Trades!W$2:W$9999)*(Trades!V$2:V$9999)*(Trades!V$2:V$9999&lt;0))/SUM((Trades!T$2:T$9999=Blotter!C26)*(Trades!U$2:U$9999=Blotter!B26)*(Trades!V$2:V$9999)*(Trades!V$2:V$9999&lt;0))),SUM((Trades!T$2:T$9999=Blotter!C26)*(Trades!U$2:U$9999=Blotter!B26)*(Trades!W$2:W$9999)*(Trades!V$2:V$9999)*(Trades!V$2:V$9999&lt;0))/SUM((Trades!T$2:T$9999=Blotter!C26)*(Trades!U$2:U$9999=Blotter!B26)*(Trades!V$2:V$9999)*(Trades!V$2:V$9999&lt;0)),0)</f>
        <v>0</v>
      </c>
      <c r="Y26" s="34">
        <f t="array" ref="Y26">IF(ISNUMBER(SUM((Trades!T$2:T$9999=Blotter!C26)*(Trades!U$2:U$9999=Blotter!B26)*(Trades!W$2:W$9999)*(Trades!V$2:V$9999)*(Trades!V$2:V$9999&gt;0))/SUM((Trades!T$2:T$9999=Blotter!C26)*(Trades!U$2:U$9999=Blotter!B26)*(Trades!V$2:V$9999)*(Trades!V$2:V$9999&gt;0))),SUM((Trades!T$2:T$9999=Blotter!C26)*(Trades!U$2:U$9999=Blotter!B26)*(Trades!W$2:W$9999)*(Trades!V$2:V$9999)*(Trades!V$2:V$9999&gt;0))/SUM((Trades!T$2:T$9999=Blotter!C26)*(Trades!U$2:U$9999=Blotter!B26)*(Trades!V$2:V$9999)*(Trades!V$2:V$9999&gt;0)),0)</f>
        <v>125.4</v>
      </c>
      <c r="Z26" s="35">
        <f>IF(C$2="Last",IF(ISNUMBER(VLOOKUP(B26,Prices!A:L,8,0)),VLOOKUP(B26,Prices!A:L,8,0),0),IF(ISNUMBER(VLOOKUP(B26,Prices!A:L,12,0)),VLOOKUP(B26,Prices!A:L,12,0),0))</f>
        <v>112.4</v>
      </c>
      <c r="AB26" s="29"/>
    </row>
    <row r="27" spans="2:28" x14ac:dyDescent="0.4">
      <c r="B27" s="9" t="s">
        <v>267</v>
      </c>
      <c r="C27" s="10">
        <v>7</v>
      </c>
      <c r="D27" s="10" t="s">
        <v>42</v>
      </c>
      <c r="E27" s="10" t="s">
        <v>20</v>
      </c>
      <c r="F27" s="10" t="s">
        <v>6</v>
      </c>
      <c r="G27" s="28">
        <f>VLOOKUP(D27,Multiplier!B:I,8,0)</f>
        <v>8</v>
      </c>
      <c r="H27" s="11">
        <v>5</v>
      </c>
      <c r="I27" s="28">
        <f t="array" ref="I27">ROUND(SUM((Trades!V$2:V$9999)*(Trades!U$2:U$9999=Blotter!B27)*(Trades!$T$2:T$9999=Blotter!C27)),8)</f>
        <v>5</v>
      </c>
      <c r="J27" s="28">
        <f>VLOOKUP(D27,Multiplier!B:D,2,0)</f>
        <v>125000</v>
      </c>
      <c r="K27" s="99">
        <f t="shared" ref="K27" si="46">L27-N27/(H27*J27)</f>
        <v>1.1721699999999997</v>
      </c>
      <c r="L27" s="99">
        <f t="shared" ref="L27" si="47">IF(I27=0,IF(H27&gt;0,X27,Y27),Z27)</f>
        <v>1.1766000000000001</v>
      </c>
      <c r="M27" s="28">
        <f t="shared" ref="M27" si="48">I27*J27*L27</f>
        <v>735375</v>
      </c>
      <c r="N27" s="95">
        <f t="array" ref="N27">-SUM((Trades!T$2:T$9999=Blotter!C27)*(Trades!U$2:U$9999=Blotter!B27)*(Trades!V$2:V$9999)*(Trades!W$2:W$9999))*J27+SUM((Trades!T$2:T$9999=Blotter!C27)*(Trades!U$2:U$9999=Blotter!B27)*(Trades!X$2:X$9999))+(L27*I27)*J27</f>
        <v>2768.7500000002328</v>
      </c>
      <c r="O27" s="46">
        <f>VLOOKUP(D27,Multiplier!B:H,3,0)</f>
        <v>9.4500000000000001E-3</v>
      </c>
      <c r="P27" s="98">
        <f>0.00945*1.5</f>
        <v>1.4175E-2</v>
      </c>
      <c r="Q27" s="27"/>
      <c r="R27" s="28">
        <f t="shared" ref="R27" si="49">(1-Q27)*P27*J27*H27</f>
        <v>8859.375</v>
      </c>
      <c r="S27" s="29">
        <f t="shared" ref="S27" si="50">IF(OR(F27="Futures",F27="Spot"),IF(I27=0,0,IF(I27&gt;0,L27-O27,L27+O27)),0)</f>
        <v>1.1671500000000001</v>
      </c>
      <c r="T27" s="3">
        <f t="shared" ref="T27" si="51">IF(S27&gt;0,IF(ISNUMBER(S27/L27-1),S27/L27-1,0),0)</f>
        <v>-8.0316165221825386E-3</v>
      </c>
      <c r="U27" s="29">
        <f t="shared" ref="U27" si="52">IF(OR(F27="Futures",F27="Stocks"),IF(I27=0,0,IF(I27&gt;0,K27-P27,K27+P27)),0)</f>
        <v>1.1579949999999997</v>
      </c>
      <c r="V27" s="3">
        <f t="shared" ref="V27" si="53">IF(U27&gt;0,IF(ISNUMBER(U27/L27-1),U27/L27-1,0),0)</f>
        <v>-1.581251062383171E-2</v>
      </c>
      <c r="X27" s="34">
        <f t="array" ref="X27">IF(ISNUMBER(SUM((Trades!T$2:T$9999=Blotter!C27)*(Trades!U$2:U$9999=Blotter!B27)*(Trades!W$2:W$9999)*(Trades!V$2:V$9999)*(Trades!V$2:V$9999&lt;0))/SUM((Trades!T$2:T$9999=Blotter!C27)*(Trades!U$2:U$9999=Blotter!B27)*(Trades!V$2:V$9999)*(Trades!V$2:V$9999&lt;0))),SUM((Trades!T$2:T$9999=Blotter!C27)*(Trades!U$2:U$9999=Blotter!B27)*(Trades!W$2:W$9999)*(Trades!V$2:V$9999)*(Trades!V$2:V$9999&lt;0))/SUM((Trades!T$2:T$9999=Blotter!C27)*(Trades!U$2:U$9999=Blotter!B27)*(Trades!V$2:V$9999)*(Trades!V$2:V$9999&lt;0)),0)</f>
        <v>0</v>
      </c>
      <c r="Y27" s="34">
        <f t="array" ref="Y27">IF(ISNUMBER(SUM((Trades!T$2:T$9999=Blotter!C27)*(Trades!U$2:U$9999=Blotter!B27)*(Trades!W$2:W$9999)*(Trades!V$2:V$9999)*(Trades!V$2:V$9999&gt;0))/SUM((Trades!T$2:T$9999=Blotter!C27)*(Trades!U$2:U$9999=Blotter!B27)*(Trades!V$2:V$9999)*(Trades!V$2:V$9999&gt;0))),SUM((Trades!T$2:T$9999=Blotter!C27)*(Trades!U$2:U$9999=Blotter!B27)*(Trades!W$2:W$9999)*(Trades!V$2:V$9999)*(Trades!V$2:V$9999&gt;0))/SUM((Trades!T$2:T$9999=Blotter!C27)*(Trades!U$2:U$9999=Blotter!B27)*(Trades!V$2:V$9999)*(Trades!V$2:V$9999&gt;0)),0)</f>
        <v>1.1721699999999999</v>
      </c>
      <c r="Z27" s="35">
        <f>IF(C$2="Last",IF(ISNUMBER(VLOOKUP(B27,Prices!A:L,8,0)),VLOOKUP(B27,Prices!A:L,8,0),0),IF(ISNUMBER(VLOOKUP(B27,Prices!A:L,12,0)),VLOOKUP(B27,Prices!A:L,12,0),0))</f>
        <v>1.1766000000000001</v>
      </c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/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136</v>
      </c>
      <c r="D2" s="4" t="s">
        <v>48</v>
      </c>
      <c r="E2" s="4" t="s">
        <v>10</v>
      </c>
      <c r="F2" s="4" t="s">
        <v>49</v>
      </c>
      <c r="G2" s="4" t="s">
        <v>127</v>
      </c>
      <c r="H2" s="2" t="s">
        <v>135</v>
      </c>
    </row>
    <row r="3" spans="2:8" x14ac:dyDescent="0.4">
      <c r="B3" s="17" t="s">
        <v>128</v>
      </c>
      <c r="C3" s="17"/>
      <c r="D3" s="10"/>
      <c r="E3" s="10"/>
      <c r="F3" s="10"/>
      <c r="G3" s="15">
        <v>2049.7199999999998</v>
      </c>
      <c r="H3" s="6">
        <f>-G3</f>
        <v>-2049.7199999999998</v>
      </c>
    </row>
    <row r="4" spans="2:8" x14ac:dyDescent="0.4">
      <c r="B4" s="17" t="s">
        <v>129</v>
      </c>
      <c r="C4" s="17"/>
      <c r="D4" s="10"/>
      <c r="E4" s="10"/>
      <c r="F4" s="10"/>
      <c r="G4" s="15">
        <v>599.25</v>
      </c>
      <c r="H4" s="6">
        <f>-G4</f>
        <v>-599.25</v>
      </c>
    </row>
    <row r="5" spans="2:8" x14ac:dyDescent="0.4">
      <c r="B5" s="17" t="s">
        <v>180</v>
      </c>
      <c r="C5" s="17"/>
      <c r="D5" s="10"/>
      <c r="E5" s="10"/>
      <c r="F5" s="10"/>
      <c r="G5" s="15"/>
      <c r="H5" s="6"/>
    </row>
    <row r="6" spans="2:8" x14ac:dyDescent="0.4">
      <c r="B6" s="17" t="s">
        <v>149</v>
      </c>
      <c r="C6" s="17"/>
      <c r="D6" s="10"/>
      <c r="E6" s="10"/>
      <c r="F6" s="10"/>
      <c r="G6" s="15"/>
      <c r="H6" s="6"/>
    </row>
    <row r="7" spans="2:8" x14ac:dyDescent="0.4">
      <c r="B7" s="17" t="s">
        <v>145</v>
      </c>
      <c r="C7" s="17"/>
      <c r="D7" s="10"/>
      <c r="E7" s="10"/>
      <c r="F7" s="10"/>
      <c r="G7" s="15"/>
      <c r="H7" s="6"/>
    </row>
    <row r="8" spans="2:8" x14ac:dyDescent="0.4">
      <c r="B8" s="17" t="s">
        <v>146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179</v>
      </c>
      <c r="C9" s="62"/>
      <c r="D9" s="27"/>
      <c r="E9" s="11"/>
      <c r="F9" s="29"/>
      <c r="G9" s="6"/>
      <c r="H9" s="6"/>
    </row>
    <row r="10" spans="2:8" x14ac:dyDescent="0.4">
      <c r="B10" s="17" t="s">
        <v>148</v>
      </c>
      <c r="C10" s="62"/>
      <c r="D10" s="27"/>
      <c r="E10" s="10"/>
      <c r="F10" s="29"/>
      <c r="G10" s="6"/>
      <c r="H10" s="6"/>
    </row>
    <row r="11" spans="2:8" x14ac:dyDescent="0.4">
      <c r="B11" s="17" t="s">
        <v>144</v>
      </c>
      <c r="C11" s="62"/>
      <c r="D11" s="27"/>
      <c r="E11" s="11"/>
      <c r="F11" s="29"/>
      <c r="G11" s="6"/>
      <c r="H11" s="6"/>
    </row>
    <row r="12" spans="2:8" x14ac:dyDescent="0.4">
      <c r="B12" s="52" t="s">
        <v>126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125</v>
      </c>
      <c r="C13" s="17"/>
      <c r="D13" s="10"/>
      <c r="E13" s="10"/>
      <c r="F13" s="10"/>
      <c r="G13" s="6">
        <f>SUM(G3:G12)</f>
        <v>3948.9699999999543</v>
      </c>
      <c r="H13" s="6">
        <f>SUM(H3:H12)</f>
        <v>33651.029999999955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158</v>
      </c>
      <c r="C2" s="4" t="s">
        <v>159</v>
      </c>
      <c r="D2" s="4" t="s">
        <v>160</v>
      </c>
      <c r="E2" s="4" t="s">
        <v>165</v>
      </c>
      <c r="F2" s="4" t="s">
        <v>161</v>
      </c>
      <c r="G2" s="4" t="s">
        <v>167</v>
      </c>
      <c r="H2" s="4" t="s">
        <v>162</v>
      </c>
      <c r="I2" s="4" t="s">
        <v>52</v>
      </c>
      <c r="J2" s="4" t="s">
        <v>166</v>
      </c>
      <c r="K2" s="4" t="s">
        <v>163</v>
      </c>
      <c r="L2" s="4" t="s">
        <v>143</v>
      </c>
      <c r="M2" s="4" t="s">
        <v>170</v>
      </c>
      <c r="N2" s="4" t="s">
        <v>171</v>
      </c>
      <c r="O2" s="4" t="s">
        <v>164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67">
        <v>28744.450632010939</v>
      </c>
      <c r="J5" s="70">
        <f t="shared" si="2"/>
        <v>1028744.4506320109</v>
      </c>
      <c r="K5" s="70">
        <f t="shared" si="3"/>
        <v>1000</v>
      </c>
      <c r="L5" s="71">
        <f t="shared" si="4"/>
        <v>1028.744450632011</v>
      </c>
      <c r="M5" s="72">
        <f t="shared" si="5"/>
        <v>2.8744450632010921E-2</v>
      </c>
      <c r="N5" s="73">
        <f t="shared" ref="N5" si="6">L5/L4-1</f>
        <v>2.8744450632010921E-2</v>
      </c>
      <c r="O5" s="75">
        <f>STDEVP(N$4:N5)*SQRT(12)</f>
        <v>4.9786848930298236E-2</v>
      </c>
    </row>
    <row r="6" spans="2:18" ht="14.25" x14ac:dyDescent="0.4">
      <c r="B6" s="76">
        <v>46142</v>
      </c>
      <c r="C6" s="67"/>
      <c r="D6" s="70">
        <f t="shared" ref="D6" si="7">C6*L5</f>
        <v>0</v>
      </c>
      <c r="E6" s="70">
        <f t="shared" ref="E6" si="8">J5+D6</f>
        <v>1028744.4506320109</v>
      </c>
      <c r="F6" s="67"/>
      <c r="G6" s="67"/>
      <c r="H6" s="67"/>
      <c r="I6" s="70">
        <f>Blotter!C$4-SUM(NAV!I$4:I5)</f>
        <v>32676.060000000241</v>
      </c>
      <c r="J6" s="70">
        <f t="shared" ref="J6" si="9">E6-F6-G6-H6+I6</f>
        <v>1061420.5106320111</v>
      </c>
      <c r="K6" s="70">
        <f t="shared" ref="K6" si="10">K5+C6</f>
        <v>1000</v>
      </c>
      <c r="L6" s="71">
        <f t="shared" ref="L6" si="11">J6/K6</f>
        <v>1061.4205106320112</v>
      </c>
      <c r="M6" s="72">
        <f t="shared" ref="M6" si="12">L6/$L$3-1</f>
        <v>6.1420510632011149E-2</v>
      </c>
      <c r="N6" s="73">
        <f t="shared" ref="N6" si="13">L6/L5-1</f>
        <v>3.1763048617103662E-2</v>
      </c>
      <c r="O6" s="75">
        <f>STDEVP(N$4:N6)*SQRT(12)</f>
        <v>4.9588259811965033E-2</v>
      </c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/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150</v>
      </c>
      <c r="I2" s="8" t="s">
        <v>154</v>
      </c>
      <c r="J2" s="8" t="s">
        <v>151</v>
      </c>
      <c r="K2" s="8" t="s">
        <v>155</v>
      </c>
      <c r="L2" s="8" t="s">
        <v>156</v>
      </c>
      <c r="M2" s="4" t="s">
        <v>152</v>
      </c>
      <c r="N2" s="8" t="s">
        <v>154</v>
      </c>
      <c r="O2" s="4" t="s">
        <v>153</v>
      </c>
      <c r="P2" s="4" t="s">
        <v>157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122</v>
      </c>
      <c r="X2" s="38" t="s">
        <v>123</v>
      </c>
      <c r="Y2" s="12"/>
      <c r="Z2" s="38" t="s">
        <v>2</v>
      </c>
      <c r="AA2" s="38" t="s">
        <v>122</v>
      </c>
      <c r="AB2" s="38" t="s">
        <v>123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 t="shared" ref="C4:C10" si="2">C3+1</f>
        <v>1</v>
      </c>
      <c r="D4" s="6">
        <f t="array" ref="D4">SUM((Blotter!C$19:C$1013=C4)*(Blotter!N$19:N$1013)*1)</f>
        <v>10612.690632011014</v>
      </c>
      <c r="E4" s="6">
        <f t="array" ref="E4">SUM((Blotter!B$19:C$1013=C4)*(Blotter!R$19:R$1013)*1)</f>
        <v>0</v>
      </c>
      <c r="F4" s="30">
        <f t="shared" ref="F4" si="3">IF(ISNUMBER(D4/E4),D4/E4,0)</f>
        <v>0</v>
      </c>
      <c r="G4" s="36" t="str">
        <f t="array" ref="G4">IF(SUM((Blotter!C$19:C$1013=PLB!C4)*(Blotter!M$19:M$1013))=0,"C","O")</f>
        <v>O</v>
      </c>
      <c r="H4" s="16">
        <f t="shared" ref="H4:H9" si="4">J3+D4</f>
        <v>1010612.690632011</v>
      </c>
      <c r="I4" s="16"/>
      <c r="J4" s="16">
        <f t="shared" si="0"/>
        <v>1010612.690632011</v>
      </c>
      <c r="K4" s="3">
        <f t="shared" ref="K4:K9" si="5">H4/J3-1</f>
        <v>1.0612690632010979E-2</v>
      </c>
      <c r="L4" s="3">
        <f t="shared" ref="L4:L9" si="6">(1+K4)*(1+L3)-1</f>
        <v>1.0612690632010979E-2</v>
      </c>
      <c r="M4" s="6">
        <f>O3-IF(G4="O",E4,-D4)</f>
        <v>1000000</v>
      </c>
      <c r="N4" s="16">
        <f t="shared" ref="N4:N9" si="7">I4</f>
        <v>0</v>
      </c>
      <c r="O4" s="6">
        <f t="shared" si="1"/>
        <v>1000000</v>
      </c>
      <c r="P4" s="3">
        <f t="shared" ref="P4:P9" si="8">M4/O3-1</f>
        <v>0</v>
      </c>
      <c r="Q4" s="3">
        <f t="shared" ref="Q4:Q9" si="9">(1+P4)*(1+Q3)-1</f>
        <v>0</v>
      </c>
      <c r="R4" s="3">
        <f t="shared" ref="R4:R10" si="10">(1-1%)*(1+R3)-1</f>
        <v>-1.0000000000000009E-2</v>
      </c>
      <c r="T4" s="40">
        <f>B4</f>
        <v>46088</v>
      </c>
      <c r="U4" s="5">
        <f>C4</f>
        <v>1</v>
      </c>
      <c r="V4" s="1" t="s">
        <v>306</v>
      </c>
      <c r="W4" s="1" t="s">
        <v>297</v>
      </c>
      <c r="X4" s="1" t="s">
        <v>298</v>
      </c>
    </row>
    <row r="5" spans="2:28" x14ac:dyDescent="0.4">
      <c r="B5" s="40">
        <f t="shared" ref="B5:B10" si="11">B4+7</f>
        <v>46095</v>
      </c>
      <c r="C5" s="5">
        <f t="shared" si="2"/>
        <v>2</v>
      </c>
      <c r="D5" s="6">
        <f t="array" ref="D5">SUM((Blotter!C$19:C$1013=C5)*(Blotter!N$19:N$1013)*1)</f>
        <v>321.08999999999651</v>
      </c>
      <c r="E5" s="6">
        <f t="array" ref="E5">SUM((Blotter!B$19:C$1013=C5)*(Blotter!R$19:R$1013)*1)</f>
        <v>9000</v>
      </c>
      <c r="F5" s="30">
        <f t="shared" ref="F5" si="12">IF(ISNUMBER(D5/E5),D5/E5,0)</f>
        <v>3.567666666666628E-2</v>
      </c>
      <c r="G5" s="36" t="str">
        <f t="array" ref="G5">IF(SUM((Blotter!C$19:C$1013=PLB!C5)*(Blotter!M$19:M$1013))=0,"C","O")</f>
        <v>O</v>
      </c>
      <c r="H5" s="16">
        <f t="shared" si="4"/>
        <v>1010933.780632011</v>
      </c>
      <c r="I5" s="16"/>
      <c r="J5" s="16">
        <f t="shared" si="0"/>
        <v>1010933.780632011</v>
      </c>
      <c r="K5" s="3">
        <f t="shared" si="5"/>
        <v>3.1771815550740712E-4</v>
      </c>
      <c r="L5" s="3">
        <f t="shared" si="6"/>
        <v>1.0933780632010892E-2</v>
      </c>
      <c r="M5" s="6">
        <f t="shared" ref="M5:M8" si="13">O4-IF(G5="O",E5,-D5)</f>
        <v>991000</v>
      </c>
      <c r="N5" s="16">
        <f t="shared" si="7"/>
        <v>0</v>
      </c>
      <c r="O5" s="6">
        <f t="shared" si="1"/>
        <v>991000</v>
      </c>
      <c r="P5" s="3">
        <f t="shared" si="8"/>
        <v>-9.000000000000008E-3</v>
      </c>
      <c r="Q5" s="3">
        <f t="shared" si="9"/>
        <v>-9.000000000000008E-3</v>
      </c>
      <c r="R5" s="3">
        <f t="shared" si="10"/>
        <v>-1.9900000000000029E-2</v>
      </c>
      <c r="T5" s="40">
        <f t="shared" ref="T5" si="14">B5</f>
        <v>46095</v>
      </c>
      <c r="U5" s="5">
        <f t="shared" ref="U5" si="15">C5</f>
        <v>2</v>
      </c>
      <c r="V5" s="1" t="s">
        <v>307</v>
      </c>
      <c r="W5" s="1" t="s">
        <v>299</v>
      </c>
      <c r="X5" s="1" t="s">
        <v>300</v>
      </c>
    </row>
    <row r="6" spans="2:28" x14ac:dyDescent="0.4">
      <c r="B6" s="40">
        <f t="shared" si="11"/>
        <v>46102</v>
      </c>
      <c r="C6" s="5">
        <f t="shared" si="2"/>
        <v>3</v>
      </c>
      <c r="D6" s="6">
        <f t="array" ref="D6">SUM((Blotter!C$19:C$1013=C6)*(Blotter!N$19:N$1013)*1)</f>
        <v>-4814.220000000003</v>
      </c>
      <c r="E6" s="6">
        <f t="array" ref="E6">SUM((Blotter!B$19:C$1013=C6)*(Blotter!R$19:R$1013)*1)</f>
        <v>9584.220000000003</v>
      </c>
      <c r="F6" s="30">
        <f t="shared" ref="F6" si="16">IF(ISNUMBER(D6/E6),D6/E6,0)</f>
        <v>-0.50230691699481034</v>
      </c>
      <c r="G6" s="36" t="str">
        <f t="array" ref="G6">IF(SUM((Blotter!C$19:C$1013=PLB!C6)*(Blotter!M$19:M$1013))=0,"C","O")</f>
        <v>O</v>
      </c>
      <c r="H6" s="16">
        <f t="shared" si="4"/>
        <v>1006119.560632011</v>
      </c>
      <c r="I6" s="16"/>
      <c r="J6" s="16">
        <f t="shared" si="0"/>
        <v>1006119.560632011</v>
      </c>
      <c r="K6" s="3">
        <f t="shared" si="5"/>
        <v>-4.7621516782140327E-3</v>
      </c>
      <c r="L6" s="3">
        <f t="shared" si="6"/>
        <v>6.1195606320108009E-3</v>
      </c>
      <c r="M6" s="6">
        <f t="shared" si="13"/>
        <v>981415.78</v>
      </c>
      <c r="N6" s="16">
        <f t="shared" si="7"/>
        <v>0</v>
      </c>
      <c r="O6" s="6">
        <f t="shared" si="1"/>
        <v>981415.78</v>
      </c>
      <c r="P6" s="3">
        <f t="shared" si="8"/>
        <v>-9.6712613521694468E-3</v>
      </c>
      <c r="Q6" s="3">
        <f t="shared" si="9"/>
        <v>-1.8584219999999929E-2</v>
      </c>
      <c r="R6" s="3">
        <f t="shared" si="10"/>
        <v>-2.9701000000000088E-2</v>
      </c>
      <c r="T6" s="40">
        <f t="shared" ref="T6" si="17">B6</f>
        <v>46102</v>
      </c>
      <c r="U6" s="5">
        <f t="shared" ref="U6" si="18">C6</f>
        <v>3</v>
      </c>
      <c r="V6" s="1" t="s">
        <v>308</v>
      </c>
      <c r="W6" s="49" t="s">
        <v>314</v>
      </c>
      <c r="X6" s="1" t="s">
        <v>315</v>
      </c>
    </row>
    <row r="7" spans="2:28" x14ac:dyDescent="0.4">
      <c r="B7" s="40">
        <f t="shared" si="11"/>
        <v>46109</v>
      </c>
      <c r="C7" s="5">
        <f t="shared" si="2"/>
        <v>4</v>
      </c>
      <c r="D7" s="6">
        <f t="array" ref="D7">SUM((Blotter!C$19:C$1013=C7)*(Blotter!N$19:N$1013)*1)</f>
        <v>10397.529999999999</v>
      </c>
      <c r="E7" s="6">
        <f t="array" ref="E7">SUM((Blotter!B$19:C$1013=C7)*(Blotter!R$19:R$1013)*1)</f>
        <v>7192.5</v>
      </c>
      <c r="F7" s="30">
        <f t="shared" ref="F7" si="19">IF(ISNUMBER(D7/E7),D7/E7,0)</f>
        <v>1.445607229753215</v>
      </c>
      <c r="G7" s="36" t="str">
        <f t="array" ref="G7">IF(SUM((Blotter!C$19:C$1013=PLB!C7)*(Blotter!M$19:M$1013))=0,"C","O")</f>
        <v>O</v>
      </c>
      <c r="H7" s="16">
        <f t="shared" si="4"/>
        <v>1016517.0906320111</v>
      </c>
      <c r="I7" s="16"/>
      <c r="J7" s="16">
        <f t="shared" si="0"/>
        <v>1016517.0906320111</v>
      </c>
      <c r="K7" s="3">
        <f t="shared" si="5"/>
        <v>1.033428869374986E-2</v>
      </c>
      <c r="L7" s="3">
        <f t="shared" si="6"/>
        <v>1.6517090632010678E-2</v>
      </c>
      <c r="M7" s="6">
        <f t="shared" si="13"/>
        <v>974223.28</v>
      </c>
      <c r="N7" s="16">
        <f t="shared" si="7"/>
        <v>0</v>
      </c>
      <c r="O7" s="6">
        <f t="shared" si="1"/>
        <v>974223.28</v>
      </c>
      <c r="P7" s="3">
        <f t="shared" si="8"/>
        <v>-7.3286981385198846E-3</v>
      </c>
      <c r="Q7" s="3">
        <f t="shared" si="9"/>
        <v>-2.5776719999999975E-2</v>
      </c>
      <c r="R7" s="3">
        <f t="shared" si="10"/>
        <v>-3.9403990000000055E-2</v>
      </c>
      <c r="T7" s="40">
        <f t="shared" ref="T7" si="20">B7</f>
        <v>46109</v>
      </c>
      <c r="U7" s="5">
        <f t="shared" ref="U7" si="21">C7</f>
        <v>4</v>
      </c>
      <c r="V7" s="1" t="s">
        <v>317</v>
      </c>
      <c r="W7" s="1" t="s">
        <v>319</v>
      </c>
      <c r="X7" s="1" t="s">
        <v>318</v>
      </c>
    </row>
    <row r="8" spans="2:28" x14ac:dyDescent="0.4">
      <c r="B8" s="40">
        <f t="shared" si="11"/>
        <v>46116</v>
      </c>
      <c r="C8" s="5">
        <f t="shared" si="2"/>
        <v>5</v>
      </c>
      <c r="D8" s="6">
        <f t="array" ref="D8">SUM((Blotter!C$19:C$1013=C8)*(Blotter!N$19:N$1013)*1)</f>
        <v>38610.739999999991</v>
      </c>
      <c r="E8" s="6">
        <f t="array" ref="E8">SUM((Blotter!B$19:C$1013=C8)*(Blotter!R$19:R$1013)*1)</f>
        <v>-8745</v>
      </c>
      <c r="F8" s="30">
        <f t="shared" ref="F8" si="22">IF(ISNUMBER(D8/E8),D8/E8,0)</f>
        <v>-4.4151789594053739</v>
      </c>
      <c r="G8" s="36" t="str">
        <f t="array" ref="G8">IF(SUM((Blotter!C$19:C$1013=PLB!C8)*(Blotter!M$19:M$1013))=0,"C","O")</f>
        <v>O</v>
      </c>
      <c r="H8" s="16">
        <f t="shared" si="4"/>
        <v>1055127.8306320109</v>
      </c>
      <c r="I8" s="16"/>
      <c r="J8" s="16">
        <f t="shared" si="0"/>
        <v>1055127.8306320109</v>
      </c>
      <c r="K8" s="3">
        <f t="shared" si="5"/>
        <v>3.7983365312622475E-2</v>
      </c>
      <c r="L8" s="3">
        <f t="shared" si="6"/>
        <v>5.5127830632010433E-2</v>
      </c>
      <c r="M8" s="6">
        <f t="shared" si="13"/>
        <v>982968.28</v>
      </c>
      <c r="N8" s="16">
        <f t="shared" si="7"/>
        <v>0</v>
      </c>
      <c r="O8" s="6">
        <f t="shared" si="1"/>
        <v>982968.28</v>
      </c>
      <c r="P8" s="3">
        <f t="shared" si="8"/>
        <v>8.9763816771037952E-3</v>
      </c>
      <c r="Q8" s="3">
        <f t="shared" si="9"/>
        <v>-1.7031719999999972E-2</v>
      </c>
      <c r="R8" s="3">
        <f t="shared" si="10"/>
        <v>-4.9009950100000088E-2</v>
      </c>
      <c r="T8" s="40">
        <f t="shared" ref="T8" si="23">B8</f>
        <v>46116</v>
      </c>
      <c r="U8" s="5">
        <f t="shared" ref="U8" si="24">C8</f>
        <v>5</v>
      </c>
      <c r="V8" s="1" t="s">
        <v>331</v>
      </c>
      <c r="W8" s="1" t="s">
        <v>343</v>
      </c>
      <c r="X8" s="1" t="s">
        <v>344</v>
      </c>
    </row>
    <row r="9" spans="2:28" x14ac:dyDescent="0.4">
      <c r="B9" s="40">
        <f t="shared" si="11"/>
        <v>46123</v>
      </c>
      <c r="C9" s="5">
        <f t="shared" si="2"/>
        <v>6</v>
      </c>
      <c r="D9" s="6">
        <f t="array" ref="D9">SUM((Blotter!C$19:C$1013=C9)*(Blotter!N$19:N$1013)*1)</f>
        <v>-425.04000000000065</v>
      </c>
      <c r="E9" s="6">
        <f t="array" ref="E9">SUM((Blotter!B$19:C$1013=C9)*(Blotter!R$19:R$1013)*1)</f>
        <v>9906</v>
      </c>
      <c r="F9" s="30">
        <f t="shared" ref="F9" si="25">IF(ISNUMBER(D9/E9),D9/E9,0)</f>
        <v>-4.2907328891580929E-2</v>
      </c>
      <c r="G9" s="36" t="str">
        <f t="array" ref="G9">IF(SUM((Blotter!C$19:C$1013=PLB!C9)*(Blotter!M$19:M$1013))=0,"C","O")</f>
        <v>O</v>
      </c>
      <c r="H9" s="16">
        <f t="shared" si="4"/>
        <v>1054702.7906320109</v>
      </c>
      <c r="I9" s="16"/>
      <c r="J9" s="16">
        <f t="shared" ref="J9" si="26">H9+I9</f>
        <v>1054702.7906320109</v>
      </c>
      <c r="K9" s="3">
        <f t="shared" si="5"/>
        <v>-4.0283270676833016E-4</v>
      </c>
      <c r="L9" s="3">
        <f t="shared" si="6"/>
        <v>5.4702790632010334E-2</v>
      </c>
      <c r="M9" s="6">
        <f t="shared" ref="M9" si="27">O8-IF(G9="O",E9,-D9)</f>
        <v>973062.28</v>
      </c>
      <c r="N9" s="16">
        <f t="shared" si="7"/>
        <v>0</v>
      </c>
      <c r="O9" s="6">
        <f t="shared" ref="O9" si="28">M9+N9</f>
        <v>973062.28</v>
      </c>
      <c r="P9" s="3">
        <f t="shared" si="8"/>
        <v>-1.0077639534817995E-2</v>
      </c>
      <c r="Q9" s="3">
        <f t="shared" si="9"/>
        <v>-2.6937720000000054E-2</v>
      </c>
      <c r="R9" s="3">
        <f t="shared" si="10"/>
        <v>-5.8519850599000112E-2</v>
      </c>
      <c r="T9" s="40">
        <f t="shared" ref="T9" si="29">B9</f>
        <v>46123</v>
      </c>
      <c r="U9" s="5">
        <f t="shared" ref="U9" si="30">C9</f>
        <v>6</v>
      </c>
      <c r="V9" s="1" t="s">
        <v>337</v>
      </c>
      <c r="W9" s="49" t="s">
        <v>346</v>
      </c>
      <c r="X9" s="1" t="s">
        <v>345</v>
      </c>
    </row>
    <row r="10" spans="2:28" x14ac:dyDescent="0.4">
      <c r="B10" s="40">
        <f t="shared" si="11"/>
        <v>46130</v>
      </c>
      <c r="C10" s="5">
        <f t="shared" si="2"/>
        <v>7</v>
      </c>
      <c r="D10" s="6">
        <f t="array" ref="D10">SUM((Blotter!C$19:C$1013=C10)*(Blotter!N$19:N$1013)*1)</f>
        <v>2768.7500000002328</v>
      </c>
      <c r="E10" s="6">
        <f t="array" ref="E10">SUM((Blotter!B$19:C$1013=C10)*(Blotter!R$19:R$1013)*1)</f>
        <v>8859.375</v>
      </c>
      <c r="F10" s="30">
        <f t="shared" ref="F10" si="31">IF(ISNUMBER(D10/E10),D10/E10,0)</f>
        <v>0.31252204585540549</v>
      </c>
      <c r="G10" s="36" t="str">
        <f t="array" ref="G10">IF(SUM((Blotter!C$19:C$1013=PLB!C10)*(Blotter!M$19:M$1013))=0,"C","O")</f>
        <v>O</v>
      </c>
      <c r="H10" s="16">
        <f t="shared" ref="H10" si="32">J9+D10</f>
        <v>1057471.5406320111</v>
      </c>
      <c r="I10" s="16"/>
      <c r="J10" s="16">
        <f t="shared" ref="J10" si="33">H10+I10</f>
        <v>1057471.5406320111</v>
      </c>
      <c r="K10" s="3">
        <f t="shared" ref="K10" si="34">H10/J9-1</f>
        <v>2.6251471263682991E-3</v>
      </c>
      <c r="L10" s="3">
        <f t="shared" ref="L10" si="35">(1+K10)*(1+L9)-1</f>
        <v>5.7471540632010543E-2</v>
      </c>
      <c r="M10" s="6">
        <f t="shared" ref="M10" si="36">O9-IF(G10="O",E10,-D10)</f>
        <v>964202.90500000003</v>
      </c>
      <c r="N10" s="16">
        <f t="shared" ref="N10" si="37">I10</f>
        <v>0</v>
      </c>
      <c r="O10" s="6">
        <f t="shared" ref="O10" si="38">M10+N10</f>
        <v>964202.90500000003</v>
      </c>
      <c r="P10" s="3">
        <f t="shared" ref="P10" si="39">M10/O9-1</f>
        <v>-9.1046330559643174E-3</v>
      </c>
      <c r="Q10" s="3">
        <f t="shared" ref="Q10" si="40">(1+P10)*(1+Q9)-1</f>
        <v>-3.5797095000000057E-2</v>
      </c>
      <c r="R10" s="3">
        <f t="shared" si="10"/>
        <v>-6.7934652093010084E-2</v>
      </c>
      <c r="T10" s="40">
        <f t="shared" ref="T10" si="41">B10</f>
        <v>46130</v>
      </c>
      <c r="U10" s="5">
        <f t="shared" ref="U10" si="42">C10</f>
        <v>7</v>
      </c>
      <c r="V10" s="1" t="s">
        <v>349</v>
      </c>
      <c r="W10" s="49" t="s">
        <v>347</v>
      </c>
      <c r="X10" s="1" t="s">
        <v>348</v>
      </c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>
      <selection activeCell="B28" sqref="B28"/>
    </sheetView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141</v>
      </c>
      <c r="H2" s="4" t="s">
        <v>18</v>
      </c>
      <c r="I2" s="4" t="s">
        <v>140</v>
      </c>
      <c r="J2" s="4" t="s">
        <v>89</v>
      </c>
      <c r="K2" s="4" t="s">
        <v>175</v>
      </c>
      <c r="L2" s="4" t="s">
        <v>176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325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185.2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0.35997120230381568</v>
      </c>
      <c r="I12" s="61">
        <f t="shared" si="4"/>
        <v>0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9.4500000000000001E-3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5.6437389770723101</v>
      </c>
      <c r="I29" s="61">
        <f t="shared" si="4"/>
        <v>8</v>
      </c>
      <c r="J29" s="97">
        <v>1.1779999999999999</v>
      </c>
      <c r="K29" s="3">
        <f>J29*H29*C29/$N$3</f>
        <v>0.83104056437389762</v>
      </c>
      <c r="L29" s="3">
        <f>J29*I29*C29/$N$3</f>
        <v>1.1779999999999999</v>
      </c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187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topLeftCell="A32" zoomScale="90" zoomScaleNormal="90" workbookViewId="0">
      <selection activeCell="J70" sqref="J70"/>
    </sheetView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183</v>
      </c>
      <c r="B2" s="1" t="s">
        <v>59</v>
      </c>
      <c r="C2" s="1" t="s">
        <v>184</v>
      </c>
      <c r="D2" s="1" t="s">
        <v>185</v>
      </c>
      <c r="E2" s="1" t="s">
        <v>186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124</v>
      </c>
      <c r="AC2" s="44"/>
      <c r="AD2" s="45"/>
      <c r="AE2" s="41"/>
    </row>
    <row r="3" spans="1:31" x14ac:dyDescent="0.4">
      <c r="A3" s="1" t="s">
        <v>183</v>
      </c>
      <c r="B3" s="1" t="s">
        <v>59</v>
      </c>
      <c r="C3" s="1" t="s">
        <v>184</v>
      </c>
      <c r="D3" s="1" t="s">
        <v>185</v>
      </c>
      <c r="E3" s="1" t="s">
        <v>186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183</v>
      </c>
      <c r="B4" s="1" t="s">
        <v>59</v>
      </c>
      <c r="C4" s="1" t="s">
        <v>184</v>
      </c>
      <c r="D4" s="1" t="s">
        <v>185</v>
      </c>
      <c r="E4" s="1" t="s">
        <v>186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183</v>
      </c>
      <c r="B5" s="1" t="s">
        <v>59</v>
      </c>
      <c r="C5" s="1" t="s">
        <v>184</v>
      </c>
      <c r="D5" s="1" t="s">
        <v>185</v>
      </c>
      <c r="E5" s="1" t="s">
        <v>186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183</v>
      </c>
      <c r="B6" s="1" t="s">
        <v>59</v>
      </c>
      <c r="C6" s="1" t="s">
        <v>184</v>
      </c>
      <c r="D6" s="1" t="s">
        <v>185</v>
      </c>
      <c r="E6" s="1" t="s">
        <v>186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183</v>
      </c>
      <c r="B7" s="1" t="s">
        <v>59</v>
      </c>
      <c r="C7" s="1" t="s">
        <v>184</v>
      </c>
      <c r="D7" s="1" t="s">
        <v>185</v>
      </c>
      <c r="E7" s="1" t="s">
        <v>186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183</v>
      </c>
      <c r="B8" s="1" t="s">
        <v>59</v>
      </c>
      <c r="C8" s="1" t="s">
        <v>184</v>
      </c>
      <c r="D8" s="1" t="s">
        <v>185</v>
      </c>
      <c r="E8" s="1" t="s">
        <v>186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183</v>
      </c>
      <c r="B9" s="1" t="s">
        <v>59</v>
      </c>
      <c r="C9" s="1" t="s">
        <v>184</v>
      </c>
      <c r="D9" s="1" t="s">
        <v>185</v>
      </c>
      <c r="E9" s="1" t="s">
        <v>186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183</v>
      </c>
      <c r="B10" s="1" t="s">
        <v>59</v>
      </c>
      <c r="C10" s="1" t="s">
        <v>184</v>
      </c>
      <c r="D10" s="1" t="s">
        <v>185</v>
      </c>
      <c r="E10" s="1" t="s">
        <v>186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183</v>
      </c>
      <c r="B11" s="1" t="s">
        <v>59</v>
      </c>
      <c r="C11" s="1" t="s">
        <v>184</v>
      </c>
      <c r="D11" s="1" t="s">
        <v>185</v>
      </c>
      <c r="E11" s="1" t="s">
        <v>186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183</v>
      </c>
      <c r="B12" s="1" t="s">
        <v>59</v>
      </c>
      <c r="C12" s="1" t="s">
        <v>184</v>
      </c>
      <c r="D12" s="1" t="s">
        <v>185</v>
      </c>
      <c r="E12" s="1" t="s">
        <v>186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183</v>
      </c>
      <c r="B13" s="1" t="s">
        <v>59</v>
      </c>
      <c r="C13" s="1" t="s">
        <v>184</v>
      </c>
      <c r="D13" s="1" t="s">
        <v>185</v>
      </c>
      <c r="E13" s="1" t="s">
        <v>186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183</v>
      </c>
      <c r="B14" s="1" t="s">
        <v>59</v>
      </c>
      <c r="C14" s="1" t="s">
        <v>184</v>
      </c>
      <c r="D14" s="1" t="s">
        <v>185</v>
      </c>
      <c r="E14" s="1" t="s">
        <v>186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183</v>
      </c>
      <c r="B15" s="1" t="s">
        <v>59</v>
      </c>
      <c r="C15" s="1" t="s">
        <v>184</v>
      </c>
      <c r="D15" s="1" t="s">
        <v>185</v>
      </c>
      <c r="E15" s="1" t="s">
        <v>186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183</v>
      </c>
      <c r="B16" s="1" t="s">
        <v>59</v>
      </c>
      <c r="C16" s="1" t="s">
        <v>184</v>
      </c>
      <c r="D16" s="1" t="s">
        <v>185</v>
      </c>
      <c r="E16" s="1" t="s">
        <v>186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183</v>
      </c>
      <c r="B17" s="1" t="s">
        <v>59</v>
      </c>
      <c r="C17" s="1" t="s">
        <v>184</v>
      </c>
      <c r="D17" s="1" t="s">
        <v>185</v>
      </c>
      <c r="E17" s="1" t="s">
        <v>186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183</v>
      </c>
      <c r="B18" s="1" t="s">
        <v>59</v>
      </c>
      <c r="C18" s="1" t="s">
        <v>184</v>
      </c>
      <c r="D18" s="1" t="s">
        <v>185</v>
      </c>
      <c r="E18" s="1" t="s">
        <v>186</v>
      </c>
      <c r="H18" s="1">
        <v>1</v>
      </c>
      <c r="L18" s="44">
        <v>46087</v>
      </c>
      <c r="M18" s="1" t="s">
        <v>291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183</v>
      </c>
      <c r="B19" s="1" t="s">
        <v>59</v>
      </c>
      <c r="C19" s="1" t="s">
        <v>184</v>
      </c>
      <c r="D19" s="1" t="s">
        <v>185</v>
      </c>
      <c r="E19" s="1" t="s">
        <v>186</v>
      </c>
      <c r="H19" s="1">
        <v>1</v>
      </c>
      <c r="L19" s="44">
        <v>46087</v>
      </c>
      <c r="M19" s="1" t="s">
        <v>291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183</v>
      </c>
      <c r="B20" s="1" t="s">
        <v>59</v>
      </c>
      <c r="C20" s="1" t="s">
        <v>184</v>
      </c>
      <c r="D20" s="1" t="s">
        <v>185</v>
      </c>
      <c r="E20" s="1" t="s">
        <v>186</v>
      </c>
      <c r="H20" s="1">
        <v>1</v>
      </c>
      <c r="L20" s="44">
        <v>46087</v>
      </c>
      <c r="M20" s="1" t="s">
        <v>291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183</v>
      </c>
      <c r="B21" s="1" t="s">
        <v>59</v>
      </c>
      <c r="C21" s="1" t="s">
        <v>184</v>
      </c>
      <c r="D21" s="1" t="s">
        <v>185</v>
      </c>
      <c r="E21" s="1" t="s">
        <v>186</v>
      </c>
      <c r="H21" s="1">
        <v>1</v>
      </c>
      <c r="L21" s="44">
        <v>46087</v>
      </c>
      <c r="M21" s="1" t="s">
        <v>291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183</v>
      </c>
      <c r="B22" s="1" t="s">
        <v>59</v>
      </c>
      <c r="C22" s="1" t="s">
        <v>184</v>
      </c>
      <c r="D22" s="1" t="s">
        <v>185</v>
      </c>
      <c r="E22" s="1" t="s">
        <v>186</v>
      </c>
      <c r="H22" s="1">
        <v>1</v>
      </c>
      <c r="L22" s="44">
        <v>46087</v>
      </c>
      <c r="M22" s="1" t="s">
        <v>291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183</v>
      </c>
      <c r="B23" s="1" t="s">
        <v>59</v>
      </c>
      <c r="C23" s="1" t="s">
        <v>184</v>
      </c>
      <c r="D23" s="1" t="s">
        <v>185</v>
      </c>
      <c r="E23" s="1" t="s">
        <v>186</v>
      </c>
      <c r="H23" s="1">
        <v>1</v>
      </c>
      <c r="L23" s="44">
        <v>46087</v>
      </c>
      <c r="M23" s="1" t="s">
        <v>291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183</v>
      </c>
      <c r="B24" s="1" t="s">
        <v>59</v>
      </c>
      <c r="C24" s="1" t="s">
        <v>184</v>
      </c>
      <c r="D24" s="1" t="s">
        <v>185</v>
      </c>
      <c r="E24" s="1" t="s">
        <v>186</v>
      </c>
      <c r="H24" s="1">
        <v>1</v>
      </c>
      <c r="L24" s="44">
        <v>46087</v>
      </c>
      <c r="M24" s="1" t="s">
        <v>291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183</v>
      </c>
      <c r="B25" s="1" t="s">
        <v>59</v>
      </c>
      <c r="C25" s="1" t="s">
        <v>184</v>
      </c>
      <c r="D25" s="1" t="s">
        <v>185</v>
      </c>
      <c r="E25" s="1" t="s">
        <v>186</v>
      </c>
      <c r="H25" s="1">
        <v>1</v>
      </c>
      <c r="L25" s="44">
        <v>46087</v>
      </c>
      <c r="M25" s="1" t="s">
        <v>291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183</v>
      </c>
      <c r="B26" s="1" t="s">
        <v>59</v>
      </c>
      <c r="C26" s="1" t="s">
        <v>184</v>
      </c>
      <c r="D26" s="1" t="s">
        <v>185</v>
      </c>
      <c r="E26" s="1" t="s">
        <v>186</v>
      </c>
      <c r="H26" s="1">
        <v>1</v>
      </c>
      <c r="L26" s="44">
        <v>46087</v>
      </c>
      <c r="M26" s="1" t="s">
        <v>291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183</v>
      </c>
      <c r="B27" s="1" t="s">
        <v>59</v>
      </c>
      <c r="C27" s="1" t="s">
        <v>184</v>
      </c>
      <c r="D27" s="1" t="s">
        <v>185</v>
      </c>
      <c r="E27" s="1" t="s">
        <v>186</v>
      </c>
      <c r="H27" s="1">
        <v>1</v>
      </c>
      <c r="L27" s="44">
        <v>46087</v>
      </c>
      <c r="M27" s="1" t="s">
        <v>291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183</v>
      </c>
      <c r="B28" s="1" t="s">
        <v>59</v>
      </c>
      <c r="C28" s="1" t="s">
        <v>184</v>
      </c>
      <c r="D28" s="1" t="s">
        <v>185</v>
      </c>
      <c r="E28" s="1" t="s">
        <v>186</v>
      </c>
      <c r="H28" s="1">
        <v>1</v>
      </c>
      <c r="L28" s="44">
        <v>46087</v>
      </c>
      <c r="M28" s="1" t="s">
        <v>291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183</v>
      </c>
      <c r="B29" s="1" t="s">
        <v>59</v>
      </c>
      <c r="C29" s="1" t="s">
        <v>184</v>
      </c>
      <c r="D29" s="1" t="s">
        <v>185</v>
      </c>
      <c r="E29" s="1" t="s">
        <v>186</v>
      </c>
      <c r="H29" s="1">
        <v>1</v>
      </c>
      <c r="L29" s="44">
        <v>46087</v>
      </c>
      <c r="M29" s="1" t="s">
        <v>291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183</v>
      </c>
      <c r="B30" s="1" t="s">
        <v>59</v>
      </c>
      <c r="C30" s="1" t="s">
        <v>184</v>
      </c>
      <c r="D30" s="1" t="s">
        <v>185</v>
      </c>
      <c r="E30" s="1" t="s">
        <v>186</v>
      </c>
      <c r="H30" s="1">
        <v>1</v>
      </c>
      <c r="L30" s="44">
        <v>46087</v>
      </c>
      <c r="M30" s="1" t="s">
        <v>291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183</v>
      </c>
      <c r="B31" s="1" t="s">
        <v>59</v>
      </c>
      <c r="C31" s="1" t="s">
        <v>184</v>
      </c>
      <c r="D31" s="1" t="s">
        <v>185</v>
      </c>
      <c r="E31" s="1" t="s">
        <v>186</v>
      </c>
      <c r="H31" s="1">
        <v>1</v>
      </c>
      <c r="L31" s="44">
        <v>46087</v>
      </c>
      <c r="M31" s="1" t="s">
        <v>291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183</v>
      </c>
      <c r="B32" s="1" t="s">
        <v>59</v>
      </c>
      <c r="C32" s="1" t="s">
        <v>184</v>
      </c>
      <c r="D32" s="1" t="s">
        <v>185</v>
      </c>
      <c r="E32" s="1" t="s">
        <v>186</v>
      </c>
      <c r="H32" s="1">
        <v>1</v>
      </c>
      <c r="L32" s="44">
        <v>46087</v>
      </c>
      <c r="M32" s="1" t="s">
        <v>291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183</v>
      </c>
      <c r="B33" s="1" t="s">
        <v>59</v>
      </c>
      <c r="C33" s="1" t="s">
        <v>184</v>
      </c>
      <c r="D33" s="1" t="s">
        <v>185</v>
      </c>
      <c r="E33" s="1" t="s">
        <v>186</v>
      </c>
      <c r="H33" s="1">
        <v>1</v>
      </c>
      <c r="L33" s="44">
        <v>46087</v>
      </c>
      <c r="M33" s="1" t="s">
        <v>291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183</v>
      </c>
      <c r="B34" s="1" t="s">
        <v>59</v>
      </c>
      <c r="C34" s="1" t="s">
        <v>184</v>
      </c>
      <c r="D34" s="1" t="s">
        <v>185</v>
      </c>
      <c r="E34" s="1" t="s">
        <v>186</v>
      </c>
      <c r="H34" s="1">
        <v>1</v>
      </c>
      <c r="L34" s="44">
        <v>46087</v>
      </c>
      <c r="M34" s="1" t="s">
        <v>291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183</v>
      </c>
      <c r="B35" s="1" t="s">
        <v>59</v>
      </c>
      <c r="C35" s="1" t="s">
        <v>184</v>
      </c>
      <c r="D35" s="1" t="s">
        <v>185</v>
      </c>
      <c r="E35" s="1" t="s">
        <v>186</v>
      </c>
      <c r="H35" s="1">
        <v>1</v>
      </c>
      <c r="L35" s="44">
        <v>46087</v>
      </c>
      <c r="M35" s="1" t="s">
        <v>291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183</v>
      </c>
      <c r="B36" s="1" t="s">
        <v>59</v>
      </c>
      <c r="C36" s="1" t="s">
        <v>184</v>
      </c>
      <c r="D36" s="1" t="s">
        <v>185</v>
      </c>
      <c r="E36" s="1" t="s">
        <v>186</v>
      </c>
      <c r="H36" s="1">
        <v>1</v>
      </c>
      <c r="L36" s="44">
        <v>46087</v>
      </c>
      <c r="M36" s="1" t="s">
        <v>291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292</v>
      </c>
      <c r="B37" s="1" t="s">
        <v>59</v>
      </c>
      <c r="C37" s="1" t="s">
        <v>58</v>
      </c>
      <c r="D37" s="1" t="s">
        <v>282</v>
      </c>
      <c r="E37" s="1" t="s">
        <v>293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292</v>
      </c>
      <c r="B38" s="1" t="s">
        <v>59</v>
      </c>
      <c r="C38" s="1" t="s">
        <v>58</v>
      </c>
      <c r="D38" s="1" t="s">
        <v>282</v>
      </c>
      <c r="E38" s="1" t="s">
        <v>293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292</v>
      </c>
      <c r="B39" s="1" t="s">
        <v>59</v>
      </c>
      <c r="C39" s="1" t="s">
        <v>294</v>
      </c>
      <c r="D39" s="1" t="s">
        <v>295</v>
      </c>
      <c r="E39" s="1" t="s">
        <v>295</v>
      </c>
      <c r="G39" s="1" t="s">
        <v>296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292</v>
      </c>
      <c r="B40" s="1" t="s">
        <v>59</v>
      </c>
      <c r="C40" s="1" t="s">
        <v>303</v>
      </c>
      <c r="D40" s="1" t="s">
        <v>305</v>
      </c>
      <c r="E40" s="1" t="s">
        <v>309</v>
      </c>
      <c r="F40" s="1" t="s">
        <v>60</v>
      </c>
      <c r="G40" s="1" t="s">
        <v>310</v>
      </c>
      <c r="H40" s="1">
        <v>1000</v>
      </c>
      <c r="I40" s="1">
        <v>55</v>
      </c>
      <c r="J40" s="44">
        <v>46156</v>
      </c>
      <c r="K40" s="1" t="s">
        <v>301</v>
      </c>
      <c r="L40" s="44">
        <v>46097</v>
      </c>
      <c r="M40" s="1" t="s">
        <v>291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292</v>
      </c>
      <c r="B41" s="1" t="s">
        <v>59</v>
      </c>
      <c r="C41" s="1" t="s">
        <v>303</v>
      </c>
      <c r="D41" s="1" t="s">
        <v>304</v>
      </c>
      <c r="E41" s="1" t="s">
        <v>311</v>
      </c>
      <c r="F41" s="1" t="s">
        <v>60</v>
      </c>
      <c r="G41" s="1" t="s">
        <v>310</v>
      </c>
      <c r="H41" s="1">
        <v>1000</v>
      </c>
      <c r="I41" s="1">
        <v>75</v>
      </c>
      <c r="J41" s="44">
        <v>46156</v>
      </c>
      <c r="K41" s="1" t="s">
        <v>301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292</v>
      </c>
      <c r="B42" s="1" t="s">
        <v>59</v>
      </c>
      <c r="C42" s="1" t="s">
        <v>58</v>
      </c>
      <c r="D42" s="1" t="s">
        <v>316</v>
      </c>
      <c r="E42" s="1" t="s">
        <v>320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183</v>
      </c>
      <c r="B43" s="1" t="s">
        <v>59</v>
      </c>
      <c r="C43" s="1" t="s">
        <v>184</v>
      </c>
      <c r="D43" s="1" t="s">
        <v>185</v>
      </c>
      <c r="E43" s="1" t="s">
        <v>186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183</v>
      </c>
      <c r="B44" s="1" t="s">
        <v>59</v>
      </c>
      <c r="C44" s="1" t="s">
        <v>184</v>
      </c>
      <c r="D44" s="1" t="s">
        <v>185</v>
      </c>
      <c r="E44" s="1" t="s">
        <v>186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183</v>
      </c>
      <c r="B45" s="1" t="s">
        <v>59</v>
      </c>
      <c r="C45" s="1" t="s">
        <v>184</v>
      </c>
      <c r="D45" s="1" t="s">
        <v>185</v>
      </c>
      <c r="E45" s="1" t="s">
        <v>186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183</v>
      </c>
      <c r="B46" s="1" t="s">
        <v>59</v>
      </c>
      <c r="C46" s="1" t="s">
        <v>184</v>
      </c>
      <c r="D46" s="1" t="s">
        <v>185</v>
      </c>
      <c r="E46" s="1" t="s">
        <v>186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183</v>
      </c>
      <c r="B47" s="1" t="s">
        <v>59</v>
      </c>
      <c r="C47" s="1" t="s">
        <v>184</v>
      </c>
      <c r="D47" s="1" t="s">
        <v>185</v>
      </c>
      <c r="E47" s="1" t="s">
        <v>186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183</v>
      </c>
      <c r="B48" s="1" t="s">
        <v>59</v>
      </c>
      <c r="C48" s="1" t="s">
        <v>184</v>
      </c>
      <c r="D48" s="1" t="s">
        <v>185</v>
      </c>
      <c r="E48" s="1" t="s">
        <v>186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183</v>
      </c>
      <c r="B49" s="1" t="s">
        <v>59</v>
      </c>
      <c r="C49" s="1" t="s">
        <v>184</v>
      </c>
      <c r="D49" s="1" t="s">
        <v>185</v>
      </c>
      <c r="E49" s="1" t="s">
        <v>186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183</v>
      </c>
      <c r="B50" s="1" t="s">
        <v>59</v>
      </c>
      <c r="C50" s="1" t="s">
        <v>184</v>
      </c>
      <c r="D50" s="1" t="s">
        <v>185</v>
      </c>
      <c r="E50" s="1" t="s">
        <v>186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183</v>
      </c>
      <c r="B51" s="1" t="s">
        <v>59</v>
      </c>
      <c r="C51" s="1" t="s">
        <v>184</v>
      </c>
      <c r="D51" s="1" t="s">
        <v>185</v>
      </c>
      <c r="E51" s="1" t="s">
        <v>186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183</v>
      </c>
      <c r="B52" s="1" t="s">
        <v>59</v>
      </c>
      <c r="C52" s="1" t="s">
        <v>184</v>
      </c>
      <c r="D52" s="1" t="s">
        <v>185</v>
      </c>
      <c r="E52" s="1" t="s">
        <v>186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183</v>
      </c>
      <c r="B53" s="1" t="s">
        <v>59</v>
      </c>
      <c r="C53" s="1" t="s">
        <v>184</v>
      </c>
      <c r="D53" s="1" t="s">
        <v>185</v>
      </c>
      <c r="E53" s="1" t="s">
        <v>186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183</v>
      </c>
      <c r="B54" s="1" t="s">
        <v>59</v>
      </c>
      <c r="C54" s="1" t="s">
        <v>184</v>
      </c>
      <c r="D54" s="1" t="s">
        <v>185</v>
      </c>
      <c r="E54" s="1" t="s">
        <v>186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183</v>
      </c>
      <c r="B55" s="1" t="s">
        <v>59</v>
      </c>
      <c r="C55" s="1" t="s">
        <v>184</v>
      </c>
      <c r="D55" s="1" t="s">
        <v>185</v>
      </c>
      <c r="E55" s="1" t="s">
        <v>186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183</v>
      </c>
      <c r="B56" s="1" t="s">
        <v>59</v>
      </c>
      <c r="C56" s="1" t="s">
        <v>184</v>
      </c>
      <c r="D56" s="1" t="s">
        <v>185</v>
      </c>
      <c r="E56" s="1" t="s">
        <v>186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183</v>
      </c>
      <c r="B57" s="1" t="s">
        <v>59</v>
      </c>
      <c r="C57" s="1" t="s">
        <v>184</v>
      </c>
      <c r="D57" s="1" t="s">
        <v>185</v>
      </c>
      <c r="E57" s="1" t="s">
        <v>186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183</v>
      </c>
      <c r="B58" s="1" t="s">
        <v>59</v>
      </c>
      <c r="C58" s="1" t="s">
        <v>184</v>
      </c>
      <c r="D58" s="1" t="s">
        <v>185</v>
      </c>
      <c r="E58" s="1" t="s">
        <v>186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183</v>
      </c>
      <c r="B59" s="1" t="s">
        <v>59</v>
      </c>
      <c r="C59" s="1" t="s">
        <v>184</v>
      </c>
      <c r="D59" s="1" t="s">
        <v>185</v>
      </c>
      <c r="E59" s="1" t="s">
        <v>186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292</v>
      </c>
      <c r="B60" s="1" t="s">
        <v>59</v>
      </c>
      <c r="C60" s="1" t="s">
        <v>58</v>
      </c>
      <c r="D60" s="1" t="s">
        <v>326</v>
      </c>
      <c r="E60" s="1" t="s">
        <v>327</v>
      </c>
      <c r="F60" s="1" t="s">
        <v>78</v>
      </c>
      <c r="G60" s="1" t="s">
        <v>325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292</v>
      </c>
      <c r="B61" s="1" t="s">
        <v>59</v>
      </c>
      <c r="C61" s="1" t="s">
        <v>58</v>
      </c>
      <c r="D61" s="1" t="s">
        <v>326</v>
      </c>
      <c r="E61" s="1" t="s">
        <v>327</v>
      </c>
      <c r="F61" s="1" t="s">
        <v>78</v>
      </c>
      <c r="G61" s="1" t="s">
        <v>325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292</v>
      </c>
      <c r="B62" s="1" t="s">
        <v>59</v>
      </c>
      <c r="C62" s="1" t="s">
        <v>58</v>
      </c>
      <c r="D62" s="1" t="s">
        <v>326</v>
      </c>
      <c r="E62" s="1" t="s">
        <v>327</v>
      </c>
      <c r="F62" s="1" t="s">
        <v>78</v>
      </c>
      <c r="G62" s="1" t="s">
        <v>325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292</v>
      </c>
      <c r="B63" s="1" t="s">
        <v>59</v>
      </c>
      <c r="C63" s="1" t="s">
        <v>58</v>
      </c>
      <c r="D63" s="1" t="s">
        <v>326</v>
      </c>
      <c r="E63" s="1" t="s">
        <v>327</v>
      </c>
      <c r="F63" s="1" t="s">
        <v>78</v>
      </c>
      <c r="G63" s="1" t="s">
        <v>325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292</v>
      </c>
      <c r="B64" s="1" t="s">
        <v>59</v>
      </c>
      <c r="C64" s="1" t="s">
        <v>58</v>
      </c>
      <c r="D64" s="1" t="s">
        <v>326</v>
      </c>
      <c r="E64" s="1" t="s">
        <v>327</v>
      </c>
      <c r="F64" s="1" t="s">
        <v>78</v>
      </c>
      <c r="G64" s="1" t="s">
        <v>325</v>
      </c>
      <c r="H64" s="1">
        <v>5</v>
      </c>
      <c r="J64" s="44">
        <v>46185</v>
      </c>
      <c r="L64" s="44">
        <v>46112</v>
      </c>
      <c r="M64" s="1" t="s">
        <v>291</v>
      </c>
      <c r="N64" s="1">
        <v>-1</v>
      </c>
      <c r="O64" s="1">
        <v>51510</v>
      </c>
      <c r="P64" s="1">
        <v>-257550</v>
      </c>
      <c r="Q64" s="1">
        <v>-3.02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-3.02</v>
      </c>
    </row>
    <row r="65" spans="1:24" x14ac:dyDescent="0.4">
      <c r="A65" s="1" t="s">
        <v>292</v>
      </c>
      <c r="B65" s="1" t="s">
        <v>59</v>
      </c>
      <c r="C65" s="1" t="s">
        <v>58</v>
      </c>
      <c r="D65" s="1" t="s">
        <v>326</v>
      </c>
      <c r="E65" s="1" t="s">
        <v>327</v>
      </c>
      <c r="F65" s="1" t="s">
        <v>78</v>
      </c>
      <c r="G65" s="1" t="s">
        <v>325</v>
      </c>
      <c r="H65" s="1">
        <v>5</v>
      </c>
      <c r="J65" s="44">
        <v>46185</v>
      </c>
      <c r="L65" s="44">
        <v>46112</v>
      </c>
      <c r="M65" s="1" t="s">
        <v>291</v>
      </c>
      <c r="N65" s="1">
        <v>-1</v>
      </c>
      <c r="O65" s="1">
        <v>51460</v>
      </c>
      <c r="P65" s="1">
        <v>-257300</v>
      </c>
      <c r="Q65" s="1">
        <v>-3.02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-1</v>
      </c>
      <c r="W65" s="42">
        <f t="shared" si="34"/>
        <v>51460</v>
      </c>
      <c r="X65" s="42">
        <f t="shared" si="35"/>
        <v>-3.02</v>
      </c>
    </row>
    <row r="66" spans="1:24" x14ac:dyDescent="0.4">
      <c r="A66" s="1" t="s">
        <v>292</v>
      </c>
      <c r="B66" s="1" t="s">
        <v>59</v>
      </c>
      <c r="C66" s="1" t="s">
        <v>58</v>
      </c>
      <c r="D66" s="1" t="s">
        <v>326</v>
      </c>
      <c r="E66" s="1" t="s">
        <v>327</v>
      </c>
      <c r="F66" s="1" t="s">
        <v>78</v>
      </c>
      <c r="G66" s="1" t="s">
        <v>325</v>
      </c>
      <c r="H66" s="1">
        <v>5</v>
      </c>
      <c r="J66" s="44">
        <v>46185</v>
      </c>
      <c r="L66" s="44">
        <v>46112</v>
      </c>
      <c r="M66" s="1" t="s">
        <v>291</v>
      </c>
      <c r="N66" s="1">
        <v>-4</v>
      </c>
      <c r="O66" s="1">
        <v>51460</v>
      </c>
      <c r="P66" s="1">
        <v>-1029200</v>
      </c>
      <c r="Q66" s="1">
        <v>-12.08</v>
      </c>
      <c r="R66" s="1" t="s">
        <v>59</v>
      </c>
      <c r="T66" s="43">
        <f>IF(ISNUMBER(VLOOKUP(U66,Blotter!B:C,2,0)),VLOOKUP(U66,Blotter!B:C,2,0),"")</f>
        <v>5</v>
      </c>
      <c r="U66" s="42" t="str">
        <f t="shared" ref="U66" si="36">D66</f>
        <v>NKDM6</v>
      </c>
      <c r="V66" s="42">
        <f t="shared" ref="V66" si="37">N66</f>
        <v>-4</v>
      </c>
      <c r="W66" s="42">
        <f t="shared" ref="W66" si="38">O66</f>
        <v>51460</v>
      </c>
      <c r="X66" s="42">
        <f t="shared" ref="X66" si="39">Q66</f>
        <v>-12.08</v>
      </c>
    </row>
    <row r="67" spans="1:24" x14ac:dyDescent="0.4">
      <c r="A67" s="1" t="s">
        <v>292</v>
      </c>
      <c r="B67" s="1" t="s">
        <v>59</v>
      </c>
      <c r="C67" s="1" t="s">
        <v>303</v>
      </c>
      <c r="D67" s="1" t="s">
        <v>334</v>
      </c>
      <c r="E67" s="1" t="s">
        <v>339</v>
      </c>
      <c r="F67" s="1" t="s">
        <v>80</v>
      </c>
      <c r="G67" s="1" t="s">
        <v>264</v>
      </c>
      <c r="H67" s="1">
        <v>100</v>
      </c>
      <c r="I67" s="1">
        <v>4930</v>
      </c>
      <c r="J67" s="44">
        <v>46168</v>
      </c>
      <c r="K67" s="1" t="s">
        <v>335</v>
      </c>
      <c r="L67" s="44">
        <v>46119</v>
      </c>
      <c r="M67" s="1" t="s">
        <v>85</v>
      </c>
      <c r="N67" s="1">
        <v>1</v>
      </c>
      <c r="O67" s="1">
        <v>125.4</v>
      </c>
      <c r="P67" s="1">
        <v>12540</v>
      </c>
      <c r="Q67" s="1">
        <v>-2.52</v>
      </c>
      <c r="R67" s="1" t="s">
        <v>59</v>
      </c>
      <c r="T67" s="43">
        <f>IF(ISNUMBER(VLOOKUP(U67,Blotter!B:C,2,0)),VLOOKUP(U67,Blotter!B:C,2,0),"")</f>
        <v>6</v>
      </c>
      <c r="U67" s="42" t="str">
        <f t="shared" ref="U67:U69" si="40">D67</f>
        <v>OGM6 C4930</v>
      </c>
      <c r="V67" s="42">
        <f t="shared" ref="V67:V69" si="41">N67</f>
        <v>1</v>
      </c>
      <c r="W67" s="42">
        <f t="shared" ref="W67:W69" si="42">O67</f>
        <v>125.4</v>
      </c>
      <c r="X67" s="42">
        <f t="shared" ref="X67:X68" si="43">Q67</f>
        <v>-2.52</v>
      </c>
    </row>
    <row r="68" spans="1:24" x14ac:dyDescent="0.4">
      <c r="A68" s="1" t="s">
        <v>292</v>
      </c>
      <c r="B68" s="1" t="s">
        <v>59</v>
      </c>
      <c r="C68" s="1" t="s">
        <v>303</v>
      </c>
      <c r="D68" s="1" t="s">
        <v>333</v>
      </c>
      <c r="E68" s="1" t="s">
        <v>340</v>
      </c>
      <c r="F68" s="1" t="s">
        <v>80</v>
      </c>
      <c r="G68" s="1" t="s">
        <v>264</v>
      </c>
      <c r="H68" s="1">
        <v>100</v>
      </c>
      <c r="I68" s="1">
        <v>5500</v>
      </c>
      <c r="J68" s="44">
        <v>46168</v>
      </c>
      <c r="K68" s="1" t="s">
        <v>335</v>
      </c>
      <c r="L68" s="44">
        <v>46119</v>
      </c>
      <c r="M68" s="1" t="s">
        <v>291</v>
      </c>
      <c r="N68" s="1">
        <v>-1</v>
      </c>
      <c r="O68" s="1">
        <v>26.4</v>
      </c>
      <c r="P68" s="1">
        <v>-2640</v>
      </c>
      <c r="Q68" s="1">
        <v>-2.52</v>
      </c>
      <c r="R68" s="1" t="s">
        <v>59</v>
      </c>
      <c r="T68" s="43">
        <f>IF(ISNUMBER(VLOOKUP(U68,Blotter!B:C,2,0)),VLOOKUP(U68,Blotter!B:C,2,0),"")</f>
        <v>6</v>
      </c>
      <c r="U68" s="42" t="str">
        <f t="shared" si="40"/>
        <v>OGM6 C5500</v>
      </c>
      <c r="V68" s="42">
        <f t="shared" si="41"/>
        <v>-1</v>
      </c>
      <c r="W68" s="42">
        <f t="shared" si="42"/>
        <v>26.4</v>
      </c>
      <c r="X68" s="42">
        <f t="shared" si="43"/>
        <v>-2.52</v>
      </c>
    </row>
    <row r="69" spans="1:24" x14ac:dyDescent="0.4">
      <c r="C69" s="1" t="s">
        <v>58</v>
      </c>
      <c r="D69" s="1" t="s">
        <v>267</v>
      </c>
      <c r="J69" s="44">
        <v>46188</v>
      </c>
      <c r="N69" s="1">
        <v>5</v>
      </c>
      <c r="O69" s="1">
        <v>1.1721699999999999</v>
      </c>
      <c r="T69" s="43">
        <f>IF(ISNUMBER(VLOOKUP(U69,Blotter!B:C,2,0)),VLOOKUP(U69,Blotter!B:C,2,0),"")</f>
        <v>7</v>
      </c>
      <c r="U69" s="42" t="str">
        <f t="shared" si="40"/>
        <v>6EM6</v>
      </c>
      <c r="V69" s="42">
        <f t="shared" si="41"/>
        <v>5</v>
      </c>
      <c r="W69" s="42">
        <f t="shared" si="42"/>
        <v>1.1721699999999999</v>
      </c>
      <c r="X69" s="42"/>
    </row>
    <row r="70" spans="1:24" x14ac:dyDescent="0.4">
      <c r="T70" s="43"/>
      <c r="U70" s="42"/>
      <c r="V70" s="42"/>
      <c r="W70" s="42"/>
      <c r="X70" s="42"/>
    </row>
    <row r="71" spans="1:24" x14ac:dyDescent="0.4">
      <c r="T71" s="43"/>
      <c r="U71" s="42"/>
      <c r="V71" s="42"/>
      <c r="W71" s="42"/>
      <c r="X71" s="42"/>
    </row>
    <row r="72" spans="1:24" x14ac:dyDescent="0.4">
      <c r="T72" s="43"/>
      <c r="U72" s="42"/>
      <c r="V72" s="42"/>
      <c r="W72" s="42"/>
      <c r="X72" s="42"/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201</v>
      </c>
      <c r="B1" s="56"/>
    </row>
    <row r="3" spans="1:2" x14ac:dyDescent="0.4">
      <c r="A3" s="80" t="s">
        <v>200</v>
      </c>
      <c r="B3" s="89" t="s">
        <v>199</v>
      </c>
    </row>
    <row r="4" spans="1:2" x14ac:dyDescent="0.4">
      <c r="A4" s="80" t="s">
        <v>198</v>
      </c>
      <c r="B4" s="89">
        <v>7497</v>
      </c>
    </row>
    <row r="5" spans="1:2" x14ac:dyDescent="0.4">
      <c r="A5" s="80" t="s">
        <v>197</v>
      </c>
      <c r="B5" s="89">
        <v>11</v>
      </c>
    </row>
    <row r="6" spans="1:2" x14ac:dyDescent="0.4">
      <c r="A6" s="80" t="s">
        <v>196</v>
      </c>
      <c r="B6" s="89">
        <v>0.25</v>
      </c>
    </row>
    <row r="7" spans="1:2" x14ac:dyDescent="0.4">
      <c r="A7" s="80" t="s">
        <v>195</v>
      </c>
      <c r="B7" s="89" t="s">
        <v>194</v>
      </c>
    </row>
    <row r="8" spans="1:2" x14ac:dyDescent="0.4">
      <c r="A8" s="80" t="s">
        <v>193</v>
      </c>
      <c r="B8" s="89">
        <v>3</v>
      </c>
    </row>
    <row r="10" spans="1:2" x14ac:dyDescent="0.4">
      <c r="A10" s="1" t="s">
        <v>192</v>
      </c>
    </row>
    <row r="11" spans="1:2" x14ac:dyDescent="0.4">
      <c r="A11" s="1" t="s">
        <v>191</v>
      </c>
    </row>
    <row r="12" spans="1:2" x14ac:dyDescent="0.4">
      <c r="A12" s="1" t="s">
        <v>190</v>
      </c>
    </row>
    <row r="13" spans="1:2" x14ac:dyDescent="0.4">
      <c r="A13" s="1" t="s">
        <v>189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>
      <selection activeCell="B24" sqref="B24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215</v>
      </c>
      <c r="B1" s="82" t="s">
        <v>214</v>
      </c>
      <c r="C1" s="82" t="s">
        <v>213</v>
      </c>
      <c r="D1" s="82" t="s">
        <v>212</v>
      </c>
      <c r="E1" s="82" t="s">
        <v>211</v>
      </c>
      <c r="F1" s="82" t="s">
        <v>210</v>
      </c>
      <c r="G1" s="82" t="s">
        <v>209</v>
      </c>
      <c r="H1" s="82" t="s">
        <v>208</v>
      </c>
      <c r="I1" s="82" t="s">
        <v>207</v>
      </c>
      <c r="J1" s="82" t="s">
        <v>206</v>
      </c>
      <c r="K1" s="82" t="s">
        <v>205</v>
      </c>
      <c r="L1" s="82" t="s">
        <v>204</v>
      </c>
      <c r="M1" s="82" t="s">
        <v>203</v>
      </c>
    </row>
    <row r="2" spans="1:13" x14ac:dyDescent="0.4">
      <c r="A2" s="88">
        <v>1</v>
      </c>
      <c r="B2" s="88" t="s">
        <v>239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202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240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202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241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202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242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202</v>
      </c>
      <c r="H5" s="88"/>
      <c r="I5" s="88"/>
      <c r="J5" s="88"/>
      <c r="K5" s="88" t="s">
        <v>235</v>
      </c>
      <c r="L5" s="88"/>
      <c r="M5" s="88"/>
    </row>
    <row r="6" spans="1:13" x14ac:dyDescent="0.4">
      <c r="A6" s="88">
        <v>1</v>
      </c>
      <c r="B6" s="88" t="s">
        <v>326</v>
      </c>
      <c r="C6" s="88" t="s">
        <v>58</v>
      </c>
      <c r="D6" s="88" t="s">
        <v>325</v>
      </c>
      <c r="E6" s="88" t="s">
        <v>78</v>
      </c>
      <c r="F6" s="88" t="s">
        <v>59</v>
      </c>
      <c r="G6" s="88" t="s">
        <v>202</v>
      </c>
      <c r="H6" s="88"/>
      <c r="I6" s="88"/>
      <c r="J6" s="88">
        <v>5</v>
      </c>
      <c r="K6" s="88" t="s">
        <v>325</v>
      </c>
      <c r="L6" s="88"/>
      <c r="M6" s="88"/>
    </row>
    <row r="7" spans="1:13" x14ac:dyDescent="0.4">
      <c r="A7" s="88">
        <v>1</v>
      </c>
      <c r="B7" s="88" t="s">
        <v>173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246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202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247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202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248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202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249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202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316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134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172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177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131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174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282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181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147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254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202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267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202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250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202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251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202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252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202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253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202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255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202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256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202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243</v>
      </c>
      <c r="C31" s="88" t="s">
        <v>58</v>
      </c>
      <c r="D31" s="88" t="s">
        <v>236</v>
      </c>
      <c r="E31" s="88" t="s">
        <v>79</v>
      </c>
      <c r="F31" s="88" t="s">
        <v>56</v>
      </c>
      <c r="G31" s="88" t="s">
        <v>202</v>
      </c>
      <c r="H31" s="88"/>
      <c r="I31" s="88"/>
      <c r="J31" s="88"/>
      <c r="K31" s="88" t="s">
        <v>236</v>
      </c>
      <c r="L31" s="88"/>
      <c r="M31" s="88"/>
    </row>
    <row r="32" spans="1:13" x14ac:dyDescent="0.4">
      <c r="A32" s="88">
        <v>1</v>
      </c>
      <c r="B32" s="88" t="s">
        <v>244</v>
      </c>
      <c r="C32" s="88" t="s">
        <v>58</v>
      </c>
      <c r="D32" s="88" t="s">
        <v>237</v>
      </c>
      <c r="E32" s="88" t="s">
        <v>79</v>
      </c>
      <c r="F32" s="88" t="s">
        <v>56</v>
      </c>
      <c r="G32" s="88" t="s">
        <v>202</v>
      </c>
      <c r="H32" s="88"/>
      <c r="I32" s="88"/>
      <c r="J32" s="88"/>
      <c r="K32" s="88" t="s">
        <v>237</v>
      </c>
      <c r="L32" s="88"/>
      <c r="M32" s="88"/>
    </row>
    <row r="33" spans="1:13" x14ac:dyDescent="0.4">
      <c r="A33" s="88">
        <v>1</v>
      </c>
      <c r="B33" s="88" t="s">
        <v>245</v>
      </c>
      <c r="C33" s="88" t="s">
        <v>58</v>
      </c>
      <c r="D33" s="88" t="s">
        <v>238</v>
      </c>
      <c r="E33" s="88" t="s">
        <v>79</v>
      </c>
      <c r="F33" s="88" t="s">
        <v>56</v>
      </c>
      <c r="G33" s="88" t="s">
        <v>202</v>
      </c>
      <c r="H33" s="88"/>
      <c r="I33" s="88"/>
      <c r="J33" s="88"/>
      <c r="K33" s="88" t="s">
        <v>238</v>
      </c>
      <c r="M33" s="88"/>
    </row>
    <row r="34" spans="1:13" x14ac:dyDescent="0.4">
      <c r="A34" s="88">
        <v>1</v>
      </c>
      <c r="B34" s="9" t="s">
        <v>289</v>
      </c>
      <c r="C34" s="88" t="s">
        <v>184</v>
      </c>
      <c r="D34" s="88" t="s">
        <v>44</v>
      </c>
      <c r="E34" s="88" t="s">
        <v>188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185</v>
      </c>
      <c r="C35" s="88" t="s">
        <v>184</v>
      </c>
      <c r="D35" s="88" t="s">
        <v>45</v>
      </c>
      <c r="E35" s="88" t="s">
        <v>188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304</v>
      </c>
      <c r="C36" s="88" t="s">
        <v>303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301</v>
      </c>
      <c r="J36" s="88">
        <v>1000</v>
      </c>
      <c r="K36" s="88" t="s">
        <v>302</v>
      </c>
      <c r="M36" s="88"/>
    </row>
    <row r="37" spans="1:13" x14ac:dyDescent="0.4">
      <c r="A37" s="88">
        <v>1</v>
      </c>
      <c r="B37" s="9" t="s">
        <v>305</v>
      </c>
      <c r="C37" s="88" t="s">
        <v>303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301</v>
      </c>
      <c r="J37" s="88">
        <v>1000</v>
      </c>
      <c r="K37" s="88" t="s">
        <v>302</v>
      </c>
      <c r="M37" s="88"/>
    </row>
    <row r="38" spans="1:13" x14ac:dyDescent="0.4">
      <c r="A38" s="88">
        <v>1</v>
      </c>
      <c r="B38" s="9" t="s">
        <v>333</v>
      </c>
      <c r="C38" s="88" t="s">
        <v>303</v>
      </c>
      <c r="D38" s="88" t="s">
        <v>26</v>
      </c>
      <c r="E38" s="88" t="s">
        <v>80</v>
      </c>
      <c r="F38" s="88" t="s">
        <v>59</v>
      </c>
      <c r="G38" s="88">
        <v>20260526</v>
      </c>
      <c r="H38" s="88">
        <v>5500</v>
      </c>
      <c r="I38" s="88" t="s">
        <v>335</v>
      </c>
      <c r="J38" s="88">
        <v>100</v>
      </c>
      <c r="K38" s="88" t="s">
        <v>336</v>
      </c>
    </row>
    <row r="39" spans="1:13" x14ac:dyDescent="0.4">
      <c r="A39" s="88">
        <v>1</v>
      </c>
      <c r="B39" s="9" t="s">
        <v>334</v>
      </c>
      <c r="C39" s="88" t="s">
        <v>303</v>
      </c>
      <c r="D39" s="88" t="s">
        <v>26</v>
      </c>
      <c r="E39" s="88" t="s">
        <v>80</v>
      </c>
      <c r="F39" s="88" t="s">
        <v>59</v>
      </c>
      <c r="G39" s="88">
        <v>20260526</v>
      </c>
      <c r="H39" s="88">
        <v>4930</v>
      </c>
      <c r="I39" s="88" t="s">
        <v>335</v>
      </c>
      <c r="J39" s="88">
        <v>100</v>
      </c>
      <c r="K39" s="88" t="s">
        <v>336</v>
      </c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139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134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172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177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131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174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182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181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147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topLeftCell="A2" workbookViewId="0">
      <selection activeCell="A24" sqref="A24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214</v>
      </c>
      <c r="B1" s="86" t="s">
        <v>232</v>
      </c>
      <c r="C1" s="86" t="s">
        <v>213</v>
      </c>
      <c r="D1" s="86" t="s">
        <v>212</v>
      </c>
      <c r="E1" s="86" t="s">
        <v>204</v>
      </c>
      <c r="F1" s="86" t="s">
        <v>211</v>
      </c>
      <c r="G1" s="86" t="s">
        <v>210</v>
      </c>
      <c r="H1" s="86" t="s">
        <v>231</v>
      </c>
      <c r="I1" s="86" t="s">
        <v>230</v>
      </c>
      <c r="J1" s="86" t="s">
        <v>229</v>
      </c>
      <c r="K1" s="86" t="s">
        <v>228</v>
      </c>
      <c r="L1" s="86" t="s">
        <v>227</v>
      </c>
      <c r="M1" s="86" t="s">
        <v>226</v>
      </c>
      <c r="N1" s="86" t="s">
        <v>225</v>
      </c>
      <c r="O1" s="86" t="s">
        <v>224</v>
      </c>
      <c r="P1" s="86" t="s">
        <v>223</v>
      </c>
      <c r="Q1" s="86" t="s">
        <v>222</v>
      </c>
      <c r="R1" s="86" t="s">
        <v>221</v>
      </c>
      <c r="S1" s="86" t="s">
        <v>220</v>
      </c>
      <c r="T1" s="86" t="s">
        <v>219</v>
      </c>
      <c r="U1" s="86" t="s">
        <v>218</v>
      </c>
      <c r="V1" s="86" t="s">
        <v>217</v>
      </c>
      <c r="W1" s="86" t="s">
        <v>216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239</v>
      </c>
      <c r="B2" s="81">
        <v>649180678</v>
      </c>
      <c r="C2" s="81" t="s">
        <v>58</v>
      </c>
      <c r="D2" s="81" t="s">
        <v>21</v>
      </c>
      <c r="E2" s="81" t="s">
        <v>257</v>
      </c>
      <c r="F2" s="81" t="s">
        <v>78</v>
      </c>
      <c r="G2" s="81" t="s">
        <v>59</v>
      </c>
      <c r="H2" s="91">
        <v>6812.25</v>
      </c>
      <c r="I2" s="91">
        <v>6812</v>
      </c>
      <c r="J2" s="91">
        <v>6812.5</v>
      </c>
      <c r="K2" s="91">
        <v>6812.25</v>
      </c>
      <c r="L2" s="91">
        <v>6855.25</v>
      </c>
      <c r="M2" s="91">
        <v>6780</v>
      </c>
      <c r="N2" s="91">
        <v>6820</v>
      </c>
      <c r="O2" s="91">
        <v>6767</v>
      </c>
      <c r="P2" s="91">
        <v>164382</v>
      </c>
      <c r="Q2" s="91"/>
      <c r="R2" s="91"/>
      <c r="S2" s="91"/>
      <c r="T2" s="91"/>
      <c r="U2" s="91"/>
      <c r="V2" s="85">
        <v>46125.517858796295</v>
      </c>
      <c r="W2" s="81" t="s">
        <v>258</v>
      </c>
      <c r="X2" s="81"/>
      <c r="Y2" s="81"/>
      <c r="Z2" s="81"/>
    </row>
    <row r="3" spans="1:32" x14ac:dyDescent="0.4">
      <c r="A3" s="81" t="s">
        <v>240</v>
      </c>
      <c r="B3" s="81">
        <v>750150196</v>
      </c>
      <c r="C3" s="81" t="s">
        <v>58</v>
      </c>
      <c r="D3" s="81" t="s">
        <v>22</v>
      </c>
      <c r="E3" s="81" t="s">
        <v>259</v>
      </c>
      <c r="F3" s="81" t="s">
        <v>78</v>
      </c>
      <c r="G3" s="81" t="s">
        <v>59</v>
      </c>
      <c r="H3" s="91">
        <v>25112.75</v>
      </c>
      <c r="I3" s="91">
        <v>25112.5</v>
      </c>
      <c r="J3" s="91">
        <v>25113</v>
      </c>
      <c r="K3" s="91">
        <v>25112.75</v>
      </c>
      <c r="L3" s="91">
        <v>25281.25</v>
      </c>
      <c r="M3" s="91">
        <v>24980</v>
      </c>
      <c r="N3" s="91">
        <v>25133</v>
      </c>
      <c r="O3" s="91">
        <v>24904.5</v>
      </c>
      <c r="P3" s="91">
        <v>86715</v>
      </c>
      <c r="Q3" s="91"/>
      <c r="R3" s="91"/>
      <c r="S3" s="91"/>
      <c r="T3" s="91"/>
      <c r="U3" s="91"/>
      <c r="V3" s="85">
        <v>46125.517858796295</v>
      </c>
      <c r="W3" s="81" t="s">
        <v>258</v>
      </c>
      <c r="X3" s="81"/>
      <c r="Y3" s="81"/>
      <c r="Z3" s="81"/>
    </row>
    <row r="4" spans="1:32" x14ac:dyDescent="0.4">
      <c r="A4" s="81" t="s">
        <v>241</v>
      </c>
      <c r="B4" s="81">
        <v>770561234</v>
      </c>
      <c r="C4" s="81" t="s">
        <v>58</v>
      </c>
      <c r="D4" s="81" t="s">
        <v>23</v>
      </c>
      <c r="E4" s="81" t="s">
        <v>260</v>
      </c>
      <c r="F4" s="81" t="s">
        <v>78</v>
      </c>
      <c r="G4" s="81" t="s">
        <v>59</v>
      </c>
      <c r="H4" s="91">
        <v>2619.1999999999998</v>
      </c>
      <c r="I4" s="91">
        <v>2619</v>
      </c>
      <c r="J4" s="91">
        <v>2619.3000000000002</v>
      </c>
      <c r="K4" s="91">
        <v>2619.15</v>
      </c>
      <c r="L4" s="91">
        <v>2644.4</v>
      </c>
      <c r="M4" s="91">
        <v>2607.8000000000002</v>
      </c>
      <c r="N4" s="91">
        <v>2622.8</v>
      </c>
      <c r="O4" s="91">
        <v>2591.8000000000002</v>
      </c>
      <c r="P4" s="91">
        <v>23113</v>
      </c>
      <c r="Q4" s="91"/>
      <c r="R4" s="91"/>
      <c r="S4" s="91"/>
      <c r="T4" s="91"/>
      <c r="U4" s="91"/>
      <c r="V4" s="85">
        <v>46125.517858796295</v>
      </c>
      <c r="W4" s="81" t="s">
        <v>258</v>
      </c>
      <c r="X4" s="81"/>
      <c r="Y4" s="81"/>
      <c r="Z4" s="81"/>
    </row>
    <row r="5" spans="1:32" x14ac:dyDescent="0.4">
      <c r="A5" s="81" t="s">
        <v>242</v>
      </c>
      <c r="B5" s="81">
        <v>638120262</v>
      </c>
      <c r="C5" s="81" t="s">
        <v>58</v>
      </c>
      <c r="D5" s="81" t="s">
        <v>61</v>
      </c>
      <c r="E5" s="81" t="s">
        <v>261</v>
      </c>
      <c r="F5" s="81" t="s">
        <v>79</v>
      </c>
      <c r="G5" s="81" t="s">
        <v>56</v>
      </c>
      <c r="H5" s="91">
        <v>23745</v>
      </c>
      <c r="I5" s="91">
        <v>23744</v>
      </c>
      <c r="J5" s="91">
        <v>23747</v>
      </c>
      <c r="K5" s="91">
        <v>23745.5</v>
      </c>
      <c r="L5" s="91">
        <v>24037</v>
      </c>
      <c r="M5" s="91">
        <v>23695</v>
      </c>
      <c r="N5" s="91">
        <v>23793</v>
      </c>
      <c r="O5" s="91">
        <v>23579</v>
      </c>
      <c r="P5" s="91">
        <v>6413</v>
      </c>
      <c r="Q5" s="91"/>
      <c r="R5" s="91"/>
      <c r="S5" s="91"/>
      <c r="T5" s="91"/>
      <c r="U5" s="91"/>
      <c r="V5" s="85">
        <v>46125.517858796295</v>
      </c>
      <c r="W5" s="81" t="s">
        <v>258</v>
      </c>
      <c r="X5" s="81"/>
      <c r="Y5" s="81"/>
      <c r="Z5" s="81"/>
    </row>
    <row r="6" spans="1:32" x14ac:dyDescent="0.4">
      <c r="A6" s="81" t="s">
        <v>326</v>
      </c>
      <c r="B6" s="81">
        <v>635680489</v>
      </c>
      <c r="C6" s="81" t="s">
        <v>58</v>
      </c>
      <c r="D6" s="81" t="s">
        <v>325</v>
      </c>
      <c r="E6" s="81" t="s">
        <v>326</v>
      </c>
      <c r="F6" s="81" t="s">
        <v>78</v>
      </c>
      <c r="G6" s="81" t="s">
        <v>59</v>
      </c>
      <c r="H6" s="91">
        <v>56720</v>
      </c>
      <c r="I6" s="91">
        <v>56685</v>
      </c>
      <c r="J6" s="91">
        <v>56700</v>
      </c>
      <c r="K6" s="91">
        <v>56692.5</v>
      </c>
      <c r="L6" s="91">
        <v>57390</v>
      </c>
      <c r="M6" s="91">
        <v>56505</v>
      </c>
      <c r="N6" s="91">
        <v>56880</v>
      </c>
      <c r="O6" s="91">
        <v>55950</v>
      </c>
      <c r="P6" s="91">
        <v>1898</v>
      </c>
      <c r="Q6" s="91"/>
      <c r="R6" s="91"/>
      <c r="S6" s="91"/>
      <c r="T6" s="91"/>
      <c r="U6" s="91"/>
      <c r="V6" s="85">
        <v>46125.517858796295</v>
      </c>
      <c r="W6" s="81" t="s">
        <v>258</v>
      </c>
      <c r="X6" s="81"/>
      <c r="Y6" s="81"/>
      <c r="Z6" s="81"/>
    </row>
    <row r="7" spans="1:32" x14ac:dyDescent="0.4">
      <c r="A7" s="1" t="s">
        <v>173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46125.517858796295</v>
      </c>
      <c r="W7" s="1" t="s">
        <v>313</v>
      </c>
    </row>
    <row r="8" spans="1:32" x14ac:dyDescent="0.4">
      <c r="A8" s="1" t="s">
        <v>246</v>
      </c>
      <c r="B8" s="1">
        <v>269460069</v>
      </c>
      <c r="C8" s="1" t="s">
        <v>58</v>
      </c>
      <c r="D8" s="1" t="s">
        <v>5</v>
      </c>
      <c r="E8" s="1" t="s">
        <v>262</v>
      </c>
      <c r="F8" s="1" t="s">
        <v>60</v>
      </c>
      <c r="G8" s="1" t="s">
        <v>59</v>
      </c>
      <c r="H8" s="93">
        <v>2.8530000000000002</v>
      </c>
      <c r="I8" s="93">
        <v>2.8519999999999999</v>
      </c>
      <c r="J8" s="93">
        <v>2.8540000000000001</v>
      </c>
      <c r="K8" s="93">
        <v>2.8529999999999998</v>
      </c>
      <c r="L8" s="93">
        <v>2.806</v>
      </c>
      <c r="M8" s="93">
        <v>2.839</v>
      </c>
      <c r="N8" s="93">
        <v>2.8730000000000002</v>
      </c>
      <c r="O8" s="93">
        <v>2.8220000000000001</v>
      </c>
      <c r="P8" s="93">
        <v>3705</v>
      </c>
      <c r="Q8" s="93"/>
      <c r="R8" s="93"/>
      <c r="S8" s="93"/>
      <c r="T8" s="93"/>
      <c r="U8" s="93"/>
      <c r="V8" s="92">
        <v>46125.517858796295</v>
      </c>
      <c r="W8" s="1" t="s">
        <v>258</v>
      </c>
    </row>
    <row r="9" spans="1:32" x14ac:dyDescent="0.4">
      <c r="A9" s="1" t="s">
        <v>247</v>
      </c>
      <c r="B9" s="1">
        <v>600696533</v>
      </c>
      <c r="C9" s="1" t="s">
        <v>58</v>
      </c>
      <c r="D9" s="1" t="s">
        <v>9</v>
      </c>
      <c r="E9" s="1" t="s">
        <v>263</v>
      </c>
      <c r="F9" s="1" t="s">
        <v>60</v>
      </c>
      <c r="G9" s="1" t="s">
        <v>59</v>
      </c>
      <c r="H9" s="93">
        <v>3.0821000000000001</v>
      </c>
      <c r="I9" s="93">
        <v>3.0819000000000001</v>
      </c>
      <c r="J9" s="93">
        <v>3.0823999999999998</v>
      </c>
      <c r="K9" s="93">
        <v>3.0821499999999999</v>
      </c>
      <c r="L9" s="93">
        <v>2.9552</v>
      </c>
      <c r="M9" s="93">
        <v>3.0146000000000002</v>
      </c>
      <c r="N9" s="93">
        <v>3.1118000000000001</v>
      </c>
      <c r="O9" s="93">
        <v>3.0146000000000002</v>
      </c>
      <c r="P9" s="93">
        <v>9373</v>
      </c>
      <c r="Q9" s="93"/>
      <c r="R9" s="93"/>
      <c r="S9" s="93"/>
      <c r="T9" s="93"/>
      <c r="U9" s="93"/>
      <c r="V9" s="92">
        <v>46125.517858796295</v>
      </c>
      <c r="W9" s="1" t="s">
        <v>258</v>
      </c>
    </row>
    <row r="10" spans="1:32" x14ac:dyDescent="0.4">
      <c r="A10" s="1" t="s">
        <v>248</v>
      </c>
      <c r="B10" s="1">
        <v>430360630</v>
      </c>
      <c r="C10" s="1" t="s">
        <v>58</v>
      </c>
      <c r="D10" s="1" t="s">
        <v>26</v>
      </c>
      <c r="E10" s="1" t="s">
        <v>264</v>
      </c>
      <c r="F10" s="1" t="s">
        <v>80</v>
      </c>
      <c r="G10" s="1" t="s">
        <v>59</v>
      </c>
      <c r="H10" s="93">
        <v>4738.6000000000004</v>
      </c>
      <c r="I10" s="93">
        <v>4738.3</v>
      </c>
      <c r="J10" s="93">
        <v>4738.8</v>
      </c>
      <c r="K10" s="93">
        <v>4738.55</v>
      </c>
      <c r="L10" s="93">
        <v>4787.3999999999996</v>
      </c>
      <c r="M10" s="93">
        <v>4710</v>
      </c>
      <c r="N10" s="93">
        <v>4762.5</v>
      </c>
      <c r="O10" s="93">
        <v>4626</v>
      </c>
      <c r="P10" s="93">
        <v>51090</v>
      </c>
      <c r="Q10" s="93"/>
      <c r="R10" s="93"/>
      <c r="S10" s="93"/>
      <c r="T10" s="93"/>
      <c r="U10" s="93"/>
      <c r="V10" s="92">
        <v>46125.517858796295</v>
      </c>
      <c r="W10" s="1" t="s">
        <v>258</v>
      </c>
    </row>
    <row r="11" spans="1:32" x14ac:dyDescent="0.4">
      <c r="A11" s="1" t="s">
        <v>249</v>
      </c>
      <c r="B11" s="1">
        <v>760200596</v>
      </c>
      <c r="C11" s="1" t="s">
        <v>58</v>
      </c>
      <c r="D11" s="1" t="s">
        <v>27</v>
      </c>
      <c r="E11" s="1" t="s">
        <v>265</v>
      </c>
      <c r="F11" s="1" t="s">
        <v>80</v>
      </c>
      <c r="G11" s="1" t="s">
        <v>59</v>
      </c>
      <c r="H11" s="93">
        <v>74.739999999999995</v>
      </c>
      <c r="I11" s="93">
        <v>74.680000000000007</v>
      </c>
      <c r="J11" s="93">
        <v>74.724999999999994</v>
      </c>
      <c r="K11" s="93">
        <v>74.702500000000001</v>
      </c>
      <c r="L11" s="93">
        <v>76.765000000000001</v>
      </c>
      <c r="M11" s="93">
        <v>75.290000000000006</v>
      </c>
      <c r="N11" s="93">
        <v>75.290000000000006</v>
      </c>
      <c r="O11" s="93">
        <v>73.260000000000005</v>
      </c>
      <c r="P11" s="93">
        <v>268</v>
      </c>
      <c r="Q11" s="93"/>
      <c r="R11" s="93"/>
      <c r="S11" s="93"/>
      <c r="T11" s="93"/>
      <c r="U11" s="93"/>
      <c r="V11" s="92">
        <v>46125.517858796295</v>
      </c>
      <c r="W11" s="1" t="s">
        <v>258</v>
      </c>
    </row>
    <row r="12" spans="1:32" x14ac:dyDescent="0.4">
      <c r="A12" s="1" t="s">
        <v>316</v>
      </c>
      <c r="B12" s="1">
        <v>473509991</v>
      </c>
      <c r="C12" s="1" t="s">
        <v>58</v>
      </c>
      <c r="D12" s="1" t="s">
        <v>25</v>
      </c>
      <c r="E12" s="1" t="s">
        <v>316</v>
      </c>
      <c r="F12" s="1" t="s">
        <v>80</v>
      </c>
      <c r="G12" s="1" t="s">
        <v>59</v>
      </c>
      <c r="H12" s="93">
        <v>5.8525</v>
      </c>
      <c r="I12" s="93">
        <v>5.8514999999999997</v>
      </c>
      <c r="J12" s="93">
        <v>5.8529999999999998</v>
      </c>
      <c r="K12" s="93">
        <v>5.8522499999999997</v>
      </c>
      <c r="L12" s="93">
        <v>5.8860000000000001</v>
      </c>
      <c r="M12" s="93">
        <v>5.8174999999999999</v>
      </c>
      <c r="N12" s="93">
        <v>5.8845000000000001</v>
      </c>
      <c r="O12" s="93">
        <v>5.7640000000000002</v>
      </c>
      <c r="P12" s="93">
        <v>14864</v>
      </c>
      <c r="Q12" s="93"/>
      <c r="R12" s="93"/>
      <c r="S12" s="93"/>
      <c r="T12" s="93"/>
      <c r="U12" s="93"/>
      <c r="V12" s="92">
        <v>46125.517858796295</v>
      </c>
      <c r="W12" s="1" t="s">
        <v>258</v>
      </c>
    </row>
    <row r="13" spans="1:32" x14ac:dyDescent="0.4">
      <c r="A13" s="1" t="s">
        <v>134</v>
      </c>
      <c r="B13" s="1">
        <v>671574022</v>
      </c>
      <c r="C13" s="1" t="s">
        <v>58</v>
      </c>
      <c r="D13" s="1" t="s">
        <v>28</v>
      </c>
      <c r="E13" s="1" t="s">
        <v>277</v>
      </c>
      <c r="F13" s="1" t="s">
        <v>81</v>
      </c>
      <c r="G13" s="1" t="s">
        <v>59</v>
      </c>
      <c r="H13" s="93">
        <v>444.5</v>
      </c>
      <c r="I13" s="93">
        <v>444.25</v>
      </c>
      <c r="J13" s="93">
        <v>444.5</v>
      </c>
      <c r="K13" s="93">
        <v>444.375</v>
      </c>
      <c r="L13" s="93">
        <v>441</v>
      </c>
      <c r="M13" s="93">
        <v>446</v>
      </c>
      <c r="N13" s="93">
        <v>446</v>
      </c>
      <c r="O13" s="93">
        <v>442.75</v>
      </c>
      <c r="P13" s="93">
        <v>28805</v>
      </c>
      <c r="Q13" s="93"/>
      <c r="R13" s="93"/>
      <c r="S13" s="93"/>
      <c r="T13" s="93"/>
      <c r="U13" s="93"/>
      <c r="V13" s="92">
        <v>46125.517858796295</v>
      </c>
      <c r="W13" s="1" t="s">
        <v>258</v>
      </c>
    </row>
    <row r="14" spans="1:32" x14ac:dyDescent="0.4">
      <c r="A14" s="1" t="s">
        <v>172</v>
      </c>
      <c r="B14" s="1">
        <v>642254817</v>
      </c>
      <c r="C14" s="1" t="s">
        <v>58</v>
      </c>
      <c r="D14" s="1" t="s">
        <v>29</v>
      </c>
      <c r="E14" s="1" t="s">
        <v>278</v>
      </c>
      <c r="F14" s="1" t="s">
        <v>81</v>
      </c>
      <c r="G14" s="1" t="s">
        <v>59</v>
      </c>
      <c r="H14" s="93">
        <v>582</v>
      </c>
      <c r="I14" s="93">
        <v>581.75</v>
      </c>
      <c r="J14" s="93">
        <v>582</v>
      </c>
      <c r="K14" s="93">
        <v>581.875</v>
      </c>
      <c r="L14" s="93">
        <v>571</v>
      </c>
      <c r="M14" s="93">
        <v>580</v>
      </c>
      <c r="N14" s="93">
        <v>584</v>
      </c>
      <c r="O14" s="93">
        <v>576.25</v>
      </c>
      <c r="P14" s="93">
        <v>15939</v>
      </c>
      <c r="Q14" s="93"/>
      <c r="R14" s="93"/>
      <c r="S14" s="93"/>
      <c r="T14" s="93"/>
      <c r="U14" s="93"/>
      <c r="V14" s="92">
        <v>46125.517858796295</v>
      </c>
      <c r="W14" s="1" t="s">
        <v>258</v>
      </c>
    </row>
    <row r="15" spans="1:32" x14ac:dyDescent="0.4">
      <c r="A15" s="1" t="s">
        <v>177</v>
      </c>
      <c r="B15" s="1">
        <v>665643569</v>
      </c>
      <c r="C15" s="1" t="s">
        <v>58</v>
      </c>
      <c r="D15" s="1" t="s">
        <v>31</v>
      </c>
      <c r="E15" s="1" t="s">
        <v>279</v>
      </c>
      <c r="F15" s="1" t="s">
        <v>81</v>
      </c>
      <c r="G15" s="1" t="s">
        <v>59</v>
      </c>
      <c r="H15" s="93">
        <v>1176.5</v>
      </c>
      <c r="I15" s="93">
        <v>1176.25</v>
      </c>
      <c r="J15" s="93">
        <v>1176.5</v>
      </c>
      <c r="K15" s="93">
        <v>1176.375</v>
      </c>
      <c r="L15" s="93">
        <v>1175.75</v>
      </c>
      <c r="M15" s="93">
        <v>1177</v>
      </c>
      <c r="N15" s="93">
        <v>1183.75</v>
      </c>
      <c r="O15" s="93">
        <v>1171.5</v>
      </c>
      <c r="P15" s="93">
        <v>29866</v>
      </c>
      <c r="Q15" s="93"/>
      <c r="R15" s="93"/>
      <c r="S15" s="93"/>
      <c r="T15" s="93"/>
      <c r="U15" s="93"/>
      <c r="V15" s="92">
        <v>46125.517858796295</v>
      </c>
      <c r="W15" s="1" t="s">
        <v>258</v>
      </c>
    </row>
    <row r="16" spans="1:32" x14ac:dyDescent="0.4">
      <c r="A16" s="1" t="s">
        <v>131</v>
      </c>
      <c r="B16" s="1">
        <v>634760175</v>
      </c>
      <c r="C16" s="1" t="s">
        <v>58</v>
      </c>
      <c r="D16" s="1" t="s">
        <v>32</v>
      </c>
      <c r="E16" s="1" t="s">
        <v>280</v>
      </c>
      <c r="F16" s="1" t="s">
        <v>63</v>
      </c>
      <c r="G16" s="1" t="s">
        <v>59</v>
      </c>
      <c r="H16" s="93">
        <v>13.86</v>
      </c>
      <c r="I16" s="93">
        <v>13.85</v>
      </c>
      <c r="J16" s="93">
        <v>13.86</v>
      </c>
      <c r="K16" s="93">
        <v>13.855</v>
      </c>
      <c r="L16" s="93">
        <v>13.75</v>
      </c>
      <c r="M16" s="93">
        <v>13.88</v>
      </c>
      <c r="N16" s="93">
        <v>13.97</v>
      </c>
      <c r="O16" s="93">
        <v>13.74</v>
      </c>
      <c r="P16" s="93">
        <v>16623</v>
      </c>
      <c r="Q16" s="93"/>
      <c r="R16" s="93"/>
      <c r="S16" s="93"/>
      <c r="T16" s="93"/>
      <c r="U16" s="93"/>
      <c r="V16" s="92">
        <v>46125.517858796295</v>
      </c>
      <c r="W16" s="1" t="s">
        <v>258</v>
      </c>
    </row>
    <row r="17" spans="1:23" x14ac:dyDescent="0.4">
      <c r="A17" s="1" t="s">
        <v>174</v>
      </c>
      <c r="B17" s="1">
        <v>634760204</v>
      </c>
      <c r="C17" s="1" t="s">
        <v>58</v>
      </c>
      <c r="D17" s="1" t="s">
        <v>33</v>
      </c>
      <c r="E17" s="1" t="s">
        <v>281</v>
      </c>
      <c r="F17" s="1" t="s">
        <v>63</v>
      </c>
      <c r="G17" s="1" t="s">
        <v>59</v>
      </c>
      <c r="H17" s="93">
        <v>303.35000000000002</v>
      </c>
      <c r="I17" s="93">
        <v>303.25</v>
      </c>
      <c r="J17" s="93">
        <v>303.39999999999998</v>
      </c>
      <c r="K17" s="93">
        <v>303.32499999999999</v>
      </c>
      <c r="L17" s="93">
        <v>300.10000000000002</v>
      </c>
      <c r="M17" s="93">
        <v>299</v>
      </c>
      <c r="N17" s="93">
        <v>305.75</v>
      </c>
      <c r="O17" s="93">
        <v>298.3</v>
      </c>
      <c r="P17" s="93">
        <v>2294</v>
      </c>
      <c r="Q17" s="93"/>
      <c r="R17" s="93"/>
      <c r="S17" s="93"/>
      <c r="T17" s="93"/>
      <c r="U17" s="93"/>
      <c r="V17" s="92">
        <v>46125.517858796295</v>
      </c>
      <c r="W17" s="1" t="s">
        <v>258</v>
      </c>
    </row>
    <row r="18" spans="1:23" x14ac:dyDescent="0.4">
      <c r="A18" s="1" t="s">
        <v>282</v>
      </c>
      <c r="B18" s="1">
        <v>707621000</v>
      </c>
      <c r="C18" s="1" t="s">
        <v>58</v>
      </c>
      <c r="D18" s="1" t="s">
        <v>34</v>
      </c>
      <c r="E18" s="1" t="s">
        <v>282</v>
      </c>
      <c r="F18" s="1" t="s">
        <v>63</v>
      </c>
      <c r="G18" s="1" t="s">
        <v>59</v>
      </c>
      <c r="H18" s="93">
        <v>3276</v>
      </c>
      <c r="I18" s="93">
        <v>3269</v>
      </c>
      <c r="J18" s="93">
        <v>3273</v>
      </c>
      <c r="K18" s="93">
        <v>3271</v>
      </c>
      <c r="L18" s="93">
        <v>3246</v>
      </c>
      <c r="M18" s="93">
        <v>3253</v>
      </c>
      <c r="N18" s="93">
        <v>3299</v>
      </c>
      <c r="O18" s="93">
        <v>3220</v>
      </c>
      <c r="P18" s="93">
        <v>1278</v>
      </c>
      <c r="Q18" s="93"/>
      <c r="R18" s="93"/>
      <c r="S18" s="93"/>
      <c r="T18" s="93"/>
      <c r="U18" s="93"/>
      <c r="V18" s="92">
        <v>46125.517858796295</v>
      </c>
      <c r="W18" s="1" t="s">
        <v>258</v>
      </c>
    </row>
    <row r="19" spans="1:23" x14ac:dyDescent="0.4">
      <c r="A19" s="1" t="s">
        <v>181</v>
      </c>
      <c r="B19" s="1">
        <v>634760245</v>
      </c>
      <c r="C19" s="1" t="s">
        <v>58</v>
      </c>
      <c r="D19" s="1" t="s">
        <v>64</v>
      </c>
      <c r="E19" s="1" t="s">
        <v>283</v>
      </c>
      <c r="F19" s="1" t="s">
        <v>63</v>
      </c>
      <c r="G19" s="1" t="s">
        <v>59</v>
      </c>
      <c r="H19" s="93">
        <v>73.540000000000006</v>
      </c>
      <c r="I19" s="93">
        <v>73.53</v>
      </c>
      <c r="J19" s="93">
        <v>73.540000000000006</v>
      </c>
      <c r="K19" s="93">
        <v>73.534999999999997</v>
      </c>
      <c r="L19" s="93">
        <v>73.22</v>
      </c>
      <c r="M19" s="93">
        <v>73.33</v>
      </c>
      <c r="N19" s="93">
        <v>73.739999999999995</v>
      </c>
      <c r="O19" s="93">
        <v>72.650000000000006</v>
      </c>
      <c r="P19" s="93">
        <v>7182</v>
      </c>
      <c r="Q19" s="93"/>
      <c r="R19" s="93"/>
      <c r="S19" s="93"/>
      <c r="T19" s="93"/>
      <c r="U19" s="93"/>
      <c r="V19" s="92">
        <v>46125.517858796295</v>
      </c>
      <c r="W19" s="1" t="s">
        <v>258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284</v>
      </c>
      <c r="F20" s="1" t="s">
        <v>78</v>
      </c>
      <c r="G20" s="1" t="s">
        <v>59</v>
      </c>
      <c r="H20" s="93">
        <v>-100</v>
      </c>
      <c r="I20" s="93">
        <v>-100</v>
      </c>
      <c r="J20" s="93">
        <v>-100</v>
      </c>
      <c r="K20" s="93">
        <v>-100</v>
      </c>
      <c r="L20" s="93">
        <v>251.77500000000001</v>
      </c>
      <c r="M20" s="93">
        <v>0</v>
      </c>
      <c r="N20" s="93"/>
      <c r="O20" s="93"/>
      <c r="P20" s="93">
        <v>0</v>
      </c>
      <c r="Q20" s="93"/>
      <c r="R20" s="93"/>
      <c r="S20" s="93"/>
      <c r="T20" s="93"/>
      <c r="U20" s="93"/>
      <c r="V20" s="92">
        <v>46125.517858796295</v>
      </c>
      <c r="W20" s="1" t="s">
        <v>258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285</v>
      </c>
      <c r="F21" s="1" t="s">
        <v>78</v>
      </c>
      <c r="G21" s="1" t="s">
        <v>59</v>
      </c>
      <c r="H21" s="93">
        <v>0</v>
      </c>
      <c r="I21" s="93">
        <v>-100</v>
      </c>
      <c r="J21" s="93">
        <v>-100</v>
      </c>
      <c r="K21" s="93">
        <v>-100</v>
      </c>
      <c r="L21" s="93">
        <v>372.35</v>
      </c>
      <c r="M21" s="93">
        <v>0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46125.517858796295</v>
      </c>
      <c r="W21" s="1" t="s">
        <v>258</v>
      </c>
    </row>
    <row r="22" spans="1:23" x14ac:dyDescent="0.4">
      <c r="A22" s="1" t="s">
        <v>147</v>
      </c>
      <c r="B22" s="1">
        <v>735014937</v>
      </c>
      <c r="C22" s="1" t="s">
        <v>58</v>
      </c>
      <c r="D22" s="1" t="s">
        <v>37</v>
      </c>
      <c r="E22" s="1" t="s">
        <v>286</v>
      </c>
      <c r="F22" s="1" t="s">
        <v>78</v>
      </c>
      <c r="G22" s="1" t="s">
        <v>59</v>
      </c>
      <c r="H22" s="93">
        <v>0</v>
      </c>
      <c r="I22" s="93">
        <v>-100</v>
      </c>
      <c r="J22" s="93">
        <v>-100</v>
      </c>
      <c r="K22" s="93">
        <v>-100</v>
      </c>
      <c r="L22" s="93">
        <v>90.724999999999994</v>
      </c>
      <c r="M22" s="93">
        <v>0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46125.517858796295</v>
      </c>
      <c r="W22" s="1" t="s">
        <v>258</v>
      </c>
    </row>
    <row r="23" spans="1:23" x14ac:dyDescent="0.4">
      <c r="A23" s="1" t="s">
        <v>254</v>
      </c>
      <c r="B23" s="1">
        <v>792232100</v>
      </c>
      <c r="C23" s="1" t="s">
        <v>58</v>
      </c>
      <c r="D23" s="1" t="s">
        <v>38</v>
      </c>
      <c r="E23" s="1" t="s">
        <v>266</v>
      </c>
      <c r="F23" s="1" t="s">
        <v>63</v>
      </c>
      <c r="G23" s="1" t="s">
        <v>59</v>
      </c>
      <c r="H23" s="93">
        <v>98.775000000000006</v>
      </c>
      <c r="I23" s="93">
        <v>98.775000000000006</v>
      </c>
      <c r="J23" s="93">
        <v>98.784999999999997</v>
      </c>
      <c r="K23" s="93">
        <v>98.78</v>
      </c>
      <c r="L23" s="93">
        <v>98.44</v>
      </c>
      <c r="M23" s="93">
        <v>98.92</v>
      </c>
      <c r="N23" s="93">
        <v>98.99</v>
      </c>
      <c r="O23" s="93">
        <v>98.694999999999993</v>
      </c>
      <c r="P23" s="93">
        <v>8175</v>
      </c>
      <c r="Q23" s="93"/>
      <c r="R23" s="93"/>
      <c r="S23" s="93"/>
      <c r="T23" s="93"/>
      <c r="U23" s="93"/>
      <c r="V23" s="92">
        <v>46125.517858796295</v>
      </c>
      <c r="W23" s="1" t="s">
        <v>258</v>
      </c>
    </row>
    <row r="24" spans="1:23" x14ac:dyDescent="0.4">
      <c r="A24" s="1" t="s">
        <v>267</v>
      </c>
      <c r="B24" s="1">
        <v>496647057</v>
      </c>
      <c r="C24" s="1" t="s">
        <v>58</v>
      </c>
      <c r="D24" s="1" t="s">
        <v>56</v>
      </c>
      <c r="E24" s="1" t="s">
        <v>267</v>
      </c>
      <c r="F24" s="1" t="s">
        <v>78</v>
      </c>
      <c r="G24" s="1" t="s">
        <v>59</v>
      </c>
      <c r="H24" s="93">
        <v>1.1718999999999999</v>
      </c>
      <c r="I24" s="93">
        <v>1.1718500000000001</v>
      </c>
      <c r="J24" s="93">
        <v>1.1718999999999999</v>
      </c>
      <c r="K24" s="93">
        <v>1.171875</v>
      </c>
      <c r="L24" s="93">
        <v>1.1766000000000001</v>
      </c>
      <c r="M24" s="93">
        <v>1.171</v>
      </c>
      <c r="N24" s="93">
        <v>1.1734</v>
      </c>
      <c r="O24" s="93">
        <v>1.1698500000000001</v>
      </c>
      <c r="P24" s="93">
        <v>48343</v>
      </c>
      <c r="Q24" s="93"/>
      <c r="R24" s="93"/>
      <c r="S24" s="93"/>
      <c r="T24" s="93"/>
      <c r="U24" s="93"/>
      <c r="V24" s="92">
        <v>46125.517858796295</v>
      </c>
      <c r="W24" s="1" t="s">
        <v>258</v>
      </c>
    </row>
    <row r="25" spans="1:23" x14ac:dyDescent="0.4">
      <c r="A25" s="1" t="s">
        <v>250</v>
      </c>
      <c r="B25" s="1">
        <v>496647091</v>
      </c>
      <c r="C25" s="1" t="s">
        <v>58</v>
      </c>
      <c r="D25" s="1" t="s">
        <v>73</v>
      </c>
      <c r="E25" s="1" t="s">
        <v>268</v>
      </c>
      <c r="F25" s="1" t="s">
        <v>78</v>
      </c>
      <c r="G25" s="1" t="s">
        <v>59</v>
      </c>
      <c r="H25" s="93">
        <v>1.3426</v>
      </c>
      <c r="I25" s="93">
        <v>1.3425</v>
      </c>
      <c r="J25" s="93">
        <v>1.3426</v>
      </c>
      <c r="K25" s="93">
        <v>1.3425500000000001</v>
      </c>
      <c r="L25" s="93">
        <v>1.3467</v>
      </c>
      <c r="M25" s="93">
        <v>1.34</v>
      </c>
      <c r="N25" s="93">
        <v>1.3432999999999999</v>
      </c>
      <c r="O25" s="93">
        <v>1.3378000000000001</v>
      </c>
      <c r="P25" s="93">
        <v>19349</v>
      </c>
      <c r="Q25" s="93"/>
      <c r="R25" s="93"/>
      <c r="S25" s="93"/>
      <c r="T25" s="93"/>
      <c r="U25" s="93"/>
      <c r="V25" s="92">
        <v>46125.517858796295</v>
      </c>
      <c r="W25" s="1" t="s">
        <v>258</v>
      </c>
    </row>
    <row r="26" spans="1:23" x14ac:dyDescent="0.4">
      <c r="A26" s="1" t="s">
        <v>251</v>
      </c>
      <c r="B26" s="1">
        <v>496647108</v>
      </c>
      <c r="C26" s="1" t="s">
        <v>58</v>
      </c>
      <c r="D26" s="1" t="s">
        <v>57</v>
      </c>
      <c r="E26" s="1" t="s">
        <v>269</v>
      </c>
      <c r="F26" s="1" t="s">
        <v>78</v>
      </c>
      <c r="G26" s="1" t="s">
        <v>59</v>
      </c>
      <c r="H26" s="93">
        <v>6.2940000000000001E-3</v>
      </c>
      <c r="I26" s="93">
        <v>6.2934999999999996E-3</v>
      </c>
      <c r="J26" s="93">
        <v>6.2940000000000001E-3</v>
      </c>
      <c r="K26" s="93">
        <v>6.2937499999999999E-3</v>
      </c>
      <c r="L26" s="93">
        <v>6.3119999999999999E-3</v>
      </c>
      <c r="M26" s="93">
        <v>6.2950000000000002E-3</v>
      </c>
      <c r="N26" s="93">
        <v>6.3004999999999997E-3</v>
      </c>
      <c r="O26" s="93">
        <v>6.2874999999999997E-3</v>
      </c>
      <c r="P26" s="93">
        <v>42395</v>
      </c>
      <c r="Q26" s="93"/>
      <c r="R26" s="93"/>
      <c r="S26" s="93"/>
      <c r="T26" s="93"/>
      <c r="U26" s="93"/>
      <c r="V26" s="92">
        <v>46125.517858796295</v>
      </c>
      <c r="W26" s="1" t="s">
        <v>258</v>
      </c>
    </row>
    <row r="27" spans="1:23" x14ac:dyDescent="0.4">
      <c r="A27" s="1" t="s">
        <v>252</v>
      </c>
      <c r="B27" s="1">
        <v>496879111</v>
      </c>
      <c r="C27" s="1" t="s">
        <v>58</v>
      </c>
      <c r="D27" s="1" t="s">
        <v>75</v>
      </c>
      <c r="E27" s="1" t="s">
        <v>270</v>
      </c>
      <c r="F27" s="1" t="s">
        <v>78</v>
      </c>
      <c r="G27" s="1" t="s">
        <v>59</v>
      </c>
      <c r="H27" s="93">
        <v>0.72430000000000005</v>
      </c>
      <c r="I27" s="93">
        <v>0.72424999999999995</v>
      </c>
      <c r="J27" s="93">
        <v>0.72435000000000005</v>
      </c>
      <c r="K27" s="93">
        <v>0.72429999999999994</v>
      </c>
      <c r="L27" s="93">
        <v>0.72519999999999996</v>
      </c>
      <c r="M27" s="93">
        <v>0.72350000000000003</v>
      </c>
      <c r="N27" s="93">
        <v>0.72455000000000003</v>
      </c>
      <c r="O27" s="93">
        <v>0.72255000000000003</v>
      </c>
      <c r="P27" s="93">
        <v>14040</v>
      </c>
      <c r="Q27" s="93"/>
      <c r="R27" s="93"/>
      <c r="S27" s="93"/>
      <c r="T27" s="93"/>
      <c r="U27" s="93"/>
      <c r="V27" s="92">
        <v>46125.517858796295</v>
      </c>
      <c r="W27" s="1" t="s">
        <v>258</v>
      </c>
    </row>
    <row r="28" spans="1:23" x14ac:dyDescent="0.4">
      <c r="A28" s="1" t="s">
        <v>253</v>
      </c>
      <c r="B28" s="1">
        <v>496647009</v>
      </c>
      <c r="C28" s="1" t="s">
        <v>58</v>
      </c>
      <c r="D28" s="1" t="s">
        <v>77</v>
      </c>
      <c r="E28" s="1" t="s">
        <v>271</v>
      </c>
      <c r="F28" s="1" t="s">
        <v>78</v>
      </c>
      <c r="G28" s="1" t="s">
        <v>59</v>
      </c>
      <c r="H28" s="93">
        <v>0.70409999999999995</v>
      </c>
      <c r="I28" s="93">
        <v>0.70394999999999996</v>
      </c>
      <c r="J28" s="93">
        <v>0.70399999999999996</v>
      </c>
      <c r="K28" s="93">
        <v>0.70397500000000002</v>
      </c>
      <c r="L28" s="93">
        <v>0.70725000000000005</v>
      </c>
      <c r="M28" s="93">
        <v>0.69899999999999995</v>
      </c>
      <c r="N28" s="93">
        <v>0.70515000000000005</v>
      </c>
      <c r="O28" s="93">
        <v>0.69869999999999999</v>
      </c>
      <c r="P28" s="93">
        <v>40029</v>
      </c>
      <c r="Q28" s="93"/>
      <c r="R28" s="93"/>
      <c r="S28" s="93"/>
      <c r="T28" s="93"/>
      <c r="U28" s="93"/>
      <c r="V28" s="92">
        <v>46125.517858796295</v>
      </c>
      <c r="W28" s="1" t="s">
        <v>258</v>
      </c>
    </row>
    <row r="29" spans="1:23" x14ac:dyDescent="0.4">
      <c r="A29" s="1" t="s">
        <v>255</v>
      </c>
      <c r="B29" s="1">
        <v>815824224</v>
      </c>
      <c r="C29" s="1" t="s">
        <v>58</v>
      </c>
      <c r="D29" s="1" t="s">
        <v>46</v>
      </c>
      <c r="E29" s="1" t="s">
        <v>272</v>
      </c>
      <c r="F29" s="1" t="s">
        <v>81</v>
      </c>
      <c r="G29" s="1" t="s">
        <v>59</v>
      </c>
      <c r="H29" s="93">
        <v>113.53125</v>
      </c>
      <c r="I29" s="93">
        <v>113.5</v>
      </c>
      <c r="J29" s="93">
        <v>113.53125</v>
      </c>
      <c r="K29" s="93">
        <v>113.515625</v>
      </c>
      <c r="L29" s="93">
        <v>113.78125</v>
      </c>
      <c r="M29" s="93">
        <v>113.3125</v>
      </c>
      <c r="N29" s="93">
        <v>113.65625</v>
      </c>
      <c r="O29" s="93">
        <v>113.09375</v>
      </c>
      <c r="P29" s="93">
        <v>53138</v>
      </c>
      <c r="Q29" s="93"/>
      <c r="R29" s="93"/>
      <c r="S29" s="93"/>
      <c r="T29" s="93"/>
      <c r="U29" s="93"/>
      <c r="V29" s="92">
        <v>46125.517858796295</v>
      </c>
      <c r="W29" s="1" t="s">
        <v>258</v>
      </c>
    </row>
    <row r="30" spans="1:23" x14ac:dyDescent="0.4">
      <c r="A30" s="1" t="s">
        <v>256</v>
      </c>
      <c r="B30" s="1">
        <v>815824229</v>
      </c>
      <c r="C30" s="1" t="s">
        <v>58</v>
      </c>
      <c r="D30" s="1" t="s">
        <v>66</v>
      </c>
      <c r="E30" s="1" t="s">
        <v>287</v>
      </c>
      <c r="F30" s="1" t="s">
        <v>81</v>
      </c>
      <c r="G30" s="1" t="s">
        <v>59</v>
      </c>
      <c r="H30" s="93">
        <v>110.9375</v>
      </c>
      <c r="I30" s="93">
        <v>110.9375</v>
      </c>
      <c r="J30" s="93">
        <v>110.953125</v>
      </c>
      <c r="K30" s="93">
        <v>110.9453125</v>
      </c>
      <c r="L30" s="93">
        <v>111.09375</v>
      </c>
      <c r="M30" s="93">
        <v>110.734375</v>
      </c>
      <c r="N30" s="93">
        <v>111</v>
      </c>
      <c r="O30" s="93">
        <v>110.703125</v>
      </c>
      <c r="P30" s="93">
        <v>287022</v>
      </c>
      <c r="Q30" s="93"/>
      <c r="R30" s="93"/>
      <c r="S30" s="93"/>
      <c r="T30" s="93"/>
      <c r="U30" s="93"/>
      <c r="V30" s="92">
        <v>46125.517858796295</v>
      </c>
      <c r="W30" s="1" t="s">
        <v>258</v>
      </c>
    </row>
    <row r="31" spans="1:23" x14ac:dyDescent="0.4">
      <c r="A31" s="1" t="s">
        <v>243</v>
      </c>
      <c r="B31" s="1">
        <v>813041669</v>
      </c>
      <c r="C31" s="1" t="s">
        <v>58</v>
      </c>
      <c r="D31" s="1" t="s">
        <v>68</v>
      </c>
      <c r="E31" s="1" t="s">
        <v>288</v>
      </c>
      <c r="F31" s="1" t="s">
        <v>79</v>
      </c>
      <c r="G31" s="1" t="s">
        <v>56</v>
      </c>
      <c r="H31" s="93">
        <v>124.91</v>
      </c>
      <c r="I31" s="93">
        <v>124.91</v>
      </c>
      <c r="J31" s="93">
        <v>124.92</v>
      </c>
      <c r="K31" s="93">
        <v>124.91499999999999</v>
      </c>
      <c r="L31" s="93">
        <v>125.2</v>
      </c>
      <c r="M31" s="93">
        <v>124.8</v>
      </c>
      <c r="N31" s="93">
        <v>125.13</v>
      </c>
      <c r="O31" s="93">
        <v>124.68</v>
      </c>
      <c r="P31" s="93">
        <v>294615</v>
      </c>
      <c r="Q31" s="93"/>
      <c r="R31" s="93"/>
      <c r="S31" s="93"/>
      <c r="T31" s="93"/>
      <c r="U31" s="93"/>
      <c r="V31" s="92">
        <v>46125.517858796295</v>
      </c>
      <c r="W31" s="1" t="s">
        <v>258</v>
      </c>
    </row>
    <row r="32" spans="1:23" x14ac:dyDescent="0.4">
      <c r="A32" s="1" t="s">
        <v>244</v>
      </c>
      <c r="B32" s="1">
        <v>813041681</v>
      </c>
      <c r="C32" s="1" t="s">
        <v>58</v>
      </c>
      <c r="D32" s="1" t="s">
        <v>70</v>
      </c>
      <c r="E32" s="1" t="s">
        <v>273</v>
      </c>
      <c r="F32" s="1" t="s">
        <v>79</v>
      </c>
      <c r="G32" s="1" t="s">
        <v>56</v>
      </c>
      <c r="H32" s="93">
        <v>107.56</v>
      </c>
      <c r="I32" s="93">
        <v>107.56</v>
      </c>
      <c r="J32" s="93">
        <v>107.58</v>
      </c>
      <c r="K32" s="93">
        <v>107.57</v>
      </c>
      <c r="L32" s="93">
        <v>108.06</v>
      </c>
      <c r="M32" s="93">
        <v>107.66</v>
      </c>
      <c r="N32" s="93">
        <v>108</v>
      </c>
      <c r="O32" s="93">
        <v>107.06</v>
      </c>
      <c r="P32" s="93">
        <v>41621</v>
      </c>
      <c r="Q32" s="93"/>
      <c r="R32" s="93"/>
      <c r="S32" s="93"/>
      <c r="T32" s="93"/>
      <c r="U32" s="93"/>
      <c r="V32" s="92">
        <v>46125.517858796295</v>
      </c>
      <c r="W32" s="1" t="s">
        <v>258</v>
      </c>
    </row>
    <row r="33" spans="1:23" x14ac:dyDescent="0.4">
      <c r="A33" s="1" t="s">
        <v>245</v>
      </c>
      <c r="B33" s="1">
        <v>813041663</v>
      </c>
      <c r="C33" s="1" t="s">
        <v>58</v>
      </c>
      <c r="D33" s="1" t="s">
        <v>47</v>
      </c>
      <c r="E33" s="1" t="s">
        <v>274</v>
      </c>
      <c r="F33" s="1" t="s">
        <v>79</v>
      </c>
      <c r="G33" s="1" t="s">
        <v>56</v>
      </c>
      <c r="H33" s="93">
        <v>116.81</v>
      </c>
      <c r="I33" s="93">
        <v>116.8</v>
      </c>
      <c r="J33" s="93">
        <v>116.81</v>
      </c>
      <c r="K33" s="93">
        <v>116.80500000000001</v>
      </c>
      <c r="L33" s="93">
        <v>117.29</v>
      </c>
      <c r="M33" s="93">
        <v>116.66</v>
      </c>
      <c r="N33" s="93">
        <v>117.15</v>
      </c>
      <c r="O33" s="93">
        <v>116.6</v>
      </c>
      <c r="P33" s="93">
        <v>96206</v>
      </c>
      <c r="Q33" s="93"/>
      <c r="R33" s="93"/>
      <c r="S33" s="93"/>
      <c r="T33" s="93"/>
      <c r="U33" s="93"/>
      <c r="V33" s="92">
        <v>46125.517858796295</v>
      </c>
      <c r="W33" s="1" t="s">
        <v>258</v>
      </c>
    </row>
    <row r="34" spans="1:23" x14ac:dyDescent="0.4">
      <c r="A34" s="1" t="s">
        <v>289</v>
      </c>
      <c r="B34" s="1">
        <v>479624278</v>
      </c>
      <c r="C34" s="1" t="s">
        <v>184</v>
      </c>
      <c r="D34" s="1" t="s">
        <v>44</v>
      </c>
      <c r="E34" s="1" t="s">
        <v>275</v>
      </c>
      <c r="F34" s="1" t="s">
        <v>188</v>
      </c>
      <c r="G34" s="1" t="s">
        <v>59</v>
      </c>
      <c r="H34" s="93">
        <v>70759</v>
      </c>
      <c r="I34" s="93">
        <v>70758.75</v>
      </c>
      <c r="J34" s="93">
        <v>70759</v>
      </c>
      <c r="K34" s="93">
        <v>70758.875</v>
      </c>
      <c r="L34" s="93">
        <v>71121.25</v>
      </c>
      <c r="M34" s="93"/>
      <c r="N34" s="93">
        <v>73600</v>
      </c>
      <c r="O34" s="93">
        <v>70523</v>
      </c>
      <c r="P34" s="93">
        <v>58.899580450000002</v>
      </c>
      <c r="Q34" s="93"/>
      <c r="R34" s="93"/>
      <c r="S34" s="93"/>
      <c r="T34" s="93"/>
      <c r="U34" s="93"/>
      <c r="V34" s="92">
        <v>46125.517858796295</v>
      </c>
      <c r="W34" s="1" t="s">
        <v>258</v>
      </c>
    </row>
    <row r="35" spans="1:23" x14ac:dyDescent="0.4">
      <c r="A35" s="1" t="s">
        <v>185</v>
      </c>
      <c r="B35" s="1">
        <v>495759171</v>
      </c>
      <c r="C35" s="1" t="s">
        <v>184</v>
      </c>
      <c r="D35" s="1" t="s">
        <v>45</v>
      </c>
      <c r="E35" s="1" t="s">
        <v>276</v>
      </c>
      <c r="F35" s="1" t="s">
        <v>188</v>
      </c>
      <c r="G35" s="1" t="s">
        <v>59</v>
      </c>
      <c r="H35" s="93">
        <v>2184.1</v>
      </c>
      <c r="I35" s="93">
        <v>2183.9</v>
      </c>
      <c r="J35" s="93">
        <v>2183.9499999999998</v>
      </c>
      <c r="K35" s="93">
        <v>2183.9250000000002</v>
      </c>
      <c r="L35" s="93">
        <v>2198.8000000000002</v>
      </c>
      <c r="M35" s="93"/>
      <c r="N35" s="93">
        <v>2316.9</v>
      </c>
      <c r="O35" s="93">
        <v>2178.1</v>
      </c>
      <c r="P35" s="93">
        <v>1255.0010072499999</v>
      </c>
      <c r="Q35" s="93"/>
      <c r="R35" s="93"/>
      <c r="S35" s="93"/>
      <c r="T35" s="93"/>
      <c r="U35" s="93"/>
      <c r="V35" s="92">
        <v>46125.517858796295</v>
      </c>
      <c r="W35" s="1" t="s">
        <v>258</v>
      </c>
    </row>
    <row r="36" spans="1:23" x14ac:dyDescent="0.4">
      <c r="A36" s="1" t="s">
        <v>304</v>
      </c>
      <c r="B36" s="1">
        <v>297507399</v>
      </c>
      <c r="C36" s="1" t="s">
        <v>303</v>
      </c>
      <c r="D36" s="1" t="s">
        <v>24</v>
      </c>
      <c r="E36" s="1" t="s">
        <v>304</v>
      </c>
      <c r="F36" s="1" t="s">
        <v>60</v>
      </c>
      <c r="G36" s="1" t="s">
        <v>59</v>
      </c>
      <c r="H36" s="93">
        <v>1.1000000000000001</v>
      </c>
      <c r="I36" s="93">
        <v>1.03</v>
      </c>
      <c r="J36" s="93">
        <v>1.0900000000000001</v>
      </c>
      <c r="K36" s="93">
        <v>1.06</v>
      </c>
      <c r="L36" s="93">
        <v>1.75</v>
      </c>
      <c r="M36" s="93"/>
      <c r="N36" s="93">
        <v>1.25</v>
      </c>
      <c r="O36" s="93">
        <v>1.1000000000000001</v>
      </c>
      <c r="P36" s="93">
        <v>77</v>
      </c>
      <c r="Q36" s="93">
        <v>0.73076881821871087</v>
      </c>
      <c r="R36" s="93">
        <v>-0.10167648458265198</v>
      </c>
      <c r="S36" s="93">
        <v>8.6463708577047532E-3</v>
      </c>
      <c r="T36" s="93">
        <v>5.377393454248991E-2</v>
      </c>
      <c r="U36" s="93">
        <v>-6.3108329741919711E-2</v>
      </c>
      <c r="V36" s="92">
        <v>46125.517858796295</v>
      </c>
      <c r="W36" s="1" t="s">
        <v>258</v>
      </c>
    </row>
    <row r="37" spans="1:23" x14ac:dyDescent="0.4">
      <c r="A37" s="1" t="s">
        <v>305</v>
      </c>
      <c r="B37" s="1">
        <v>297509218</v>
      </c>
      <c r="C37" s="1" t="s">
        <v>303</v>
      </c>
      <c r="D37" s="1" t="s">
        <v>24</v>
      </c>
      <c r="E37" s="1" t="s">
        <v>305</v>
      </c>
      <c r="F37" s="1" t="s">
        <v>60</v>
      </c>
      <c r="G37" s="1" t="s">
        <v>59</v>
      </c>
      <c r="H37" s="93">
        <v>0.12</v>
      </c>
      <c r="I37" s="93">
        <v>0.13</v>
      </c>
      <c r="J37" s="93">
        <v>0.15</v>
      </c>
      <c r="K37" s="93">
        <v>0.14000000000000001</v>
      </c>
      <c r="L37" s="93">
        <v>0.16</v>
      </c>
      <c r="M37" s="93"/>
      <c r="N37" s="93">
        <v>0.12</v>
      </c>
      <c r="O37" s="93">
        <v>0.12</v>
      </c>
      <c r="P37" s="93">
        <v>27</v>
      </c>
      <c r="Q37" s="93">
        <v>0.92975294633345229</v>
      </c>
      <c r="R37" s="93">
        <v>-1.4027513907694963E-2</v>
      </c>
      <c r="S37" s="93">
        <v>1.3650567684415512E-3</v>
      </c>
      <c r="T37" s="93">
        <v>9.1233589298894413E-3</v>
      </c>
      <c r="U37" s="93">
        <v>-1.3632410348751373E-2</v>
      </c>
      <c r="V37" s="92">
        <v>46125.517858796295</v>
      </c>
      <c r="W37" s="1" t="s">
        <v>258</v>
      </c>
    </row>
    <row r="38" spans="1:23" x14ac:dyDescent="0.4">
      <c r="A38" s="1" t="s">
        <v>333</v>
      </c>
      <c r="B38" s="1">
        <v>766128347</v>
      </c>
      <c r="C38" s="1" t="s">
        <v>303</v>
      </c>
      <c r="D38" s="1" t="s">
        <v>26</v>
      </c>
      <c r="E38" s="1" t="s">
        <v>333</v>
      </c>
      <c r="F38" s="1" t="s">
        <v>80</v>
      </c>
      <c r="G38" s="1" t="s">
        <v>59</v>
      </c>
      <c r="H38" s="93">
        <v>15.8</v>
      </c>
      <c r="I38" s="93">
        <v>13.5</v>
      </c>
      <c r="J38" s="93">
        <v>15.6</v>
      </c>
      <c r="K38" s="93">
        <v>14.55</v>
      </c>
      <c r="L38" s="93">
        <v>17.600000000000001</v>
      </c>
      <c r="M38" s="93"/>
      <c r="N38" s="93">
        <v>15.8</v>
      </c>
      <c r="O38" s="93">
        <v>15</v>
      </c>
      <c r="P38" s="93">
        <v>75</v>
      </c>
      <c r="Q38" s="93">
        <v>0.29196264827533414</v>
      </c>
      <c r="R38" s="93">
        <v>7.3778320324366764E-2</v>
      </c>
      <c r="S38" s="93">
        <v>2.936363472983426E-4</v>
      </c>
      <c r="T38" s="93">
        <v>2.2579281448725865</v>
      </c>
      <c r="U38" s="93">
        <v>-0.76419064617829946</v>
      </c>
      <c r="V38" s="92">
        <v>46125.517858796295</v>
      </c>
      <c r="W38" s="1" t="s">
        <v>258</v>
      </c>
    </row>
    <row r="39" spans="1:23" x14ac:dyDescent="0.4">
      <c r="A39" s="1" t="s">
        <v>334</v>
      </c>
      <c r="B39" s="1">
        <v>842622669</v>
      </c>
      <c r="C39" s="1" t="s">
        <v>303</v>
      </c>
      <c r="D39" s="1" t="s">
        <v>26</v>
      </c>
      <c r="E39" s="1" t="s">
        <v>334</v>
      </c>
      <c r="F39" s="1" t="s">
        <v>80</v>
      </c>
      <c r="G39" s="1" t="s">
        <v>59</v>
      </c>
      <c r="H39" s="93">
        <v>-1</v>
      </c>
      <c r="I39" s="93">
        <v>92.8</v>
      </c>
      <c r="J39" s="93">
        <v>96.1</v>
      </c>
      <c r="K39" s="93">
        <v>94.449999999999989</v>
      </c>
      <c r="L39" s="93">
        <v>112.4</v>
      </c>
      <c r="M39" s="93"/>
      <c r="N39" s="93"/>
      <c r="O39" s="93"/>
      <c r="P39" s="93">
        <v>0</v>
      </c>
      <c r="Q39" s="93">
        <v>0.26140955767601448</v>
      </c>
      <c r="R39" s="93">
        <v>0.33984830920074593</v>
      </c>
      <c r="S39" s="93">
        <v>8.6106229737902224E-4</v>
      </c>
      <c r="T39" s="93">
        <v>5.8391669572779961</v>
      </c>
      <c r="U39" s="93">
        <v>-1.7637636608625371</v>
      </c>
      <c r="V39" s="92">
        <v>46125.517858796295</v>
      </c>
      <c r="W39" s="1" t="s">
        <v>258</v>
      </c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59"/>
  <sheetViews>
    <sheetView showGridLines="0" topLeftCell="A17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217</v>
      </c>
      <c r="B1" s="86" t="s">
        <v>234</v>
      </c>
      <c r="C1" s="86" t="s">
        <v>233</v>
      </c>
    </row>
    <row r="2" spans="1:3" x14ac:dyDescent="0.4">
      <c r="A2" s="87">
        <v>46111.432708333334</v>
      </c>
      <c r="B2" s="84" t="s">
        <v>321</v>
      </c>
      <c r="C2" s="84" t="s">
        <v>322</v>
      </c>
    </row>
    <row r="3" spans="1:3" x14ac:dyDescent="0.4">
      <c r="A3" s="87">
        <v>46111.432708333334</v>
      </c>
      <c r="B3" s="84" t="s">
        <v>321</v>
      </c>
      <c r="C3" s="84" t="s">
        <v>323</v>
      </c>
    </row>
    <row r="4" spans="1:3" x14ac:dyDescent="0.4">
      <c r="A4" s="87">
        <v>46111.432708333334</v>
      </c>
      <c r="B4" s="84" t="s">
        <v>321</v>
      </c>
      <c r="C4" s="84" t="s">
        <v>324</v>
      </c>
    </row>
    <row r="5" spans="1:3" x14ac:dyDescent="0.4">
      <c r="A5" s="85">
        <v>46112.439131944448</v>
      </c>
      <c r="B5" s="1" t="s">
        <v>321</v>
      </c>
      <c r="C5" s="1" t="s">
        <v>322</v>
      </c>
    </row>
    <row r="6" spans="1:3" x14ac:dyDescent="0.4">
      <c r="A6" s="85">
        <v>46112.439143518517</v>
      </c>
      <c r="B6" s="1" t="s">
        <v>321</v>
      </c>
      <c r="C6" s="1" t="s">
        <v>323</v>
      </c>
    </row>
    <row r="7" spans="1:3" x14ac:dyDescent="0.4">
      <c r="A7" s="85">
        <v>46112.439143518517</v>
      </c>
      <c r="B7" s="81" t="s">
        <v>321</v>
      </c>
      <c r="C7" s="81" t="s">
        <v>324</v>
      </c>
    </row>
    <row r="8" spans="1:3" x14ac:dyDescent="0.4">
      <c r="A8" s="85">
        <v>46112.441157407404</v>
      </c>
      <c r="B8" s="81" t="s">
        <v>328</v>
      </c>
      <c r="C8" s="81" t="s">
        <v>329</v>
      </c>
    </row>
    <row r="9" spans="1:3" x14ac:dyDescent="0.4">
      <c r="A9" s="85">
        <v>46112.441192129627</v>
      </c>
      <c r="B9" s="81" t="s">
        <v>321</v>
      </c>
      <c r="C9" s="81" t="s">
        <v>330</v>
      </c>
    </row>
    <row r="10" spans="1:3" x14ac:dyDescent="0.4">
      <c r="A10" s="85">
        <v>46112.441736111112</v>
      </c>
      <c r="B10" s="1" t="s">
        <v>321</v>
      </c>
      <c r="C10" s="1" t="s">
        <v>322</v>
      </c>
    </row>
    <row r="11" spans="1:3" x14ac:dyDescent="0.4">
      <c r="A11" s="85">
        <v>46112.441736111112</v>
      </c>
      <c r="B11" s="1" t="s">
        <v>321</v>
      </c>
      <c r="C11" s="1" t="s">
        <v>323</v>
      </c>
    </row>
    <row r="12" spans="1:3" x14ac:dyDescent="0.4">
      <c r="A12" s="85">
        <v>46112.441736111112</v>
      </c>
      <c r="B12" s="1" t="s">
        <v>321</v>
      </c>
      <c r="C12" s="1" t="s">
        <v>324</v>
      </c>
    </row>
    <row r="13" spans="1:3" x14ac:dyDescent="0.4">
      <c r="A13" s="85">
        <v>46112.442106481481</v>
      </c>
      <c r="B13" s="1" t="s">
        <v>321</v>
      </c>
      <c r="C13" s="1" t="s">
        <v>322</v>
      </c>
    </row>
    <row r="14" spans="1:3" x14ac:dyDescent="0.4">
      <c r="A14" s="85">
        <v>46112.442106481481</v>
      </c>
      <c r="B14" s="1" t="s">
        <v>321</v>
      </c>
      <c r="C14" s="1" t="s">
        <v>323</v>
      </c>
    </row>
    <row r="15" spans="1:3" x14ac:dyDescent="0.4">
      <c r="A15" s="85">
        <v>46112.442106481481</v>
      </c>
      <c r="B15" s="1" t="s">
        <v>321</v>
      </c>
      <c r="C15" s="1" t="s">
        <v>324</v>
      </c>
    </row>
    <row r="16" spans="1:3" x14ac:dyDescent="0.4">
      <c r="A16" s="85">
        <v>46112.442442129628</v>
      </c>
      <c r="B16" s="1" t="s">
        <v>328</v>
      </c>
      <c r="C16" s="1" t="s">
        <v>329</v>
      </c>
    </row>
    <row r="17" spans="1:3" x14ac:dyDescent="0.4">
      <c r="A17" s="85">
        <v>46112.442476851851</v>
      </c>
      <c r="B17" s="1" t="s">
        <v>321</v>
      </c>
      <c r="C17" s="1" t="s">
        <v>330</v>
      </c>
    </row>
    <row r="18" spans="1:3" x14ac:dyDescent="0.4">
      <c r="A18" s="85">
        <v>46112.443182870367</v>
      </c>
      <c r="B18" s="1" t="s">
        <v>328</v>
      </c>
      <c r="C18" s="1" t="s">
        <v>329</v>
      </c>
    </row>
    <row r="19" spans="1:3" x14ac:dyDescent="0.4">
      <c r="A19" s="85">
        <v>46112.443206018521</v>
      </c>
      <c r="B19" s="1" t="s">
        <v>321</v>
      </c>
      <c r="C19" s="1" t="s">
        <v>330</v>
      </c>
    </row>
    <row r="20" spans="1:3" x14ac:dyDescent="0.4">
      <c r="A20" s="85">
        <v>46112.784872685188</v>
      </c>
      <c r="B20" s="1" t="s">
        <v>321</v>
      </c>
      <c r="C20" s="1" t="s">
        <v>322</v>
      </c>
    </row>
    <row r="21" spans="1:3" x14ac:dyDescent="0.4">
      <c r="A21" s="85">
        <v>46112.784872685188</v>
      </c>
      <c r="B21" s="1" t="s">
        <v>321</v>
      </c>
      <c r="C21" s="1" t="s">
        <v>323</v>
      </c>
    </row>
    <row r="22" spans="1:3" x14ac:dyDescent="0.4">
      <c r="A22" s="85">
        <v>46112.784872685188</v>
      </c>
      <c r="B22" s="1" t="s">
        <v>321</v>
      </c>
      <c r="C22" s="1" t="s">
        <v>324</v>
      </c>
    </row>
    <row r="23" spans="1:3" x14ac:dyDescent="0.4">
      <c r="A23" s="85">
        <v>46113.463761574072</v>
      </c>
      <c r="B23" s="1" t="s">
        <v>321</v>
      </c>
      <c r="C23" s="1" t="s">
        <v>322</v>
      </c>
    </row>
    <row r="24" spans="1:3" x14ac:dyDescent="0.4">
      <c r="A24" s="85">
        <v>46113.463773148149</v>
      </c>
      <c r="B24" s="1" t="s">
        <v>321</v>
      </c>
      <c r="C24" s="1" t="s">
        <v>323</v>
      </c>
    </row>
    <row r="25" spans="1:3" x14ac:dyDescent="0.4">
      <c r="A25" s="85">
        <v>46113.463784722226</v>
      </c>
      <c r="B25" s="1" t="s">
        <v>321</v>
      </c>
      <c r="C25" s="1" t="s">
        <v>324</v>
      </c>
    </row>
    <row r="26" spans="1:3" x14ac:dyDescent="0.4">
      <c r="A26" s="85">
        <v>46113.464155092595</v>
      </c>
      <c r="B26" s="1" t="s">
        <v>328</v>
      </c>
      <c r="C26" s="1" t="s">
        <v>329</v>
      </c>
    </row>
    <row r="27" spans="1:3" x14ac:dyDescent="0.4">
      <c r="A27" s="85">
        <v>46113.464178240742</v>
      </c>
      <c r="B27" s="1" t="s">
        <v>321</v>
      </c>
      <c r="C27" s="1" t="s">
        <v>330</v>
      </c>
    </row>
    <row r="28" spans="1:3" x14ac:dyDescent="0.4">
      <c r="A28" s="85">
        <v>46114.494803240741</v>
      </c>
      <c r="B28" s="1" t="s">
        <v>321</v>
      </c>
      <c r="C28" s="1" t="s">
        <v>322</v>
      </c>
    </row>
    <row r="29" spans="1:3" x14ac:dyDescent="0.4">
      <c r="A29" s="85">
        <v>46114.494814814818</v>
      </c>
      <c r="B29" s="1" t="s">
        <v>321</v>
      </c>
      <c r="C29" s="1" t="s">
        <v>323</v>
      </c>
    </row>
    <row r="30" spans="1:3" x14ac:dyDescent="0.4">
      <c r="A30" s="85">
        <v>46114.494814814818</v>
      </c>
      <c r="B30" s="1" t="s">
        <v>321</v>
      </c>
      <c r="C30" s="1" t="s">
        <v>324</v>
      </c>
    </row>
    <row r="31" spans="1:3" x14ac:dyDescent="0.4">
      <c r="A31" s="85">
        <v>46115.523900462962</v>
      </c>
      <c r="B31" s="1" t="s">
        <v>321</v>
      </c>
      <c r="C31" s="1" t="s">
        <v>322</v>
      </c>
    </row>
    <row r="32" spans="1:3" x14ac:dyDescent="0.4">
      <c r="A32" s="85">
        <v>46115.523900462962</v>
      </c>
      <c r="B32" s="1" t="s">
        <v>321</v>
      </c>
      <c r="C32" s="1" t="s">
        <v>323</v>
      </c>
    </row>
    <row r="33" spans="1:3" x14ac:dyDescent="0.4">
      <c r="A33" s="85">
        <v>46115.523912037039</v>
      </c>
      <c r="B33" s="1" t="s">
        <v>321</v>
      </c>
      <c r="C33" s="1" t="s">
        <v>324</v>
      </c>
    </row>
    <row r="34" spans="1:3" x14ac:dyDescent="0.4">
      <c r="A34" s="85">
        <v>46115.524907407409</v>
      </c>
      <c r="B34" s="1" t="s">
        <v>328</v>
      </c>
      <c r="C34" s="1" t="s">
        <v>332</v>
      </c>
    </row>
    <row r="35" spans="1:3" x14ac:dyDescent="0.4">
      <c r="A35" s="85">
        <v>46115.524930555555</v>
      </c>
      <c r="B35" s="1" t="s">
        <v>321</v>
      </c>
      <c r="C35" s="1" t="s">
        <v>330</v>
      </c>
    </row>
    <row r="36" spans="1:3" x14ac:dyDescent="0.4">
      <c r="A36" s="85">
        <v>46118.597337962965</v>
      </c>
      <c r="B36" s="1" t="s">
        <v>321</v>
      </c>
      <c r="C36" s="1" t="s">
        <v>322</v>
      </c>
    </row>
    <row r="37" spans="1:3" x14ac:dyDescent="0.4">
      <c r="A37" s="85">
        <v>46118.597349537034</v>
      </c>
      <c r="B37" s="1" t="s">
        <v>321</v>
      </c>
      <c r="C37" s="1" t="s">
        <v>323</v>
      </c>
    </row>
    <row r="38" spans="1:3" x14ac:dyDescent="0.4">
      <c r="A38" s="85">
        <v>46118.597349537034</v>
      </c>
      <c r="B38" s="1" t="s">
        <v>321</v>
      </c>
      <c r="C38" s="1" t="s">
        <v>324</v>
      </c>
    </row>
    <row r="39" spans="1:3" x14ac:dyDescent="0.4">
      <c r="A39" s="85">
        <v>46119.429062499999</v>
      </c>
      <c r="B39" s="1" t="s">
        <v>321</v>
      </c>
      <c r="C39" s="1" t="s">
        <v>322</v>
      </c>
    </row>
    <row r="40" spans="1:3" x14ac:dyDescent="0.4">
      <c r="A40" s="85">
        <v>46119.429062499999</v>
      </c>
      <c r="B40" s="1" t="s">
        <v>321</v>
      </c>
      <c r="C40" s="1" t="s">
        <v>323</v>
      </c>
    </row>
    <row r="41" spans="1:3" x14ac:dyDescent="0.4">
      <c r="A41" s="85">
        <v>46119.429074074076</v>
      </c>
      <c r="B41" s="1" t="s">
        <v>321</v>
      </c>
      <c r="C41" s="1" t="s">
        <v>324</v>
      </c>
    </row>
    <row r="42" spans="1:3" x14ac:dyDescent="0.4">
      <c r="A42" s="85">
        <v>46119.557905092595</v>
      </c>
      <c r="B42" s="1" t="s">
        <v>321</v>
      </c>
      <c r="C42" s="1" t="s">
        <v>322</v>
      </c>
    </row>
    <row r="43" spans="1:3" x14ac:dyDescent="0.4">
      <c r="A43" s="85">
        <v>46119.557962962965</v>
      </c>
      <c r="B43" s="1" t="s">
        <v>321</v>
      </c>
      <c r="C43" s="1" t="s">
        <v>323</v>
      </c>
    </row>
    <row r="44" spans="1:3" x14ac:dyDescent="0.4">
      <c r="A44" s="85">
        <v>46119.557962962965</v>
      </c>
      <c r="B44" s="1" t="s">
        <v>321</v>
      </c>
      <c r="C44" s="1" t="s">
        <v>338</v>
      </c>
    </row>
    <row r="45" spans="1:3" x14ac:dyDescent="0.4">
      <c r="A45" s="85">
        <v>46119.558692129627</v>
      </c>
      <c r="B45" s="1" t="s">
        <v>321</v>
      </c>
      <c r="C45" s="1" t="s">
        <v>322</v>
      </c>
    </row>
    <row r="46" spans="1:3" x14ac:dyDescent="0.4">
      <c r="A46" s="85">
        <v>46119.558703703704</v>
      </c>
      <c r="B46" s="1" t="s">
        <v>321</v>
      </c>
      <c r="C46" s="1" t="s">
        <v>323</v>
      </c>
    </row>
    <row r="47" spans="1:3" x14ac:dyDescent="0.4">
      <c r="A47" s="85">
        <v>46119.558703703704</v>
      </c>
      <c r="B47" s="1" t="s">
        <v>321</v>
      </c>
      <c r="C47" s="1" t="s">
        <v>338</v>
      </c>
    </row>
    <row r="48" spans="1:3" x14ac:dyDescent="0.4">
      <c r="A48" s="85">
        <v>46120.50880787037</v>
      </c>
      <c r="B48" s="1" t="s">
        <v>321</v>
      </c>
      <c r="C48" s="1" t="s">
        <v>322</v>
      </c>
    </row>
    <row r="49" spans="1:3" x14ac:dyDescent="0.4">
      <c r="A49" s="85">
        <v>46120.50880787037</v>
      </c>
      <c r="B49" s="1" t="s">
        <v>321</v>
      </c>
      <c r="C49" s="1" t="s">
        <v>323</v>
      </c>
    </row>
    <row r="50" spans="1:3" x14ac:dyDescent="0.4">
      <c r="A50" s="85">
        <v>46120.508819444447</v>
      </c>
      <c r="B50" s="1" t="s">
        <v>321</v>
      </c>
      <c r="C50" s="1" t="s">
        <v>338</v>
      </c>
    </row>
    <row r="51" spans="1:3" x14ac:dyDescent="0.4">
      <c r="A51" s="85">
        <v>46122.466909722221</v>
      </c>
      <c r="B51" s="1" t="s">
        <v>321</v>
      </c>
      <c r="C51" s="1" t="s">
        <v>322</v>
      </c>
    </row>
    <row r="52" spans="1:3" x14ac:dyDescent="0.4">
      <c r="A52" s="85">
        <v>46122.466909722221</v>
      </c>
      <c r="B52" s="1" t="s">
        <v>321</v>
      </c>
      <c r="C52" s="1" t="s">
        <v>323</v>
      </c>
    </row>
    <row r="53" spans="1:3" x14ac:dyDescent="0.4">
      <c r="A53" s="85">
        <v>46122.466921296298</v>
      </c>
      <c r="B53" s="1" t="s">
        <v>321</v>
      </c>
      <c r="C53" s="1" t="s">
        <v>338</v>
      </c>
    </row>
    <row r="54" spans="1:3" x14ac:dyDescent="0.4">
      <c r="A54" s="85">
        <v>46123.422256944446</v>
      </c>
      <c r="B54" s="1" t="s">
        <v>321</v>
      </c>
      <c r="C54" s="1" t="s">
        <v>322</v>
      </c>
    </row>
    <row r="55" spans="1:3" x14ac:dyDescent="0.4">
      <c r="A55" s="85">
        <v>46123.422268518516</v>
      </c>
      <c r="B55" s="1" t="s">
        <v>321</v>
      </c>
      <c r="C55" s="1" t="s">
        <v>323</v>
      </c>
    </row>
    <row r="56" spans="1:3" x14ac:dyDescent="0.4">
      <c r="A56" s="85">
        <v>46123.422268518516</v>
      </c>
      <c r="B56" s="1" t="s">
        <v>321</v>
      </c>
      <c r="C56" s="1" t="s">
        <v>338</v>
      </c>
    </row>
    <row r="57" spans="1:3" x14ac:dyDescent="0.4">
      <c r="A57" s="85">
        <v>46125.516909722224</v>
      </c>
      <c r="B57" s="1" t="s">
        <v>321</v>
      </c>
      <c r="C57" s="1" t="s">
        <v>322</v>
      </c>
    </row>
    <row r="58" spans="1:3" x14ac:dyDescent="0.4">
      <c r="A58" s="85">
        <v>46125.516921296294</v>
      </c>
      <c r="B58" s="1" t="s">
        <v>321</v>
      </c>
      <c r="C58" s="1" t="s">
        <v>323</v>
      </c>
    </row>
    <row r="59" spans="1:3" x14ac:dyDescent="0.4">
      <c r="A59" s="85">
        <v>46125.516921296294</v>
      </c>
      <c r="B59" s="1" t="s">
        <v>321</v>
      </c>
      <c r="C59" s="1" t="s">
        <v>338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2026-04-13T11:51:21Z</dcterms:modified>
</cp:coreProperties>
</file>