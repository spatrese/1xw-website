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613" documentId="13_ncr:1_{6F5069F1-F0E7-4440-AA6D-4AFA11BBED1B}" xr6:coauthVersionLast="47" xr6:coauthVersionMax="47" xr10:uidLastSave="{0B9541B9-49A1-4F6C-8A68-EAD9F8DC06E7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72" i="6" l="1"/>
  <c r="X71" i="6"/>
  <c r="X70" i="6"/>
  <c r="X69" i="6"/>
  <c r="W72" i="6"/>
  <c r="V72" i="6"/>
  <c r="U72" i="6"/>
  <c r="T72" i="6"/>
  <c r="W71" i="6"/>
  <c r="V71" i="6"/>
  <c r="U71" i="6"/>
  <c r="T71" i="6" s="1"/>
  <c r="W70" i="6"/>
  <c r="V70" i="6"/>
  <c r="U70" i="6"/>
  <c r="T70" i="6" s="1"/>
  <c r="R10" i="2"/>
  <c r="N10" i="2"/>
  <c r="E10" i="2" a="1"/>
  <c r="C10" i="2"/>
  <c r="U10" i="2" s="1"/>
  <c r="B10" i="2"/>
  <c r="T10" i="2" s="1"/>
  <c r="T69" i="6"/>
  <c r="P27" i="3"/>
  <c r="Z27" i="3"/>
  <c r="O27" i="3"/>
  <c r="J27" i="3"/>
  <c r="R27" i="3" s="1"/>
  <c r="G27" i="3"/>
  <c r="W69" i="6"/>
  <c r="U69" i="6"/>
  <c r="V69" i="6"/>
  <c r="Z26" i="3"/>
  <c r="U26" i="3"/>
  <c r="V26" i="3" s="1"/>
  <c r="S26" i="3"/>
  <c r="T26" i="3" s="1"/>
  <c r="O26" i="3"/>
  <c r="J26" i="3"/>
  <c r="R26" i="3" s="1"/>
  <c r="Z25" i="3"/>
  <c r="U25" i="3"/>
  <c r="V25" i="3" s="1"/>
  <c r="S25" i="3"/>
  <c r="T25" i="3" s="1"/>
  <c r="O25" i="3"/>
  <c r="J25" i="3"/>
  <c r="R25" i="3" s="1"/>
  <c r="X68" i="6"/>
  <c r="W68" i="6"/>
  <c r="V68" i="6"/>
  <c r="U68" i="6"/>
  <c r="T68" i="6"/>
  <c r="X67" i="6"/>
  <c r="W67" i="6"/>
  <c r="V67" i="6"/>
  <c r="U67" i="6"/>
  <c r="T67" i="6" s="1"/>
  <c r="R9" i="2"/>
  <c r="N9" i="2"/>
  <c r="E9" i="2" a="1"/>
  <c r="C9" i="2"/>
  <c r="U9" i="2" s="1"/>
  <c r="B9" i="2"/>
  <c r="T9" i="2" s="1"/>
  <c r="C1" i="3"/>
  <c r="K6" i="9"/>
  <c r="X66" i="6"/>
  <c r="W66" i="6"/>
  <c r="V66" i="6"/>
  <c r="U66" i="6"/>
  <c r="T66" i="6"/>
  <c r="R8" i="2"/>
  <c r="N8" i="2"/>
  <c r="E8" i="2" a="1"/>
  <c r="C8" i="2"/>
  <c r="U8" i="2" s="1"/>
  <c r="B8" i="2"/>
  <c r="T8" i="2" s="1"/>
  <c r="X65" i="6"/>
  <c r="W65" i="6"/>
  <c r="V65" i="6"/>
  <c r="U65" i="6"/>
  <c r="T65" i="6" s="1"/>
  <c r="X64" i="6"/>
  <c r="W64" i="6"/>
  <c r="V64" i="6"/>
  <c r="U64" i="6"/>
  <c r="T64" i="6" s="1"/>
  <c r="Z24" i="3"/>
  <c r="O24" i="3"/>
  <c r="J24" i="3"/>
  <c r="G24" i="3"/>
  <c r="X63" i="6"/>
  <c r="W63" i="6"/>
  <c r="V63" i="6"/>
  <c r="U63" i="6"/>
  <c r="T63" i="6" s="1"/>
  <c r="X62" i="6"/>
  <c r="W62" i="6"/>
  <c r="V62" i="6"/>
  <c r="U62" i="6"/>
  <c r="T62" i="6" s="1"/>
  <c r="X61" i="6"/>
  <c r="W61" i="6"/>
  <c r="V61" i="6"/>
  <c r="U61" i="6"/>
  <c r="T61" i="6" s="1"/>
  <c r="X60" i="6"/>
  <c r="W60" i="6"/>
  <c r="V60" i="6"/>
  <c r="U60" i="6"/>
  <c r="T60" i="6"/>
  <c r="F8" i="4"/>
  <c r="H8" i="4" s="1"/>
  <c r="G8" i="4"/>
  <c r="E8" i="4"/>
  <c r="X59" i="6"/>
  <c r="W59" i="6"/>
  <c r="V59" i="6"/>
  <c r="U59" i="6"/>
  <c r="T59" i="6"/>
  <c r="X58" i="6"/>
  <c r="W58" i="6"/>
  <c r="V58" i="6"/>
  <c r="U58" i="6"/>
  <c r="T58" i="6" s="1"/>
  <c r="X57" i="6"/>
  <c r="W57" i="6"/>
  <c r="V57" i="6"/>
  <c r="U57" i="6"/>
  <c r="T57" i="6"/>
  <c r="X56" i="6"/>
  <c r="W56" i="6"/>
  <c r="V56" i="6"/>
  <c r="U56" i="6"/>
  <c r="T56" i="6" s="1"/>
  <c r="X55" i="6"/>
  <c r="W55" i="6"/>
  <c r="V55" i="6"/>
  <c r="U55" i="6"/>
  <c r="T55" i="6" s="1"/>
  <c r="X54" i="6"/>
  <c r="W54" i="6"/>
  <c r="V54" i="6"/>
  <c r="U54" i="6"/>
  <c r="T54" i="6"/>
  <c r="X53" i="6"/>
  <c r="W53" i="6"/>
  <c r="V53" i="6"/>
  <c r="U53" i="6"/>
  <c r="T53" i="6"/>
  <c r="X52" i="6"/>
  <c r="W52" i="6"/>
  <c r="V52" i="6"/>
  <c r="U52" i="6"/>
  <c r="T52" i="6"/>
  <c r="X51" i="6"/>
  <c r="W51" i="6"/>
  <c r="V51" i="6"/>
  <c r="U51" i="6"/>
  <c r="T51" i="6"/>
  <c r="X50" i="6"/>
  <c r="W50" i="6"/>
  <c r="V50" i="6"/>
  <c r="U50" i="6"/>
  <c r="T50" i="6" s="1"/>
  <c r="X49" i="6"/>
  <c r="W49" i="6"/>
  <c r="V49" i="6"/>
  <c r="U49" i="6"/>
  <c r="T49" i="6"/>
  <c r="X48" i="6"/>
  <c r="W48" i="6"/>
  <c r="V48" i="6"/>
  <c r="U48" i="6"/>
  <c r="T48" i="6" s="1"/>
  <c r="X47" i="6"/>
  <c r="W47" i="6"/>
  <c r="V47" i="6"/>
  <c r="U47" i="6"/>
  <c r="T47" i="6" s="1"/>
  <c r="X46" i="6"/>
  <c r="W46" i="6"/>
  <c r="V46" i="6"/>
  <c r="U46" i="6"/>
  <c r="T46" i="6"/>
  <c r="X45" i="6"/>
  <c r="W45" i="6"/>
  <c r="V45" i="6"/>
  <c r="U45" i="6"/>
  <c r="T45" i="6"/>
  <c r="X44" i="6"/>
  <c r="W44" i="6"/>
  <c r="V44" i="6"/>
  <c r="U44" i="6"/>
  <c r="T44" i="6"/>
  <c r="X43" i="6"/>
  <c r="W43" i="6"/>
  <c r="V43" i="6"/>
  <c r="U43" i="6"/>
  <c r="T43" i="6"/>
  <c r="X42" i="6"/>
  <c r="W42" i="6"/>
  <c r="V42" i="6"/>
  <c r="U42" i="6"/>
  <c r="T42" i="6" s="1"/>
  <c r="Z23" i="3"/>
  <c r="O23" i="3"/>
  <c r="J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 s="1"/>
  <c r="X37" i="6"/>
  <c r="W37" i="6"/>
  <c r="V37" i="6"/>
  <c r="U37" i="6"/>
  <c r="T37" i="6" s="1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 s="1"/>
  <c r="X33" i="6"/>
  <c r="W33" i="6"/>
  <c r="U33" i="6"/>
  <c r="T33" i="6" s="1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 s="1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5" i="4"/>
  <c r="E35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R24" i="3" l="1"/>
  <c r="K8" i="4"/>
  <c r="I8" i="4"/>
  <c r="L8" i="4" s="1"/>
  <c r="R23" i="3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1" i="4"/>
  <c r="E21" i="4"/>
  <c r="U2" i="6" l="1"/>
  <c r="T2" i="6" s="1"/>
  <c r="Y27" i="3" l="1" a="1"/>
  <c r="Y27" i="3" s="1"/>
  <c r="I27" i="3" a="1"/>
  <c r="I27" i="3" s="1"/>
  <c r="X27" i="3" a="1"/>
  <c r="X27" i="3" s="1"/>
  <c r="X25" i="3" a="1"/>
  <c r="X25" i="3" s="1"/>
  <c r="I26" i="3" a="1"/>
  <c r="I26" i="3" s="1"/>
  <c r="I25" i="3" a="1"/>
  <c r="I25" i="3" s="1"/>
  <c r="Y26" i="3" a="1"/>
  <c r="Y26" i="3" s="1"/>
  <c r="X26" i="3" a="1"/>
  <c r="X26" i="3" s="1"/>
  <c r="Y25" i="3" a="1"/>
  <c r="Y25" i="3" s="1"/>
  <c r="I24" i="3" a="1"/>
  <c r="I24" i="3" s="1"/>
  <c r="Y24" i="3" a="1"/>
  <c r="Y24" i="3" s="1"/>
  <c r="X24" i="3" a="1"/>
  <c r="X24" i="3" s="1"/>
  <c r="I23" i="3" a="1"/>
  <c r="I21" i="3" a="1"/>
  <c r="I22" i="3" a="1"/>
  <c r="I19" i="3" a="1"/>
  <c r="I20" i="3" a="1"/>
  <c r="L27" i="3" l="1"/>
  <c r="S27" i="3" s="1"/>
  <c r="T27" i="3" s="1"/>
  <c r="L25" i="3"/>
  <c r="L26" i="3"/>
  <c r="L24" i="3"/>
  <c r="O19" i="3"/>
  <c r="N27" i="3" l="1" a="1"/>
  <c r="N27" i="3" s="1"/>
  <c r="K27" i="3" s="1"/>
  <c r="U27" i="3" s="1"/>
  <c r="V27" i="3" s="1"/>
  <c r="M27" i="3"/>
  <c r="N26" i="3" a="1"/>
  <c r="N26" i="3" s="1"/>
  <c r="K26" i="3" s="1"/>
  <c r="M26" i="3"/>
  <c r="N25" i="3" a="1"/>
  <c r="N25" i="3" s="1"/>
  <c r="K25" i="3" s="1"/>
  <c r="M25" i="3"/>
  <c r="N24" i="3" a="1"/>
  <c r="N24" i="3" s="1"/>
  <c r="K24" i="3" s="1"/>
  <c r="M24" i="3"/>
  <c r="S24" i="3"/>
  <c r="T24" i="3" s="1"/>
  <c r="N23" i="3" a="1"/>
  <c r="N21" i="3" a="1"/>
  <c r="N22" i="3" a="1"/>
  <c r="N20" i="3" a="1"/>
  <c r="X2" i="6"/>
  <c r="W2" i="6"/>
  <c r="V2" i="6"/>
  <c r="U24" i="3" l="1"/>
  <c r="V24" i="3" s="1"/>
  <c r="Y21" i="3" a="1"/>
  <c r="Y21" i="3" s="1"/>
  <c r="Y23" i="3" a="1"/>
  <c r="Y23" i="3" s="1"/>
  <c r="X23" i="3" a="1"/>
  <c r="X23" i="3" s="1"/>
  <c r="X21" i="3" a="1"/>
  <c r="X21" i="3" s="1"/>
  <c r="Y22" i="3" a="1"/>
  <c r="Y22" i="3" s="1"/>
  <c r="X22" i="3" a="1"/>
  <c r="X22" i="3" s="1"/>
  <c r="I22" i="3"/>
  <c r="L22" i="3" s="1"/>
  <c r="M22" i="3" s="1"/>
  <c r="I20" i="3"/>
  <c r="I19" i="3"/>
  <c r="I21" i="3"/>
  <c r="I23" i="3"/>
  <c r="X20" i="3" a="1"/>
  <c r="X20" i="3" s="1"/>
  <c r="Y20" i="3" a="1"/>
  <c r="Y20" i="3" s="1"/>
  <c r="X19" i="3" a="1"/>
  <c r="X19" i="3" s="1"/>
  <c r="Y19" i="3" a="1"/>
  <c r="Y19" i="3" s="1"/>
  <c r="L20" i="3" l="1"/>
  <c r="S20" i="3" s="1"/>
  <c r="T20" i="3" s="1"/>
  <c r="N20" i="3"/>
  <c r="K20" i="3" s="1"/>
  <c r="U20" i="3" s="1"/>
  <c r="V20" i="3" s="1"/>
  <c r="L23" i="3"/>
  <c r="S23" i="3" s="1"/>
  <c r="T23" i="3" s="1"/>
  <c r="N22" i="3"/>
  <c r="K22" i="3" s="1"/>
  <c r="L21" i="3"/>
  <c r="N21" i="3" s="1"/>
  <c r="K21" i="3" s="1"/>
  <c r="C4" i="2"/>
  <c r="U4" i="2" s="1"/>
  <c r="J19" i="3"/>
  <c r="R19" i="3" s="1"/>
  <c r="E10" i="2" s="1"/>
  <c r="G34" i="4"/>
  <c r="E34" i="4"/>
  <c r="G33" i="4"/>
  <c r="E33" i="4"/>
  <c r="D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7" i="4"/>
  <c r="E7" i="4"/>
  <c r="G6" i="4"/>
  <c r="E6" i="4"/>
  <c r="G5" i="4"/>
  <c r="E5" i="4"/>
  <c r="G4" i="4"/>
  <c r="E4" i="4"/>
  <c r="P3" i="4"/>
  <c r="F35" i="4" s="1"/>
  <c r="H35" i="4" s="1"/>
  <c r="I35" i="4" s="1"/>
  <c r="G19" i="3" s="1"/>
  <c r="G3" i="4"/>
  <c r="E3" i="4"/>
  <c r="M20" i="3" l="1"/>
  <c r="E9" i="2"/>
  <c r="E8" i="2"/>
  <c r="M21" i="3"/>
  <c r="M23" i="3"/>
  <c r="N23" i="3"/>
  <c r="K23" i="3" s="1"/>
  <c r="U23" i="3" s="1"/>
  <c r="V23" i="3" s="1"/>
  <c r="E5" i="2"/>
  <c r="E7" i="2"/>
  <c r="E6" i="2"/>
  <c r="L35" i="4"/>
  <c r="K35" i="4"/>
  <c r="G13" i="7"/>
  <c r="N18" i="3" s="1"/>
  <c r="F21" i="4"/>
  <c r="H21" i="4" s="1"/>
  <c r="I21" i="4" s="1"/>
  <c r="F3" i="4"/>
  <c r="H3" i="4" s="1"/>
  <c r="I3" i="4" s="1"/>
  <c r="E4" i="2" a="1"/>
  <c r="E4" i="2" s="1"/>
  <c r="F5" i="4"/>
  <c r="H5" i="4" s="1"/>
  <c r="I5" i="4" s="1"/>
  <c r="F14" i="4"/>
  <c r="H14" i="4" s="1"/>
  <c r="I14" i="4" s="1"/>
  <c r="F18" i="4"/>
  <c r="H18" i="4" s="1"/>
  <c r="I18" i="4" s="1"/>
  <c r="F23" i="4"/>
  <c r="H23" i="4" s="1"/>
  <c r="I23" i="4" s="1"/>
  <c r="F4" i="4"/>
  <c r="H4" i="4" s="1"/>
  <c r="I4" i="4" s="1"/>
  <c r="F9" i="4"/>
  <c r="H9" i="4" s="1"/>
  <c r="I9" i="4" s="1"/>
  <c r="F13" i="4"/>
  <c r="H13" i="4" s="1"/>
  <c r="I13" i="4" s="1"/>
  <c r="F17" i="4"/>
  <c r="H17" i="4" s="1"/>
  <c r="I17" i="4" s="1"/>
  <c r="F22" i="4"/>
  <c r="H22" i="4" s="1"/>
  <c r="I22" i="4" s="1"/>
  <c r="F26" i="4"/>
  <c r="H26" i="4" s="1"/>
  <c r="I26" i="4" s="1"/>
  <c r="F30" i="4"/>
  <c r="H30" i="4" s="1"/>
  <c r="I30" i="4" s="1"/>
  <c r="F10" i="4"/>
  <c r="H10" i="4" s="1"/>
  <c r="I10" i="4" s="1"/>
  <c r="F27" i="4"/>
  <c r="H27" i="4" s="1"/>
  <c r="I27" i="4" s="1"/>
  <c r="F31" i="4"/>
  <c r="H31" i="4" s="1"/>
  <c r="I31" i="4" s="1"/>
  <c r="F7" i="4"/>
  <c r="H7" i="4" s="1"/>
  <c r="I7" i="4" s="1"/>
  <c r="F12" i="4"/>
  <c r="H12" i="4" s="1"/>
  <c r="I12" i="4" s="1"/>
  <c r="F16" i="4"/>
  <c r="H16" i="4" s="1"/>
  <c r="I16" i="4" s="1"/>
  <c r="F20" i="4"/>
  <c r="H20" i="4" s="1"/>
  <c r="I20" i="4" s="1"/>
  <c r="G20" i="3" s="1"/>
  <c r="F25" i="4"/>
  <c r="H25" i="4" s="1"/>
  <c r="I25" i="4" s="1"/>
  <c r="F29" i="4"/>
  <c r="H29" i="4" s="1"/>
  <c r="F34" i="4"/>
  <c r="H34" i="4" s="1"/>
  <c r="I34" i="4" s="1"/>
  <c r="F6" i="4"/>
  <c r="H6" i="4" s="1"/>
  <c r="I6" i="4" s="1"/>
  <c r="F11" i="4"/>
  <c r="H11" i="4" s="1"/>
  <c r="I11" i="4" s="1"/>
  <c r="G23" i="3" s="1"/>
  <c r="F15" i="4"/>
  <c r="H15" i="4" s="1"/>
  <c r="I15" i="4" s="1"/>
  <c r="F19" i="4"/>
  <c r="H19" i="4" s="1"/>
  <c r="I19" i="4" s="1"/>
  <c r="F24" i="4"/>
  <c r="H24" i="4" s="1"/>
  <c r="I24" i="4" s="1"/>
  <c r="F28" i="4"/>
  <c r="H28" i="4" s="1"/>
  <c r="I28" i="4" s="1"/>
  <c r="F32" i="4"/>
  <c r="H32" i="4" s="1"/>
  <c r="I32" i="4" s="1"/>
  <c r="F33" i="4"/>
  <c r="H33" i="4" s="1"/>
  <c r="I33" i="4" s="1"/>
  <c r="I29" i="4" l="1"/>
  <c r="L29" i="4" s="1"/>
  <c r="K29" i="4"/>
  <c r="G25" i="3"/>
  <c r="G26" i="3"/>
  <c r="G21" i="3"/>
  <c r="G22" i="3"/>
  <c r="L21" i="4"/>
  <c r="K21" i="4"/>
  <c r="L19" i="4"/>
  <c r="K19" i="4"/>
  <c r="L4" i="4"/>
  <c r="K4" i="4"/>
  <c r="L11" i="4"/>
  <c r="K11" i="4"/>
  <c r="L7" i="4"/>
  <c r="K7" i="4"/>
  <c r="K17" i="4"/>
  <c r="L15" i="4"/>
  <c r="K15" i="4"/>
  <c r="L13" i="4"/>
  <c r="K13" i="4"/>
  <c r="L20" i="4"/>
  <c r="K20" i="4"/>
  <c r="H13" i="7"/>
  <c r="C7" i="3" s="1"/>
  <c r="K5" i="4"/>
  <c r="C5" i="2"/>
  <c r="U5" i="2" s="1"/>
  <c r="L17" i="4" l="1"/>
  <c r="L5" i="4"/>
  <c r="T5" i="2"/>
  <c r="L19" i="3"/>
  <c r="S19" i="3" s="1"/>
  <c r="N19" i="3" l="1" a="1"/>
  <c r="N19" i="3" s="1"/>
  <c r="D10" i="2" s="1" a="1"/>
  <c r="D10" i="2" s="1"/>
  <c r="F10" i="2" s="1"/>
  <c r="T19" i="3"/>
  <c r="M19" i="3"/>
  <c r="G10" i="2" s="1" a="1"/>
  <c r="G10" i="2" s="1"/>
  <c r="D8" i="2" l="1" a="1"/>
  <c r="D8" i="2" s="1"/>
  <c r="F8" i="2" s="1"/>
  <c r="D9" i="2" a="1"/>
  <c r="D9" i="2" s="1"/>
  <c r="F9" i="2" s="1"/>
  <c r="G4" i="2" a="1"/>
  <c r="G4" i="2" s="1"/>
  <c r="G9" i="2" a="1"/>
  <c r="G9" i="2" s="1"/>
  <c r="G7" i="2" a="1"/>
  <c r="G7" i="2" s="1"/>
  <c r="G8" i="2" a="1"/>
  <c r="G8" i="2" s="1"/>
  <c r="D6" i="2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D4" i="2" a="1"/>
  <c r="D4" i="2" s="1"/>
  <c r="H4" i="2" s="1"/>
  <c r="K4" i="2" s="1"/>
  <c r="L4" i="2" s="1"/>
  <c r="C12" i="3" l="1" a="1"/>
  <c r="C12" i="3" s="1"/>
  <c r="M4" i="2"/>
  <c r="J5" i="9"/>
  <c r="I6" i="9"/>
  <c r="L5" i="9"/>
  <c r="D6" i="9" s="1"/>
  <c r="E6" i="9"/>
  <c r="U19" i="3"/>
  <c r="V19" i="3" s="1"/>
  <c r="M5" i="9"/>
  <c r="N5" i="9"/>
  <c r="O5" i="9" s="1"/>
  <c r="C9" i="3" a="1"/>
  <c r="C9" i="3" s="1"/>
  <c r="C8" i="3"/>
  <c r="C10" i="3" a="1"/>
  <c r="C10" i="3" s="1"/>
  <c r="C11" i="3" a="1"/>
  <c r="C11" i="3" s="1"/>
  <c r="J6" i="9" l="1"/>
  <c r="L6" i="9" s="1"/>
  <c r="M6" i="9" s="1"/>
  <c r="P4" i="2"/>
  <c r="Q4" i="2" s="1"/>
  <c r="O4" i="2"/>
  <c r="M5" i="2" s="1"/>
  <c r="C13" i="3" a="1"/>
  <c r="C13" i="3" s="1"/>
  <c r="J4" i="2"/>
  <c r="H5" i="2" s="1"/>
  <c r="N6" i="9" l="1"/>
  <c r="O6" i="9" s="1"/>
  <c r="J5" i="2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J7" i="2" l="1"/>
  <c r="H8" i="2" s="1"/>
  <c r="K7" i="2"/>
  <c r="L7" i="2" s="1"/>
  <c r="P7" i="2"/>
  <c r="Q7" i="2" s="1"/>
  <c r="O7" i="2"/>
  <c r="M8" i="2" s="1"/>
  <c r="C14" i="3"/>
  <c r="P8" i="2" l="1"/>
  <c r="Q8" i="2" s="1"/>
  <c r="O8" i="2"/>
  <c r="M9" i="2" s="1"/>
  <c r="K8" i="2"/>
  <c r="L8" i="2" s="1"/>
  <c r="J8" i="2"/>
  <c r="H9" i="2" s="1"/>
  <c r="C3" i="3"/>
  <c r="P9" i="2" l="1"/>
  <c r="Q9" i="2" s="1"/>
  <c r="O9" i="2"/>
  <c r="M10" i="2" s="1"/>
  <c r="K9" i="2"/>
  <c r="L9" i="2" s="1"/>
  <c r="J9" i="2"/>
  <c r="H10" i="2" s="1"/>
  <c r="D9" i="3"/>
  <c r="K10" i="2" l="1"/>
  <c r="L10" i="2" s="1"/>
  <c r="J10" i="2"/>
  <c r="P10" i="2"/>
  <c r="Q10" i="2" s="1"/>
  <c r="O10" i="2"/>
  <c r="C6" i="3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sharedStrings.xml><?xml version="1.0" encoding="utf-8"?>
<sst xmlns="http://schemas.openxmlformats.org/spreadsheetml/2006/main" count="1498" uniqueCount="350">
  <si>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</si>
  <si>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</si>
  <si>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</si>
  <si>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</si>
  <si>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</si>
  <si>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</si>
  <si>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</si>
  <si>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</si>
  <si>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</si>
  <si>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</si>
  <si>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</si>
  <si>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</si>
  <si>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</si>
  <si>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</si>
  <si>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</si>
  <si>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</si>
  <si>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</si>
  <si>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</si>
  <si>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</si>
  <si>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</si>
  <si>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</si>
  <si>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</si>
  <si>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</si>
  <si>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</si>
  <si>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</si>
  <si>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</si>
  <si>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</si>
  <si>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</si>
  <si>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</si>
  <si>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</si>
  <si>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</si>
  <si>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</si>
  <si>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</si>
  <si>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</si>
  <si>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</si>
  <si>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</si>
  <si>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</si>
  <si>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</si>
  <si>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</si>
  <si>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</si>
  <si>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</si>
  <si>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</si>
  <si>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</si>
  <si>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</si>
  <si>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</si>
  <si>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</si>
  <si>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</si>
  <si>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</si>
  <si>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</si>
  <si>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</si>
  <si>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</si>
  <si>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</si>
  <si>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</si>
  <si>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</si>
  <si>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</si>
  <si>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</si>
  <si>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</si>
  <si>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</si>
  <si>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</si>
  <si>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</si>
  <si>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</si>
  <si>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</si>
  <si>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</si>
  <si>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</si>
  <si>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</si>
  <si>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</si>
  <si>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</si>
  <si>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</si>
  <si>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</si>
  <si>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</si>
  <si>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</si>
  <si>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</si>
  <si>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</si>
  <si>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</si>
  <si>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</si>
  <si>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</si>
  <si>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</si>
  <si>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</si>
  <si>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</si>
  <si>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</si>
  <si>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</si>
  <si>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</si>
  <si>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</si>
  <si>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</si>
  <si>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</si>
  <si>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</si>
  <si>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</si>
  <si>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</si>
  <si>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</si>
  <si>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</si>
  <si>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</si>
  <si>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</si>
  <si>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</si>
  <si>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</si>
  <si>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</si>
  <si>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</si>
  <si>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</si>
  <si>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</si>
  <si>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</si>
  <si>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</si>
  <si>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</si>
  <si>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</si>
  <si>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</si>
  <si>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</si>
  <si>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</si>
  <si>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</si>
  <si>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</si>
  <si>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</si>
  <si>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</si>
  <si>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</si>
  <si>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</si>
  <si>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</si>
  <si>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</si>
  <si>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</si>
  <si>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</si>
  <si>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</si>
  <si>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</si>
  <si>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</si>
  <si>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</si>
  <si>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</si>
  <si>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</si>
  <si>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</si>
  <si>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</si>
  <si>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</si>
  <si>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</si>
  <si>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</si>
  <si>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</si>
  <si>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</si>
  <si>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</si>
  <si>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</si>
  <si>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</si>
  <si>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</si>
  <si>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</si>
  <si>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</si>
  <si>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</si>
  <si>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</si>
  <si>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</si>
  <si>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</si>
  <si>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</si>
  <si>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</si>
  <si>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</si>
  <si>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</si>
  <si>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</si>
  <si>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</si>
  <si>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</si>
  <si>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</si>
  <si>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</si>
  <si>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</si>
  <si>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</si>
  <si>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</si>
  <si>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</si>
  <si>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</si>
  <si>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</si>
  <si>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</si>
  <si>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</si>
  <si>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</si>
  <si>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</si>
  <si>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</si>
  <si>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</si>
  <si>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</si>
  <si>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</si>
  <si>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</si>
  <si>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</si>
  <si>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</si>
  <si>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</si>
  <si>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</si>
  <si>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</si>
  <si>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</si>
  <si>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</si>
  <si>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</si>
  <si>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</si>
  <si>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</si>
  <si>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</si>
  <si>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</si>
  <si>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</si>
  <si>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</si>
  <si>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</si>
  <si>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</si>
  <si>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</si>
  <si>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</si>
  <si>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</si>
  <si>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</si>
  <si>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</si>
  <si>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</si>
  <si>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</si>
  <si>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</si>
  <si>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</si>
  <si>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</si>
  <si>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</si>
  <si>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</si>
  <si>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</si>
  <si>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</si>
  <si>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</si>
  <si>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</si>
  <si>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</si>
  <si>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</si>
  <si>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</si>
  <si>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</si>
  <si>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</si>
  <si>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</si>
  <si>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</si>
  <si>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</si>
  <si>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</si>
  <si>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</si>
  <si>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</si>
  <si>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</si>
  <si>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</si>
  <si>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</si>
  <si>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</si>
  <si>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</si>
  <si>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</si>
  <si>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</si>
  <si>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</si>
  <si>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</si>
  <si>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</si>
  <si>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</si>
  <si>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</si>
  <si>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</si>
  <si>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</si>
  <si>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</si>
  <si>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</si>
  <si>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</si>
  <si>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</si>
  <si>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</si>
  <si>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</si>
  <si>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</si>
  <si>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</si>
  <si>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</si>
  <si>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</si>
  <si>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</si>
  <si>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</si>
  <si>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</si>
  <si>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</si>
  <si>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</si>
  <si>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</si>
  <si>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</si>
  <si>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</si>
  <si>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</si>
  <si>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</si>
  <si>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</si>
  <si>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</si>
  <si>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</si>
  <si>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</si>
  <si>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</si>
  <si>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</si>
  <si>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</si>
  <si>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</si>
  <si>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</si>
  <si>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</si>
  <si>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</si>
  <si>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6BH6</t>
  </si>
  <si>
    <t>6JH6</t>
  </si>
  <si>
    <t>6CH6</t>
  </si>
  <si>
    <t>6AH6</t>
  </si>
  <si>
    <t>DXYH6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</si>
  <si>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</si>
  <si>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</si>
  <si>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</si>
  <si>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</si>
  <si>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</si>
  <si>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</si>
  <si>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</si>
  <si>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</si>
  <si>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</si>
  <si>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</si>
  <si>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</si>
  <si>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</si>
  <si>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</si>
  <si>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</si>
  <si>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</si>
  <si>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</si>
  <si>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</si>
  <si>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</si>
  <si>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</si>
  <si>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</si>
  <si>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</si>
  <si>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</si>
  <si>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</si>
  <si>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</si>
  <si>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</si>
  <si>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</si>
  <si>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</si>
  <si>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</si>
  <si>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</si>
  <si>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</si>
  <si>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</si>
  <si>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</si>
  <si>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</si>
  <si>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</si>
  <si>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</si>
  <si>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</si>
  <si>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</si>
  <si>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</si>
  <si>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</si>
  <si>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</si>
  <si>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</si>
  <si>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</si>
  <si>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</si>
  <si>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</si>
  <si>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</si>
  <si>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</si>
  <si>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</si>
  <si>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</si>
  <si>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</si>
  <si>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</si>
  <si>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</si>
  <si>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</si>
  <si>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</si>
  <si>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</si>
  <si>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</si>
  <si>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</si>
  <si>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</si>
  <si>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</si>
  <si>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</si>
  <si>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</si>
  <si>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</si>
  <si>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</si>
  <si>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</si>
  <si>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</si>
  <si>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</si>
  <si>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</si>
  <si>
    <t>NKD</t>
  </si>
  <si>
    <t>NKDM6</t>
  </si>
  <si>
    <t>NKD 12JUN26</t>
  </si>
  <si>
    <t>Long NKD Futures</t>
  </si>
  <si>
    <t>OGM6 C5500</t>
  </si>
  <si>
    <t>OGM6 C4930</t>
  </si>
  <si>
    <t>C</t>
  </si>
  <si>
    <t>OG</t>
  </si>
  <si>
    <t>Long GC Call Spread</t>
  </si>
  <si>
    <t>GC JUN26 4930 C</t>
  </si>
  <si>
    <t>GC JUN26 5500 C</t>
  </si>
  <si>
    <t>RISK</t>
  </si>
  <si>
    <t>End of deflation era / pro-growth government policies / attractive valuations</t>
  </si>
  <si>
    <t>Weekly retrace to previous support area and weekly up</t>
  </si>
  <si>
    <t>Weekly hammer after 50% retrace and weekly up</t>
  </si>
  <si>
    <t>Central banks buying spree / geopolitical or dollar shock hedge</t>
  </si>
  <si>
    <t>Rate differential expectations, BCE 2-3 hikes before year-end</t>
  </si>
  <si>
    <t>Weekly doji + weekly up / potential continuation to new highs</t>
  </si>
  <si>
    <t>Long 6E Futures</t>
  </si>
  <si>
    <t>EUR 15JUN26</t>
  </si>
  <si>
    <t>INFO</t>
  </si>
  <si>
    <t>Starting. host=127.0.0.1 port=7497 clientId=11 mktDataType=3 interval=0.25s</t>
  </si>
  <si>
    <t>Connected to TWS.</t>
  </si>
  <si>
    <t>Loaded 38 contracts from Symbols sheet.</t>
  </si>
  <si>
    <t>ERROR</t>
  </si>
  <si>
    <t>Loop error: (-2147352567, 'Exception occurred.', (0, None, None, None, 0, -2146827284), None). Reconnecting in 2s.</t>
  </si>
  <si>
    <t>Reconnected to TWS.</t>
  </si>
  <si>
    <t>Loop error: (-2147352567, 'Exception occurred.', (0, None, None, None, 0, -2146777998), None). Reconnecting in 2s.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</si>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</sst>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  <numFmt numFmtId="176" formatCode="#,##0.000"/>
    <numFmt numFmtId="177" formatCode="#,##0.0000;\-#,##0.0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100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76" fontId="5" fillId="0" borderId="0" xfId="2" applyNumberFormat="1" applyFont="1" applyAlignment="1">
      <alignment horizontal="center"/>
    </xf>
    <xf numFmtId="169" fontId="5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6.4758784321093277E-2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9.5364690632010918E-2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4"/>
                <c:pt idx="0">
                  <c:v>1000</c:v>
                </c:pt>
                <c:pt idx="1">
                  <c:v>1000</c:v>
                </c:pt>
                <c:pt idx="2">
                  <c:v>1028.744450632011</c:v>
                </c:pt>
                <c:pt idx="3">
                  <c:v>1095.3646906320109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8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  <c:pt idx="6">
                  <c:v>-5.8519850599000112E-2</c:v>
                </c:pt>
                <c:pt idx="7">
                  <c:v>-6.7934652093010084E-2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8"/>
                <c:pt idx="0">
                  <c:v>0</c:v>
                </c:pt>
                <c:pt idx="1">
                  <c:v>1.0499999999999954E-2</c:v>
                </c:pt>
                <c:pt idx="2">
                  <c:v>1.14621800000001E-2</c:v>
                </c:pt>
                <c:pt idx="3">
                  <c:v>1.8779600000000674E-3</c:v>
                </c:pt>
                <c:pt idx="4">
                  <c:v>1.8779600000000674E-3</c:v>
                </c:pt>
                <c:pt idx="5">
                  <c:v>5.3260680000000171E-2</c:v>
                </c:pt>
                <c:pt idx="6">
                  <c:v>4.3354680000000201E-2</c:v>
                </c:pt>
                <c:pt idx="7">
                  <c:v>3.4495305000000087E-2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8"/>
                <c:pt idx="0">
                  <c:v>0</c:v>
                </c:pt>
                <c:pt idx="1">
                  <c:v>2.2185190632010965E-2</c:v>
                </c:pt>
                <c:pt idx="2">
                  <c:v>2.3147370632011111E-2</c:v>
                </c:pt>
                <c:pt idx="3">
                  <c:v>1.9623150632011033E-2</c:v>
                </c:pt>
                <c:pt idx="4">
                  <c:v>3.4783180632010913E-2</c:v>
                </c:pt>
                <c:pt idx="5">
                  <c:v>8.6165900632011017E-2</c:v>
                </c:pt>
                <c:pt idx="6">
                  <c:v>8.5150860632011049E-2</c:v>
                </c:pt>
                <c:pt idx="7">
                  <c:v>9.0794760632011196E-2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3" zoomScaleNormal="93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7.53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158</v>
      </c>
      <c r="C1" s="79">
        <f ca="1">TODAY()</f>
        <v>46132</v>
      </c>
    </row>
    <row r="2" spans="2:11" x14ac:dyDescent="0.4">
      <c r="B2" s="32" t="s">
        <v>107</v>
      </c>
      <c r="C2" s="37" t="s">
        <v>349</v>
      </c>
      <c r="E2" s="47" t="s">
        <v>120</v>
      </c>
      <c r="F2" s="47" t="s">
        <v>6</v>
      </c>
      <c r="G2" s="47"/>
      <c r="H2" s="28"/>
    </row>
    <row r="3" spans="2:11" x14ac:dyDescent="0.4">
      <c r="B3" s="32" t="s">
        <v>112</v>
      </c>
      <c r="C3" s="28">
        <f ca="1">OFFSET(NAV!B1,MATCH(C1,NAV!B:B,1),8)</f>
        <v>1095364.690632011</v>
      </c>
      <c r="E3" s="47" t="s">
        <v>121</v>
      </c>
      <c r="F3" s="47" t="s">
        <v>290</v>
      </c>
      <c r="G3" s="47"/>
      <c r="H3" s="28"/>
    </row>
    <row r="4" spans="2:11" x14ac:dyDescent="0.4">
      <c r="B4" s="32" t="s">
        <v>52</v>
      </c>
      <c r="C4" s="28">
        <f>SUM(N18:N1012)</f>
        <v>95364.690632011087</v>
      </c>
      <c r="D4" s="3"/>
      <c r="E4" s="47" t="s">
        <v>20</v>
      </c>
      <c r="F4" s="47" t="s">
        <v>83</v>
      </c>
      <c r="G4" s="47"/>
      <c r="H4" s="28"/>
    </row>
    <row r="5" spans="2:11" x14ac:dyDescent="0.4">
      <c r="B5" s="32" t="s">
        <v>168</v>
      </c>
      <c r="C5" s="3">
        <f ca="1">OFFSET(NAV!B1,MATCH(C1,NAV!B:B,1),11)</f>
        <v>9.5364690632010918E-2</v>
      </c>
      <c r="D5" s="3"/>
      <c r="E5" s="47" t="s">
        <v>178</v>
      </c>
      <c r="F5" s="47" t="s">
        <v>50</v>
      </c>
      <c r="G5" s="47"/>
      <c r="H5" s="28"/>
      <c r="K5" s="51"/>
    </row>
    <row r="6" spans="2:11" x14ac:dyDescent="0.4">
      <c r="B6" s="32" t="s">
        <v>169</v>
      </c>
      <c r="C6" s="3">
        <f ca="1">OFFSET(NAV!B1,MATCH(C1,NAV!B:B,1),12)</f>
        <v>6.4758784321093277E-2</v>
      </c>
      <c r="D6" s="3"/>
      <c r="E6" s="47" t="s">
        <v>312</v>
      </c>
      <c r="F6" s="47"/>
      <c r="G6" s="47"/>
      <c r="H6" s="28"/>
      <c r="K6" s="51"/>
    </row>
    <row r="7" spans="2:11" x14ac:dyDescent="0.4">
      <c r="B7" s="32" t="s">
        <v>137</v>
      </c>
      <c r="C7" s="28">
        <f>Cash_Mgmt!H13</f>
        <v>33030.069999999956</v>
      </c>
      <c r="D7" s="3">
        <f ca="1">C7/C3</f>
        <v>3.0154404539863375E-2</v>
      </c>
      <c r="E7" s="47"/>
      <c r="F7" s="47"/>
      <c r="G7" s="47"/>
      <c r="H7" s="51"/>
      <c r="K7" s="51"/>
    </row>
    <row r="8" spans="2:11" x14ac:dyDescent="0.4">
      <c r="B8" s="32" t="s">
        <v>138</v>
      </c>
      <c r="C8" s="28">
        <f>C4+C7</f>
        <v>128394.76063201105</v>
      </c>
      <c r="D8" s="3">
        <f ca="1">C5+D7</f>
        <v>0.12551909517187429</v>
      </c>
      <c r="G8" s="47"/>
      <c r="H8" s="51"/>
      <c r="K8" s="51"/>
    </row>
    <row r="9" spans="2:11" x14ac:dyDescent="0.4">
      <c r="B9" s="32" t="s">
        <v>108</v>
      </c>
      <c r="C9" s="28">
        <f t="array" ref="C9">SUM((F19:F112="Futures")*(M19:M112))</f>
        <v>890162.5</v>
      </c>
      <c r="D9" s="3">
        <f ca="1">C9/$C$3</f>
        <v>0.81266313184368566</v>
      </c>
      <c r="E9" s="47"/>
      <c r="F9" s="47"/>
      <c r="G9" s="47"/>
      <c r="H9" s="51"/>
      <c r="K9" s="51"/>
    </row>
    <row r="10" spans="2:11" x14ac:dyDescent="0.4">
      <c r="B10" s="32" t="s">
        <v>109</v>
      </c>
      <c r="C10" s="28">
        <f t="array" ref="C10">SUM((F19:F1012="Call")*(M19:M1012))</f>
        <v>8890</v>
      </c>
      <c r="D10" s="3">
        <f t="shared" ref="D10:D14" ca="1" si="0">C10/$C$3</f>
        <v>8.116018414716826E-3</v>
      </c>
      <c r="H10" s="44"/>
    </row>
    <row r="11" spans="2:11" x14ac:dyDescent="0.4">
      <c r="B11" s="32" t="s">
        <v>110</v>
      </c>
      <c r="C11" s="28">
        <f t="array" ref="C11">SUM((F19:F212="Put")*(M19:M212))</f>
        <v>6060</v>
      </c>
      <c r="D11" s="3">
        <f t="shared" ca="1" si="0"/>
        <v>5.5324040037327289E-3</v>
      </c>
    </row>
    <row r="12" spans="2:11" x14ac:dyDescent="0.4">
      <c r="B12" s="32" t="s">
        <v>111</v>
      </c>
      <c r="C12" s="28">
        <f t="array" ref="C12">SUM((PLB!G4:G999="O")*(PLB!E4:E999))</f>
        <v>17849.595000000001</v>
      </c>
      <c r="D12" s="3">
        <f t="shared" ca="1" si="0"/>
        <v>1.6295572746370907E-2</v>
      </c>
    </row>
    <row r="13" spans="2:11" x14ac:dyDescent="0.4">
      <c r="B13" s="32" t="s">
        <v>132</v>
      </c>
      <c r="C13" s="28">
        <f t="array" ref="C13">SUM((PLB!G4:G999="O")*(PLB!D4:D999))</f>
        <v>38449.860632011136</v>
      </c>
      <c r="D13" s="3">
        <f t="shared" ca="1" si="0"/>
        <v>3.5102337112789414E-2</v>
      </c>
      <c r="F13" s="59"/>
      <c r="G13" s="59"/>
    </row>
    <row r="14" spans="2:11" x14ac:dyDescent="0.4">
      <c r="B14" s="32" t="s">
        <v>133</v>
      </c>
      <c r="C14" s="28">
        <f>C12+C13</f>
        <v>56299.455632011137</v>
      </c>
      <c r="D14" s="3">
        <f t="shared" ca="1" si="0"/>
        <v>5.1397909859160325E-2</v>
      </c>
    </row>
    <row r="17" spans="2:28" x14ac:dyDescent="0.4">
      <c r="B17" s="38" t="s">
        <v>82</v>
      </c>
      <c r="C17" s="4" t="s">
        <v>0</v>
      </c>
      <c r="D17" s="4" t="s">
        <v>1</v>
      </c>
      <c r="E17" s="4" t="s">
        <v>119</v>
      </c>
      <c r="F17" s="4" t="s">
        <v>2</v>
      </c>
      <c r="G17" s="4" t="s">
        <v>142</v>
      </c>
      <c r="H17" s="4" t="s">
        <v>101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106</v>
      </c>
      <c r="N17" s="4" t="s">
        <v>52</v>
      </c>
      <c r="O17" s="4" t="s">
        <v>14</v>
      </c>
      <c r="P17" s="4" t="s">
        <v>332</v>
      </c>
      <c r="Q17" s="4" t="s">
        <v>113</v>
      </c>
      <c r="R17" s="4" t="s">
        <v>3</v>
      </c>
      <c r="S17" s="4" t="s">
        <v>114</v>
      </c>
      <c r="T17" s="4" t="s">
        <v>116</v>
      </c>
      <c r="U17" s="4" t="s">
        <v>115</v>
      </c>
      <c r="V17" s="4" t="s">
        <v>117</v>
      </c>
      <c r="W17" s="32"/>
      <c r="X17" s="33" t="s">
        <v>104</v>
      </c>
      <c r="Y17" s="33" t="s">
        <v>103</v>
      </c>
      <c r="Z17" s="33" t="s">
        <v>105</v>
      </c>
    </row>
    <row r="18" spans="2:28" x14ac:dyDescent="0.4">
      <c r="B18" s="9" t="s">
        <v>130</v>
      </c>
      <c r="C18" s="12"/>
      <c r="D18" s="12"/>
      <c r="E18" s="10" t="s">
        <v>178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4569.9299999999548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185</v>
      </c>
      <c r="C19" s="10">
        <v>1</v>
      </c>
      <c r="D19" s="10" t="s">
        <v>187</v>
      </c>
      <c r="E19" s="10" t="s">
        <v>312</v>
      </c>
      <c r="F19" s="10" t="s">
        <v>290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50</v>
      </c>
      <c r="J19" s="28">
        <f>VLOOKUP(D19,Multiplier!B:D,2,0)</f>
        <v>1</v>
      </c>
      <c r="K19" s="29">
        <f t="shared" ref="K19" si="1">L19-N19/(H19*J19)</f>
        <v>1986.5461873597801</v>
      </c>
      <c r="L19" s="29">
        <f t="shared" ref="L19" si="2">IF(I19=0,IF(H19&gt;0,X19,Y19),Z19)</f>
        <v>2430.25</v>
      </c>
      <c r="M19" s="28">
        <f t="shared" ref="M19" si="3">I19*J19*L19</f>
        <v>121512.5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22185.190632010999</v>
      </c>
      <c r="O19" s="29">
        <f>VLOOKUP(D19,Multiplier!B:H,3,0)</f>
        <v>140</v>
      </c>
      <c r="P19" s="27">
        <v>-210</v>
      </c>
      <c r="Q19" s="27"/>
      <c r="R19" s="28">
        <f t="shared" ref="R19" si="4">(1-Q19)*P19*J19*H19</f>
        <v>-10500</v>
      </c>
      <c r="S19" s="29">
        <f>IF(OR(F19="Futures",F19="Spot"),IF(I19=0,0,IF(I19&gt;0,L19-O19,L19+O19)),0)</f>
        <v>2290.25</v>
      </c>
      <c r="T19" s="3">
        <f t="shared" ref="T19" si="5">IF(S19&gt;0,IF(ISNUMBER(S19/L19-1),S19/L19-1,0),0)</f>
        <v>-5.7607242053286711E-2</v>
      </c>
      <c r="U19" s="29">
        <f>IF(OR(F19="Futures",F19="Spot"),IF(I19=0,0,IF(I19&gt;0,K19-P19,K19+P19)),0)</f>
        <v>2196.5461873597801</v>
      </c>
      <c r="V19" s="3">
        <f t="shared" ref="V19" si="6">IF(U19&gt;0,IF(ISNUMBER(U19/L19-1),U19/L19-1,0),0)</f>
        <v>-9.6164515025293662E-2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1988.5438895878001</v>
      </c>
      <c r="Z19" s="35">
        <f>IF(C$2="Last",IF(ISNUMBER(VLOOKUP(B19,Prices!A:L,8,0)),VLOOKUP(B19,Prices!A:L,8,0),0),IF(ISNUMBER(VLOOKUP(B19,Prices!A:L,12,0)),VLOOKUP(B19,Prices!A:L,12,0),0))</f>
        <v>2430.25</v>
      </c>
      <c r="AB19" s="29"/>
    </row>
    <row r="20" spans="2:28" x14ac:dyDescent="0.4">
      <c r="B20" s="9" t="s">
        <v>282</v>
      </c>
      <c r="C20" s="10">
        <v>2</v>
      </c>
      <c r="D20" s="10" t="s">
        <v>34</v>
      </c>
      <c r="E20" s="10" t="s">
        <v>121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0</v>
      </c>
      <c r="J20" s="28">
        <f>VLOOKUP(D20,Multiplier!B:D,2,0)</f>
        <v>10</v>
      </c>
      <c r="K20" s="29">
        <f t="shared" ref="K20" si="7">L20-N20/(H20*J20)</f>
        <v>3235.5940000000001</v>
      </c>
      <c r="L20" s="29">
        <f t="shared" ref="L20" si="8">IF(I20=0,IF(H20&gt;0,X20,Y20),Z20)</f>
        <v>3267.6666666666665</v>
      </c>
      <c r="M20" s="28">
        <f t="shared" ref="M20" si="9">I20*J20*L20</f>
        <v>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962.18</v>
      </c>
      <c r="O20" s="29">
        <f>VLOOKUP(D20,Multiplier!B:H,3,0)</f>
        <v>205</v>
      </c>
      <c r="P20" s="27"/>
      <c r="Q20" s="27"/>
      <c r="R20" s="28">
        <f t="shared" ref="R20" si="10">(1-Q20)*P20*J20*H20</f>
        <v>0</v>
      </c>
      <c r="S20" s="29">
        <f>IF(OR(F20="Futures",F20="Spot"),IF(I20=0,0,IF(I20&gt;0,L20-O20,L20+O20)),0)</f>
        <v>0</v>
      </c>
      <c r="T20" s="3">
        <f t="shared" ref="T20" si="11">IF(S20&gt;0,IF(ISNUMBER(S20/L20-1),S20/L20-1,0),0)</f>
        <v>0</v>
      </c>
      <c r="U20" s="29">
        <f t="shared" ref="U20" si="12">IF(OR(F20="Futures",F20="Stocks"),IF(I20=0,0,IF(I20&gt;0,K20-P20,K20+P20)),0)</f>
        <v>0</v>
      </c>
      <c r="V20" s="3">
        <f t="shared" ref="V20" si="13">IF(U20&gt;0,IF(ISNUMBER(U20/L20-1),U20/L20-1,0),0)</f>
        <v>0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3267.6666666666665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3367</v>
      </c>
      <c r="AB20" s="29"/>
    </row>
    <row r="21" spans="2:28" x14ac:dyDescent="0.4">
      <c r="B21" s="9" t="s">
        <v>304</v>
      </c>
      <c r="C21" s="10">
        <v>3</v>
      </c>
      <c r="D21" s="10" t="s">
        <v>24</v>
      </c>
      <c r="E21" s="10" t="s">
        <v>121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2.13</v>
      </c>
      <c r="M21" s="28">
        <f t="shared" ref="M21:M22" si="16">I21*J21*L21</f>
        <v>6390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-4237.1100000000024</v>
      </c>
      <c r="O21" s="29">
        <f>VLOOKUP(D21,Multiplier!B:H,3,0)</f>
        <v>2.1</v>
      </c>
      <c r="P21" s="27">
        <v>3.5423700000000009</v>
      </c>
      <c r="Q21" s="27"/>
      <c r="R21" s="28">
        <f t="shared" ref="R21:R22" si="17">(1-Q21)*P21*J21*H21</f>
        <v>10627.110000000002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2.13</v>
      </c>
      <c r="AB21" s="29"/>
    </row>
    <row r="22" spans="2:28" x14ac:dyDescent="0.4">
      <c r="B22" s="9" t="s">
        <v>305</v>
      </c>
      <c r="C22" s="10">
        <v>3</v>
      </c>
      <c r="D22" s="10" t="s">
        <v>24</v>
      </c>
      <c r="E22" s="10" t="s">
        <v>121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0.34762999999999994</v>
      </c>
      <c r="L22" s="29">
        <f t="shared" si="15"/>
        <v>0.11</v>
      </c>
      <c r="M22" s="28">
        <f t="shared" si="16"/>
        <v>-330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712.88999999999987</v>
      </c>
      <c r="O22" s="29">
        <f>VLOOKUP(D22,Multiplier!B:H,3,0)</f>
        <v>2.1</v>
      </c>
      <c r="P22" s="27">
        <v>0.34762999999999994</v>
      </c>
      <c r="Q22" s="27"/>
      <c r="R22" s="28">
        <f t="shared" si="17"/>
        <v>-1042.8899999999999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0.11</v>
      </c>
      <c r="AB22" s="29"/>
    </row>
    <row r="23" spans="2:28" x14ac:dyDescent="0.4">
      <c r="B23" s="9" t="s">
        <v>316</v>
      </c>
      <c r="C23" s="10">
        <v>4</v>
      </c>
      <c r="D23" s="10" t="s">
        <v>25</v>
      </c>
      <c r="E23" s="10" t="s">
        <v>121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5.4700988000000006</v>
      </c>
      <c r="L23" s="29">
        <f t="shared" ref="L23" si="23">IF(I23=0,IF(H23&gt;0,X23,Y23),Z23)</f>
        <v>6.0765000000000002</v>
      </c>
      <c r="M23" s="28">
        <f t="shared" ref="M23" si="24">I23*J23*L23</f>
        <v>151912.5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15160.029999999999</v>
      </c>
      <c r="O23" s="29">
        <f>VLOOKUP(D23,Multiplier!B:H,3,0)</f>
        <v>0.1918</v>
      </c>
      <c r="P23" s="27"/>
      <c r="Q23" s="27"/>
      <c r="R23" s="28">
        <f t="shared" ref="R23" si="25">(1-Q23)*P23*J23*H23</f>
        <v>0</v>
      </c>
      <c r="S23" s="29">
        <f t="shared" ref="S23" si="26">IF(OR(F23="Futures",F23="Spot"),IF(I23=0,0,IF(I23&gt;0,L23-O23,L23+O23)),0)</f>
        <v>5.8847000000000005</v>
      </c>
      <c r="T23" s="3">
        <f t="shared" ref="T23" si="27">IF(S23&gt;0,IF(ISNUMBER(S23/L23-1),S23/L23-1,0),0)</f>
        <v>-3.1564222825639754E-2</v>
      </c>
      <c r="U23" s="29">
        <f t="shared" ref="U23" si="28">IF(OR(F23="Futures",F23="Stocks"),IF(I23=0,0,IF(I23&gt;0,K23-P23,K23+P23)),0)</f>
        <v>5.4700988000000006</v>
      </c>
      <c r="V23" s="3">
        <f t="shared" ref="V23" si="29">IF(U23&gt;0,IF(ISNUMBER(U23/L23-1),U23/L23-1,0),0)</f>
        <v>-9.9794486957952677E-2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6.0765000000000002</v>
      </c>
      <c r="AB23" s="29"/>
    </row>
    <row r="24" spans="2:28" x14ac:dyDescent="0.4">
      <c r="B24" s="9" t="s">
        <v>322</v>
      </c>
      <c r="C24" s="10">
        <v>5</v>
      </c>
      <c r="D24" s="10" t="s">
        <v>321</v>
      </c>
      <c r="E24" s="10" t="s">
        <v>120</v>
      </c>
      <c r="F24" s="10" t="s">
        <v>6</v>
      </c>
      <c r="G24" s="28">
        <f>VLOOKUP(D24,Multiplier!B:I,8,0)</f>
        <v>1</v>
      </c>
      <c r="H24" s="11">
        <v>1</v>
      </c>
      <c r="I24" s="28">
        <f t="array" ref="I24">ROUND(SUM((Trades!V$2:V$9999)*(Trades!U$2:U$9999=Blotter!B24)*(Trades!$T$2:T$9999=Blotter!C24)),8)</f>
        <v>0</v>
      </c>
      <c r="J24" s="28">
        <f>VLOOKUP(D24,Multiplier!B:D,2,0)</f>
        <v>5</v>
      </c>
      <c r="K24" s="29">
        <f t="shared" ref="K24" si="30">L24-N24/(H24*J24)</f>
        <v>42402.741714285716</v>
      </c>
      <c r="L24" s="29">
        <f t="shared" ref="L24" si="31">IF(I24=0,IF(H24&gt;0,X24,Y24),Z24)</f>
        <v>52679.285714285717</v>
      </c>
      <c r="M24" s="28">
        <f t="shared" ref="M24" si="32">I24*J24*L24</f>
        <v>0</v>
      </c>
      <c r="N24" s="95">
        <f t="array" ref="N24">-SUM((Trades!T$2:T$9999=Blotter!C24)*(Trades!U$2:U$9999=Blotter!B24)*(Trades!V$2:V$9999)*(Trades!W$2:W$9999))*J24+SUM((Trades!T$2:T$9999=Blotter!C24)*(Trades!U$2:U$9999=Blotter!B24)*(Trades!X$2:X$9999))+(L24*I24)*J24</f>
        <v>51382.720000000001</v>
      </c>
      <c r="O24" s="29">
        <f>VLOOKUP(D24,Multiplier!B:H,3,0)</f>
        <v>1749</v>
      </c>
      <c r="P24" s="27"/>
      <c r="Q24" s="27"/>
      <c r="R24" s="28">
        <f t="shared" ref="R24" si="33">(1-Q24)*P24*J24*H24</f>
        <v>0</v>
      </c>
      <c r="S24" s="29">
        <f t="shared" ref="S24" si="34">IF(OR(F24="Futures",F24="Spot"),IF(I24=0,0,IF(I24&gt;0,L24-O24,L24+O24)),0)</f>
        <v>0</v>
      </c>
      <c r="T24" s="3">
        <f t="shared" ref="T24" si="35">IF(S24&gt;0,IF(ISNUMBER(S24/L24-1),S24/L24-1,0),0)</f>
        <v>0</v>
      </c>
      <c r="U24" s="29">
        <f t="shared" ref="U24" si="36">IF(OR(F24="Futures",F24="Stocks"),IF(I24=0,0,IF(I24&gt;0,K24-P24,K24+P24)),0)</f>
        <v>0</v>
      </c>
      <c r="V24" s="3">
        <f t="shared" ref="V24" si="37">IF(U24&gt;0,IF(ISNUMBER(U24/L24-1),U24/L24-1,0),0)</f>
        <v>0</v>
      </c>
      <c r="X24" s="34">
        <f t="array" ref="X24">IF(ISNUMBER(SUM((Trades!T$2:T$9999=Blotter!C24)*(Trades!U$2:U$9999=Blotter!B24)*(Trades!W$2:W$9999)*(Trades!V$2:V$9999)*(Trades!V$2:V$9999&lt;0))/SUM((Trades!T$2:T$9999=Blotter!C24)*(Trades!U$2:U$9999=Blotter!B24)*(Trades!V$2:V$9999)*(Trades!V$2:V$9999&lt;0))),SUM((Trades!T$2:T$9999=Blotter!C24)*(Trades!U$2:U$9999=Blotter!B24)*(Trades!W$2:W$9999)*(Trades!V$2:V$9999)*(Trades!V$2:V$9999&lt;0))/SUM((Trades!T$2:T$9999=Blotter!C24)*(Trades!U$2:U$9999=Blotter!B24)*(Trades!V$2:V$9999)*(Trades!V$2:V$9999&lt;0)),0)</f>
        <v>52679.285714285717</v>
      </c>
      <c r="Y24" s="34">
        <f t="array" ref="Y24">IF(ISNUMBER(SUM((Trades!T$2:T$9999=Blotter!C24)*(Trades!U$2:U$9999=Blotter!B24)*(Trades!W$2:W$9999)*(Trades!V$2:V$9999)*(Trades!V$2:V$9999&gt;0))/SUM((Trades!T$2:T$9999=Blotter!C24)*(Trades!U$2:U$9999=Blotter!B24)*(Trades!V$2:V$9999)*(Trades!V$2:V$9999&gt;0))),SUM((Trades!T$2:T$9999=Blotter!C24)*(Trades!U$2:U$9999=Blotter!B24)*(Trades!W$2:W$9999)*(Trades!V$2:V$9999)*(Trades!V$2:V$9999&gt;0))/SUM((Trades!T$2:T$9999=Blotter!C24)*(Trades!U$2:U$9999=Blotter!B24)*(Trades!V$2:V$9999)*(Trades!V$2:V$9999&gt;0)),0)</f>
        <v>51210</v>
      </c>
      <c r="Z24" s="35">
        <f>IF(C$2="Last",IF(ISNUMBER(VLOOKUP(B24,Prices!A:L,8,0)),VLOOKUP(B24,Prices!A:L,8,0),0),IF(ISNUMBER(VLOOKUP(B24,Prices!A:L,12,0)),VLOOKUP(B24,Prices!A:L,12,0),0))</f>
        <v>59350</v>
      </c>
      <c r="AB24" s="29"/>
    </row>
    <row r="25" spans="2:28" x14ac:dyDescent="0.4">
      <c r="B25" s="9" t="s">
        <v>325</v>
      </c>
      <c r="C25" s="10">
        <v>6</v>
      </c>
      <c r="D25" s="10" t="s">
        <v>26</v>
      </c>
      <c r="E25" s="10" t="s">
        <v>121</v>
      </c>
      <c r="F25" s="10" t="s">
        <v>83</v>
      </c>
      <c r="G25" s="28">
        <f>VLOOKUP(D25,Multiplier!B:I,8,0)</f>
        <v>0</v>
      </c>
      <c r="H25" s="11">
        <v>-1</v>
      </c>
      <c r="I25" s="28">
        <f t="array" ref="I25">ROUND(SUM((Trades!V$2:V$9999)*(Trades!U$2:U$9999=Blotter!B25)*(Trades!$T$2:T$9999=Blotter!C25)),8)</f>
        <v>-1</v>
      </c>
      <c r="J25" s="28">
        <f>VLOOKUP(D25,Multiplier!B:D,2,0)</f>
        <v>100</v>
      </c>
      <c r="K25" s="29">
        <f t="shared" ref="K25:K26" si="38">L25-N25/(H25*J25)</f>
        <v>26.3748</v>
      </c>
      <c r="L25" s="29">
        <f t="shared" ref="L25:L26" si="39">IF(I25=0,IF(H25&gt;0,X25,Y25),Z25)</f>
        <v>12.6</v>
      </c>
      <c r="M25" s="28">
        <f t="shared" ref="M25:M26" si="40">I25*J25*L25</f>
        <v>-1260</v>
      </c>
      <c r="N25" s="95">
        <f t="array" ref="N25">-SUM((Trades!T$2:T$9999=Blotter!C25)*(Trades!U$2:U$9999=Blotter!B25)*(Trades!V$2:V$9999)*(Trades!W$2:W$9999))*J25+SUM((Trades!T$2:T$9999=Blotter!C25)*(Trades!U$2:U$9999=Blotter!B25)*(Trades!X$2:X$9999))+(L25*I25)*J25</f>
        <v>1377.48</v>
      </c>
      <c r="O25" s="29">
        <f>VLOOKUP(D25,Multiplier!B:H,3,0)</f>
        <v>185.2</v>
      </c>
      <c r="P25" s="27">
        <v>26.37</v>
      </c>
      <c r="Q25" s="27"/>
      <c r="R25" s="28">
        <f t="shared" ref="R25:R26" si="41">(1-Q25)*P25*J25*H25</f>
        <v>-2637</v>
      </c>
      <c r="S25" s="29">
        <f t="shared" ref="S25:S26" si="42">IF(OR(F25="Futures",F25="Spot"),IF(I25=0,0,IF(I25&gt;0,L25-O25,L25+O25)),0)</f>
        <v>0</v>
      </c>
      <c r="T25" s="3">
        <f t="shared" ref="T25:T26" si="43">IF(S25&gt;0,IF(ISNUMBER(S25/L25-1),S25/L25-1,0),0)</f>
        <v>0</v>
      </c>
      <c r="U25" s="29">
        <f t="shared" ref="U25:U26" si="44">IF(OR(F25="Futures",F25="Stocks"),IF(I25=0,0,IF(I25&gt;0,K25-P25,K25+P25)),0)</f>
        <v>0</v>
      </c>
      <c r="V25" s="3">
        <f t="shared" ref="V25:V26" si="45">IF(U25&gt;0,IF(ISNUMBER(U25/L25-1),U25/L25-1,0),0)</f>
        <v>0</v>
      </c>
      <c r="X25" s="34">
        <f t="array" ref="X25">IF(ISNUMBER(SUM((Trades!T$2:T$9999=Blotter!C25)*(Trades!U$2:U$9999=Blotter!B25)*(Trades!W$2:W$9999)*(Trades!V$2:V$9999)*(Trades!V$2:V$9999&lt;0))/SUM((Trades!T$2:T$9999=Blotter!C25)*(Trades!U$2:U$9999=Blotter!B25)*(Trades!V$2:V$9999)*(Trades!V$2:V$9999&lt;0))),SUM((Trades!T$2:T$9999=Blotter!C25)*(Trades!U$2:U$9999=Blotter!B25)*(Trades!W$2:W$9999)*(Trades!V$2:V$9999)*(Trades!V$2:V$9999&lt;0))/SUM((Trades!T$2:T$9999=Blotter!C25)*(Trades!U$2:U$9999=Blotter!B25)*(Trades!V$2:V$9999)*(Trades!V$2:V$9999&lt;0)),0)</f>
        <v>26.4</v>
      </c>
      <c r="Y25" s="34">
        <f t="array" ref="Y25">IF(ISNUMBER(SUM((Trades!T$2:T$9999=Blotter!C25)*(Trades!U$2:U$9999=Blotter!B25)*(Trades!W$2:W$9999)*(Trades!V$2:V$9999)*(Trades!V$2:V$9999&gt;0))/SUM((Trades!T$2:T$9999=Blotter!C25)*(Trades!U$2:U$9999=Blotter!B25)*(Trades!V$2:V$9999)*(Trades!V$2:V$9999&gt;0))),SUM((Trades!T$2:T$9999=Blotter!C25)*(Trades!U$2:U$9999=Blotter!B25)*(Trades!W$2:W$9999)*(Trades!V$2:V$9999)*(Trades!V$2:V$9999&gt;0))/SUM((Trades!T$2:T$9999=Blotter!C25)*(Trades!U$2:U$9999=Blotter!B25)*(Trades!V$2:V$9999)*(Trades!V$2:V$9999&gt;0)),0)</f>
        <v>0</v>
      </c>
      <c r="Z25" s="35">
        <f>IF(C$2="Last",IF(ISNUMBER(VLOOKUP(B25,Prices!A:L,8,0)),VLOOKUP(B25,Prices!A:L,8,0),0),IF(ISNUMBER(VLOOKUP(B25,Prices!A:L,12,0)),VLOOKUP(B25,Prices!A:L,12,0),0))</f>
        <v>12.6</v>
      </c>
      <c r="AB25" s="29"/>
    </row>
    <row r="26" spans="2:28" x14ac:dyDescent="0.4">
      <c r="B26" s="9" t="s">
        <v>326</v>
      </c>
      <c r="C26" s="10">
        <v>6</v>
      </c>
      <c r="D26" s="10" t="s">
        <v>26</v>
      </c>
      <c r="E26" s="10" t="s">
        <v>121</v>
      </c>
      <c r="F26" s="10" t="s">
        <v>83</v>
      </c>
      <c r="G26" s="28">
        <f>VLOOKUP(D26,Multiplier!B:I,8,0)</f>
        <v>0</v>
      </c>
      <c r="H26" s="11">
        <v>1</v>
      </c>
      <c r="I26" s="28">
        <f t="array" ref="I26">ROUND(SUM((Trades!V$2:V$9999)*(Trades!U$2:U$9999=Blotter!B26)*(Trades!$T$2:T$9999=Blotter!C26)),8)</f>
        <v>1</v>
      </c>
      <c r="J26" s="28">
        <f>VLOOKUP(D26,Multiplier!B:D,2,0)</f>
        <v>100</v>
      </c>
      <c r="K26" s="29">
        <f t="shared" si="38"/>
        <v>125.4252</v>
      </c>
      <c r="L26" s="29">
        <f t="shared" si="39"/>
        <v>101.5</v>
      </c>
      <c r="M26" s="28">
        <f t="shared" si="40"/>
        <v>10150</v>
      </c>
      <c r="N26" s="95">
        <f t="array" ref="N26">-SUM((Trades!T$2:T$9999=Blotter!C26)*(Trades!U$2:U$9999=Blotter!B26)*(Trades!V$2:V$9999)*(Trades!W$2:W$9999))*J26+SUM((Trades!T$2:T$9999=Blotter!C26)*(Trades!U$2:U$9999=Blotter!B26)*(Trades!X$2:X$9999))+(L26*I26)*J26</f>
        <v>-2392.5200000000004</v>
      </c>
      <c r="O26" s="29">
        <f>VLOOKUP(D26,Multiplier!B:H,3,0)</f>
        <v>185.2</v>
      </c>
      <c r="P26" s="27">
        <v>125.43</v>
      </c>
      <c r="Q26" s="27"/>
      <c r="R26" s="28">
        <f t="shared" si="41"/>
        <v>12543</v>
      </c>
      <c r="S26" s="29">
        <f t="shared" si="42"/>
        <v>0</v>
      </c>
      <c r="T26" s="3">
        <f t="shared" si="43"/>
        <v>0</v>
      </c>
      <c r="U26" s="29">
        <f t="shared" si="44"/>
        <v>0</v>
      </c>
      <c r="V26" s="3">
        <f t="shared" si="45"/>
        <v>0</v>
      </c>
      <c r="X26" s="34">
        <f t="array" ref="X26">IF(ISNUMBER(SUM((Trades!T$2:T$9999=Blotter!C26)*(Trades!U$2:U$9999=Blotter!B26)*(Trades!W$2:W$9999)*(Trades!V$2:V$9999)*(Trades!V$2:V$9999&lt;0))/SUM((Trades!T$2:T$9999=Blotter!C26)*(Trades!U$2:U$9999=Blotter!B26)*(Trades!V$2:V$9999)*(Trades!V$2:V$9999&lt;0))),SUM((Trades!T$2:T$9999=Blotter!C26)*(Trades!U$2:U$9999=Blotter!B26)*(Trades!W$2:W$9999)*(Trades!V$2:V$9999)*(Trades!V$2:V$9999&lt;0))/SUM((Trades!T$2:T$9999=Blotter!C26)*(Trades!U$2:U$9999=Blotter!B26)*(Trades!V$2:V$9999)*(Trades!V$2:V$9999&lt;0)),0)</f>
        <v>0</v>
      </c>
      <c r="Y26" s="34">
        <f t="array" ref="Y26">IF(ISNUMBER(SUM((Trades!T$2:T$9999=Blotter!C26)*(Trades!U$2:U$9999=Blotter!B26)*(Trades!W$2:W$9999)*(Trades!V$2:V$9999)*(Trades!V$2:V$9999&gt;0))/SUM((Trades!T$2:T$9999=Blotter!C26)*(Trades!U$2:U$9999=Blotter!B26)*(Trades!V$2:V$9999)*(Trades!V$2:V$9999&gt;0))),SUM((Trades!T$2:T$9999=Blotter!C26)*(Trades!U$2:U$9999=Blotter!B26)*(Trades!W$2:W$9999)*(Trades!V$2:V$9999)*(Trades!V$2:V$9999&gt;0))/SUM((Trades!T$2:T$9999=Blotter!C26)*(Trades!U$2:U$9999=Blotter!B26)*(Trades!V$2:V$9999)*(Trades!V$2:V$9999&gt;0)),0)</f>
        <v>125.4</v>
      </c>
      <c r="Z26" s="35">
        <f>IF(C$2="Last",IF(ISNUMBER(VLOOKUP(B26,Prices!A:L,8,0)),VLOOKUP(B26,Prices!A:L,8,0),0),IF(ISNUMBER(VLOOKUP(B26,Prices!A:L,12,0)),VLOOKUP(B26,Prices!A:L,12,0),0))</f>
        <v>101.5</v>
      </c>
      <c r="AB26" s="29"/>
    </row>
    <row r="27" spans="2:28" x14ac:dyDescent="0.4">
      <c r="B27" s="9" t="s">
        <v>267</v>
      </c>
      <c r="C27" s="10">
        <v>7</v>
      </c>
      <c r="D27" s="10" t="s">
        <v>42</v>
      </c>
      <c r="E27" s="10" t="s">
        <v>20</v>
      </c>
      <c r="F27" s="10" t="s">
        <v>6</v>
      </c>
      <c r="G27" s="28">
        <f>VLOOKUP(D27,Multiplier!B:I,8,0)</f>
        <v>8</v>
      </c>
      <c r="H27" s="11">
        <v>5</v>
      </c>
      <c r="I27" s="28">
        <f t="array" ref="I27">ROUND(SUM((Trades!V$2:V$9999)*(Trades!U$2:U$9999=Blotter!B27)*(Trades!$T$2:T$9999=Blotter!C27)),8)</f>
        <v>5</v>
      </c>
      <c r="J27" s="28">
        <f>VLOOKUP(D27,Multiplier!B:D,2,0)</f>
        <v>125000</v>
      </c>
      <c r="K27" s="99">
        <f t="shared" ref="K27" si="46">L27-N27/(H27*J27)</f>
        <v>1.1721697599999998</v>
      </c>
      <c r="L27" s="99">
        <f t="shared" ref="L27" si="47">IF(I27=0,IF(H27&gt;0,X27,Y27),Z27)</f>
        <v>1.1812</v>
      </c>
      <c r="M27" s="28">
        <f t="shared" ref="M27" si="48">I27*J27*L27</f>
        <v>738250</v>
      </c>
      <c r="N27" s="95">
        <f t="array" ref="N27">-SUM((Trades!T$2:T$9999=Blotter!C27)*(Trades!U$2:U$9999=Blotter!B27)*(Trades!V$2:V$9999)*(Trades!W$2:W$9999))*J27+SUM((Trades!T$2:T$9999=Blotter!C27)*(Trades!U$2:U$9999=Blotter!B27)*(Trades!X$2:X$9999))+(L27*I27)*J27</f>
        <v>5643.9000000001397</v>
      </c>
      <c r="O27" s="46">
        <f>VLOOKUP(D27,Multiplier!B:H,3,0)</f>
        <v>9.4500000000000001E-3</v>
      </c>
      <c r="P27" s="98">
        <f>0.00945*1.5</f>
        <v>1.4175E-2</v>
      </c>
      <c r="Q27" s="27"/>
      <c r="R27" s="28">
        <f t="shared" ref="R27" si="49">(1-Q27)*P27*J27*H27</f>
        <v>8859.375</v>
      </c>
      <c r="S27" s="29">
        <f t="shared" ref="S27" si="50">IF(OR(F27="Futures",F27="Spot"),IF(I27=0,0,IF(I27&gt;0,L27-O27,L27+O27)),0)</f>
        <v>1.1717500000000001</v>
      </c>
      <c r="T27" s="3">
        <f t="shared" ref="T27" si="51">IF(S27&gt;0,IF(ISNUMBER(S27/L27-1),S27/L27-1,0),0)</f>
        <v>-8.000338638672555E-3</v>
      </c>
      <c r="U27" s="99">
        <f t="shared" ref="U27" si="52">IF(OR(F27="Futures",F27="Stocks"),IF(I27=0,0,IF(I27&gt;0,K27-P27,K27+P27)),0)</f>
        <v>1.1579947599999998</v>
      </c>
      <c r="V27" s="3">
        <f t="shared" ref="V27" si="53">IF(U27&gt;0,IF(ISNUMBER(U27/L27-1),U27/L27-1,0),0)</f>
        <v>-1.9645479173721836E-2</v>
      </c>
      <c r="X27" s="34">
        <f t="array" ref="X27">IF(ISNUMBER(SUM((Trades!T$2:T$9999=Blotter!C27)*(Trades!U$2:U$9999=Blotter!B27)*(Trades!W$2:W$9999)*(Trades!V$2:V$9999)*(Trades!V$2:V$9999&lt;0))/SUM((Trades!T$2:T$9999=Blotter!C27)*(Trades!U$2:U$9999=Blotter!B27)*(Trades!V$2:V$9999)*(Trades!V$2:V$9999&lt;0))),SUM((Trades!T$2:T$9999=Blotter!C27)*(Trades!U$2:U$9999=Blotter!B27)*(Trades!W$2:W$9999)*(Trades!V$2:V$9999)*(Trades!V$2:V$9999&lt;0))/SUM((Trades!T$2:T$9999=Blotter!C27)*(Trades!U$2:U$9999=Blotter!B27)*(Trades!V$2:V$9999)*(Trades!V$2:V$9999&lt;0)),0)</f>
        <v>0</v>
      </c>
      <c r="Y27" s="34">
        <f t="array" ref="Y27">IF(ISNUMBER(SUM((Trades!T$2:T$9999=Blotter!C27)*(Trades!U$2:U$9999=Blotter!B27)*(Trades!W$2:W$9999)*(Trades!V$2:V$9999)*(Trades!V$2:V$9999&gt;0))/SUM((Trades!T$2:T$9999=Blotter!C27)*(Trades!U$2:U$9999=Blotter!B27)*(Trades!V$2:V$9999)*(Trades!V$2:V$9999&gt;0))),SUM((Trades!T$2:T$9999=Blotter!C27)*(Trades!U$2:U$9999=Blotter!B27)*(Trades!W$2:W$9999)*(Trades!V$2:V$9999)*(Trades!V$2:V$9999&gt;0))/SUM((Trades!T$2:T$9999=Blotter!C27)*(Trades!U$2:U$9999=Blotter!B27)*(Trades!V$2:V$9999)*(Trades!V$2:V$9999&gt;0)),0)</f>
        <v>1.17215</v>
      </c>
      <c r="Z27" s="35">
        <f>IF(C$2="Last",IF(ISNUMBER(VLOOKUP(B27,Prices!A:L,8,0)),VLOOKUP(B27,Prices!A:L,8,0),0),IF(ISNUMBER(VLOOKUP(B27,Prices!A:L,12,0)),VLOOKUP(B27,Prices!A:L,12,0),0))</f>
        <v>1.1812</v>
      </c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A2" sqref="A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136</v>
      </c>
      <c r="D2" s="4" t="s">
        <v>48</v>
      </c>
      <c r="E2" s="4" t="s">
        <v>10</v>
      </c>
      <c r="F2" s="4" t="s">
        <v>49</v>
      </c>
      <c r="G2" s="4" t="s">
        <v>127</v>
      </c>
      <c r="H2" s="2" t="s">
        <v>135</v>
      </c>
    </row>
    <row r="3" spans="2:8" x14ac:dyDescent="0.4">
      <c r="B3" s="17" t="s">
        <v>128</v>
      </c>
      <c r="C3" s="17"/>
      <c r="D3" s="10"/>
      <c r="E3" s="10"/>
      <c r="F3" s="10"/>
      <c r="G3" s="15">
        <v>2049.7199999999998</v>
      </c>
      <c r="H3" s="6">
        <f>-G3</f>
        <v>-2049.7199999999998</v>
      </c>
    </row>
    <row r="4" spans="2:8" x14ac:dyDescent="0.4">
      <c r="B4" s="17" t="s">
        <v>129</v>
      </c>
      <c r="C4" s="17"/>
      <c r="D4" s="10"/>
      <c r="E4" s="10"/>
      <c r="F4" s="10"/>
      <c r="G4" s="15">
        <v>1220.21</v>
      </c>
      <c r="H4" s="6">
        <f>-G4</f>
        <v>-1220.21</v>
      </c>
    </row>
    <row r="5" spans="2:8" x14ac:dyDescent="0.4">
      <c r="B5" s="17" t="s">
        <v>180</v>
      </c>
      <c r="C5" s="17"/>
      <c r="D5" s="10"/>
      <c r="E5" s="10"/>
      <c r="F5" s="10"/>
      <c r="G5" s="15"/>
      <c r="H5" s="6"/>
    </row>
    <row r="6" spans="2:8" x14ac:dyDescent="0.4">
      <c r="B6" s="17" t="s">
        <v>149</v>
      </c>
      <c r="C6" s="17"/>
      <c r="D6" s="10"/>
      <c r="E6" s="10"/>
      <c r="F6" s="10"/>
      <c r="G6" s="15"/>
      <c r="H6" s="6"/>
    </row>
    <row r="7" spans="2:8" x14ac:dyDescent="0.4">
      <c r="B7" s="17" t="s">
        <v>145</v>
      </c>
      <c r="C7" s="17"/>
      <c r="D7" s="10"/>
      <c r="E7" s="10"/>
      <c r="F7" s="10"/>
      <c r="G7" s="15"/>
      <c r="H7" s="6"/>
    </row>
    <row r="8" spans="2:8" x14ac:dyDescent="0.4">
      <c r="B8" s="17" t="s">
        <v>146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179</v>
      </c>
      <c r="C9" s="62"/>
      <c r="D9" s="27"/>
      <c r="E9" s="11"/>
      <c r="F9" s="29"/>
      <c r="G9" s="6"/>
      <c r="H9" s="6"/>
    </row>
    <row r="10" spans="2:8" x14ac:dyDescent="0.4">
      <c r="B10" s="17" t="s">
        <v>148</v>
      </c>
      <c r="C10" s="62"/>
      <c r="D10" s="27"/>
      <c r="E10" s="10"/>
      <c r="F10" s="29"/>
      <c r="G10" s="6"/>
      <c r="H10" s="6"/>
    </row>
    <row r="11" spans="2:8" x14ac:dyDescent="0.4">
      <c r="B11" s="17" t="s">
        <v>144</v>
      </c>
      <c r="C11" s="62"/>
      <c r="D11" s="27"/>
      <c r="E11" s="11"/>
      <c r="F11" s="29"/>
      <c r="G11" s="6"/>
      <c r="H11" s="6"/>
    </row>
    <row r="12" spans="2:8" x14ac:dyDescent="0.4">
      <c r="B12" s="52" t="s">
        <v>126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125</v>
      </c>
      <c r="C13" s="17"/>
      <c r="D13" s="10"/>
      <c r="E13" s="10"/>
      <c r="F13" s="10"/>
      <c r="G13" s="6">
        <f>SUM(G3:G12)</f>
        <v>4569.9299999999548</v>
      </c>
      <c r="H13" s="6">
        <f>SUM(H3:H12)</f>
        <v>33030.069999999956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158</v>
      </c>
      <c r="C2" s="4" t="s">
        <v>159</v>
      </c>
      <c r="D2" s="4" t="s">
        <v>160</v>
      </c>
      <c r="E2" s="4" t="s">
        <v>165</v>
      </c>
      <c r="F2" s="4" t="s">
        <v>161</v>
      </c>
      <c r="G2" s="4" t="s">
        <v>167</v>
      </c>
      <c r="H2" s="4" t="s">
        <v>162</v>
      </c>
      <c r="I2" s="4" t="s">
        <v>52</v>
      </c>
      <c r="J2" s="4" t="s">
        <v>166</v>
      </c>
      <c r="K2" s="4" t="s">
        <v>163</v>
      </c>
      <c r="L2" s="4" t="s">
        <v>143</v>
      </c>
      <c r="M2" s="4" t="s">
        <v>170</v>
      </c>
      <c r="N2" s="4" t="s">
        <v>171</v>
      </c>
      <c r="O2" s="4" t="s">
        <v>164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67">
        <v>28744.450632010939</v>
      </c>
      <c r="J5" s="70">
        <f t="shared" si="2"/>
        <v>1028744.4506320109</v>
      </c>
      <c r="K5" s="70">
        <f t="shared" si="3"/>
        <v>1000</v>
      </c>
      <c r="L5" s="71">
        <f t="shared" si="4"/>
        <v>1028.744450632011</v>
      </c>
      <c r="M5" s="72">
        <f t="shared" si="5"/>
        <v>2.8744450632010921E-2</v>
      </c>
      <c r="N5" s="73">
        <f t="shared" ref="N5" si="6">L5/L4-1</f>
        <v>2.8744450632010921E-2</v>
      </c>
      <c r="O5" s="75">
        <f>STDEVP(N$4:N5)*SQRT(12)</f>
        <v>4.9786848930298236E-2</v>
      </c>
    </row>
    <row r="6" spans="2:18" ht="14.25" x14ac:dyDescent="0.4">
      <c r="B6" s="76">
        <v>46142</v>
      </c>
      <c r="C6" s="67"/>
      <c r="D6" s="70">
        <f t="shared" ref="D6" si="7">C6*L5</f>
        <v>0</v>
      </c>
      <c r="E6" s="70">
        <f t="shared" ref="E6" si="8">J5+D6</f>
        <v>1028744.4506320109</v>
      </c>
      <c r="F6" s="67"/>
      <c r="G6" s="67"/>
      <c r="H6" s="67"/>
      <c r="I6" s="70">
        <f>Blotter!C$4-SUM(NAV!I$4:I5)</f>
        <v>66620.240000000151</v>
      </c>
      <c r="J6" s="70">
        <f t="shared" ref="J6" si="9">E6-F6-G6-H6+I6</f>
        <v>1095364.690632011</v>
      </c>
      <c r="K6" s="70">
        <f t="shared" ref="K6" si="10">K5+C6</f>
        <v>1000</v>
      </c>
      <c r="L6" s="71">
        <f t="shared" ref="L6" si="11">J6/K6</f>
        <v>1095.3646906320109</v>
      </c>
      <c r="M6" s="72">
        <f t="shared" ref="M6" si="12">L6/$L$3-1</f>
        <v>9.5364690632010918E-2</v>
      </c>
      <c r="N6" s="73">
        <f t="shared" ref="N6" si="13">L6/L5-1</f>
        <v>6.4758784321093277E-2</v>
      </c>
      <c r="O6" s="75">
        <f>STDEVP(N$4:N6)*SQRT(12)</f>
        <v>9.177491174934875E-2</v>
      </c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D4" sqref="D4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150</v>
      </c>
      <c r="I2" s="8" t="s">
        <v>154</v>
      </c>
      <c r="J2" s="8" t="s">
        <v>151</v>
      </c>
      <c r="K2" s="8" t="s">
        <v>155</v>
      </c>
      <c r="L2" s="8" t="s">
        <v>156</v>
      </c>
      <c r="M2" s="4" t="s">
        <v>152</v>
      </c>
      <c r="N2" s="8" t="s">
        <v>154</v>
      </c>
      <c r="O2" s="4" t="s">
        <v>153</v>
      </c>
      <c r="P2" s="4" t="s">
        <v>157</v>
      </c>
      <c r="Q2" s="4" t="s">
        <v>53</v>
      </c>
      <c r="R2" s="4" t="s">
        <v>84</v>
      </c>
      <c r="T2" s="38" t="s">
        <v>8</v>
      </c>
      <c r="U2" s="4" t="s">
        <v>0</v>
      </c>
      <c r="V2" s="38" t="s">
        <v>2</v>
      </c>
      <c r="W2" s="38" t="s">
        <v>122</v>
      </c>
      <c r="X2" s="38" t="s">
        <v>123</v>
      </c>
      <c r="Y2" s="12"/>
      <c r="Z2" s="38" t="s">
        <v>2</v>
      </c>
      <c r="AA2" s="38" t="s">
        <v>122</v>
      </c>
      <c r="AB2" s="38" t="s">
        <v>123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 t="shared" ref="J3:J8" si="0"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 t="shared" ref="O3:O8" si="1"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 t="shared" ref="C4:C10" si="2">C3+1</f>
        <v>1</v>
      </c>
      <c r="D4" s="6">
        <f t="array" ref="D4">SUM((Blotter!C$19:C$1013=C4)*(Blotter!N$19:N$1013)*1)</f>
        <v>22185.190632010999</v>
      </c>
      <c r="E4" s="6">
        <f t="array" ref="E4">SUM((Blotter!B$19:C$1013=C4)*(Blotter!R$19:R$1013)*1)</f>
        <v>-10500</v>
      </c>
      <c r="F4" s="30">
        <f t="shared" ref="F4" si="3">IF(ISNUMBER(D4/E4),D4/E4,0)</f>
        <v>-2.1128752982867618</v>
      </c>
      <c r="G4" s="36" t="str">
        <f t="array" ref="G4">IF(SUM((Blotter!C$19:C$1013=PLB!C4)*(Blotter!M$19:M$1013))=0,"C","O")</f>
        <v>O</v>
      </c>
      <c r="H4" s="16">
        <f t="shared" ref="H4:H9" si="4">J3+D4</f>
        <v>1022185.190632011</v>
      </c>
      <c r="I4" s="16"/>
      <c r="J4" s="16">
        <f t="shared" si="0"/>
        <v>1022185.190632011</v>
      </c>
      <c r="K4" s="3">
        <f t="shared" ref="K4:K9" si="5">H4/J3-1</f>
        <v>2.2185190632010965E-2</v>
      </c>
      <c r="L4" s="3">
        <f t="shared" ref="L4:L9" si="6">(1+K4)*(1+L3)-1</f>
        <v>2.2185190632010965E-2</v>
      </c>
      <c r="M4" s="6">
        <f>O3-IF(G4="O",E4,-D4)</f>
        <v>1010500</v>
      </c>
      <c r="N4" s="16">
        <f t="shared" ref="N4:N9" si="7">I4</f>
        <v>0</v>
      </c>
      <c r="O4" s="6">
        <f t="shared" si="1"/>
        <v>1010500</v>
      </c>
      <c r="P4" s="3">
        <f t="shared" ref="P4:P9" si="8">M4/O3-1</f>
        <v>1.0499999999999954E-2</v>
      </c>
      <c r="Q4" s="3">
        <f t="shared" ref="Q4:Q9" si="9">(1+P4)*(1+Q3)-1</f>
        <v>1.0499999999999954E-2</v>
      </c>
      <c r="R4" s="3">
        <f t="shared" ref="R4:R10" si="10">(1-1%)*(1+R3)-1</f>
        <v>-1.0000000000000009E-2</v>
      </c>
      <c r="T4" s="40">
        <f>B4</f>
        <v>46088</v>
      </c>
      <c r="U4" s="5">
        <f>C4</f>
        <v>1</v>
      </c>
      <c r="V4" s="1" t="s">
        <v>306</v>
      </c>
      <c r="W4" s="1" t="s">
        <v>297</v>
      </c>
      <c r="X4" s="1" t="s">
        <v>298</v>
      </c>
    </row>
    <row r="5" spans="2:28" x14ac:dyDescent="0.4">
      <c r="B5" s="40">
        <f t="shared" ref="B5:B10" si="11">B4+7</f>
        <v>46095</v>
      </c>
      <c r="C5" s="5">
        <f t="shared" si="2"/>
        <v>2</v>
      </c>
      <c r="D5" s="6">
        <f t="array" ref="D5">SUM((Blotter!C$19:C$1013=C5)*(Blotter!N$19:N$1013)*1)</f>
        <v>962.18</v>
      </c>
      <c r="E5" s="6">
        <f t="array" ref="E5">SUM((Blotter!B$19:C$1013=C5)*(Blotter!R$19:R$1013)*1)</f>
        <v>0</v>
      </c>
      <c r="F5" s="30">
        <f t="shared" ref="F5" si="12">IF(ISNUMBER(D5/E5),D5/E5,0)</f>
        <v>0</v>
      </c>
      <c r="G5" s="36" t="str">
        <f t="array" ref="G5">IF(SUM((Blotter!C$19:C$1013=PLB!C5)*(Blotter!M$19:M$1013))=0,"C","O")</f>
        <v>C</v>
      </c>
      <c r="H5" s="16">
        <f t="shared" si="4"/>
        <v>1023147.3706320111</v>
      </c>
      <c r="I5" s="16"/>
      <c r="J5" s="16">
        <f t="shared" si="0"/>
        <v>1023147.3706320111</v>
      </c>
      <c r="K5" s="3">
        <f t="shared" si="5"/>
        <v>9.4129714343171855E-4</v>
      </c>
      <c r="L5" s="3">
        <f t="shared" si="6"/>
        <v>2.3147370632011111E-2</v>
      </c>
      <c r="M5" s="6">
        <f t="shared" ref="M5:M8" si="13">O4-IF(G5="O",E5,-D5)</f>
        <v>1011462.18</v>
      </c>
      <c r="N5" s="16">
        <f t="shared" si="7"/>
        <v>0</v>
      </c>
      <c r="O5" s="6">
        <f t="shared" si="1"/>
        <v>1011462.18</v>
      </c>
      <c r="P5" s="3">
        <f t="shared" si="8"/>
        <v>9.5218208807534843E-4</v>
      </c>
      <c r="Q5" s="3">
        <f t="shared" si="9"/>
        <v>1.14621800000001E-2</v>
      </c>
      <c r="R5" s="3">
        <f t="shared" si="10"/>
        <v>-1.9900000000000029E-2</v>
      </c>
      <c r="T5" s="40">
        <f t="shared" ref="T5" si="14">B5</f>
        <v>46095</v>
      </c>
      <c r="U5" s="5">
        <f t="shared" ref="U5" si="15">C5</f>
        <v>2</v>
      </c>
      <c r="V5" s="1" t="s">
        <v>307</v>
      </c>
      <c r="W5" s="1" t="s">
        <v>299</v>
      </c>
      <c r="X5" s="1" t="s">
        <v>300</v>
      </c>
    </row>
    <row r="6" spans="2:28" x14ac:dyDescent="0.4">
      <c r="B6" s="40">
        <f t="shared" si="11"/>
        <v>46102</v>
      </c>
      <c r="C6" s="5">
        <f t="shared" si="2"/>
        <v>3</v>
      </c>
      <c r="D6" s="6">
        <f t="array" ref="D6">SUM((Blotter!C$19:C$1013=C6)*(Blotter!N$19:N$1013)*1)</f>
        <v>-3524.2200000000025</v>
      </c>
      <c r="E6" s="6">
        <f t="array" ref="E6">SUM((Blotter!B$19:C$1013=C6)*(Blotter!R$19:R$1013)*1)</f>
        <v>9584.220000000003</v>
      </c>
      <c r="F6" s="30">
        <f t="shared" ref="F6" si="16">IF(ISNUMBER(D6/E6),D6/E6,0)</f>
        <v>-0.3677106744210798</v>
      </c>
      <c r="G6" s="36" t="str">
        <f t="array" ref="G6">IF(SUM((Blotter!C$19:C$1013=PLB!C6)*(Blotter!M$19:M$1013))=0,"C","O")</f>
        <v>O</v>
      </c>
      <c r="H6" s="16">
        <f t="shared" si="4"/>
        <v>1019623.1506320111</v>
      </c>
      <c r="I6" s="16"/>
      <c r="J6" s="16">
        <f t="shared" si="0"/>
        <v>1019623.1506320111</v>
      </c>
      <c r="K6" s="3">
        <f t="shared" si="5"/>
        <v>-3.4444891333914596E-3</v>
      </c>
      <c r="L6" s="3">
        <f t="shared" si="6"/>
        <v>1.9623150632011033E-2</v>
      </c>
      <c r="M6" s="6">
        <f t="shared" si="13"/>
        <v>1001877.9600000001</v>
      </c>
      <c r="N6" s="16">
        <f t="shared" si="7"/>
        <v>0</v>
      </c>
      <c r="O6" s="6">
        <f t="shared" si="1"/>
        <v>1001877.9600000001</v>
      </c>
      <c r="P6" s="3">
        <f t="shared" si="8"/>
        <v>-9.4756088655731929E-3</v>
      </c>
      <c r="Q6" s="3">
        <f t="shared" si="9"/>
        <v>1.8779600000000674E-3</v>
      </c>
      <c r="R6" s="3">
        <f t="shared" si="10"/>
        <v>-2.9701000000000088E-2</v>
      </c>
      <c r="T6" s="40">
        <f t="shared" ref="T6" si="17">B6</f>
        <v>46102</v>
      </c>
      <c r="U6" s="5">
        <f t="shared" ref="U6" si="18">C6</f>
        <v>3</v>
      </c>
      <c r="V6" s="1" t="s">
        <v>308</v>
      </c>
      <c r="W6" s="49" t="s">
        <v>314</v>
      </c>
      <c r="X6" s="1" t="s">
        <v>315</v>
      </c>
    </row>
    <row r="7" spans="2:28" x14ac:dyDescent="0.4">
      <c r="B7" s="40">
        <f t="shared" si="11"/>
        <v>46109</v>
      </c>
      <c r="C7" s="5">
        <f t="shared" si="2"/>
        <v>4</v>
      </c>
      <c r="D7" s="6">
        <f t="array" ref="D7">SUM((Blotter!C$19:C$1013=C7)*(Blotter!N$19:N$1013)*1)</f>
        <v>15160.029999999999</v>
      </c>
      <c r="E7" s="6">
        <f t="array" ref="E7">SUM((Blotter!B$19:C$1013=C7)*(Blotter!R$19:R$1013)*1)</f>
        <v>0</v>
      </c>
      <c r="F7" s="30">
        <f t="shared" ref="F7" si="19">IF(ISNUMBER(D7/E7),D7/E7,0)</f>
        <v>0</v>
      </c>
      <c r="G7" s="36" t="str">
        <f t="array" ref="G7">IF(SUM((Blotter!C$19:C$1013=PLB!C7)*(Blotter!M$19:M$1013))=0,"C","O")</f>
        <v>O</v>
      </c>
      <c r="H7" s="16">
        <f t="shared" si="4"/>
        <v>1034783.1806320112</v>
      </c>
      <c r="I7" s="16"/>
      <c r="J7" s="16">
        <f t="shared" si="0"/>
        <v>1034783.1806320112</v>
      </c>
      <c r="K7" s="3">
        <f t="shared" si="5"/>
        <v>1.4868267742452757E-2</v>
      </c>
      <c r="L7" s="3">
        <f t="shared" si="6"/>
        <v>3.4783180632010913E-2</v>
      </c>
      <c r="M7" s="6">
        <f t="shared" si="13"/>
        <v>1001877.9600000001</v>
      </c>
      <c r="N7" s="16">
        <f t="shared" si="7"/>
        <v>0</v>
      </c>
      <c r="O7" s="6">
        <f t="shared" si="1"/>
        <v>1001877.9600000001</v>
      </c>
      <c r="P7" s="3">
        <f t="shared" si="8"/>
        <v>0</v>
      </c>
      <c r="Q7" s="3">
        <f t="shared" si="9"/>
        <v>1.8779600000000674E-3</v>
      </c>
      <c r="R7" s="3">
        <f t="shared" si="10"/>
        <v>-3.9403990000000055E-2</v>
      </c>
      <c r="T7" s="40">
        <f t="shared" ref="T7" si="20">B7</f>
        <v>46109</v>
      </c>
      <c r="U7" s="5">
        <f t="shared" ref="U7" si="21">C7</f>
        <v>4</v>
      </c>
      <c r="V7" s="1" t="s">
        <v>317</v>
      </c>
      <c r="W7" s="1" t="s">
        <v>319</v>
      </c>
      <c r="X7" s="1" t="s">
        <v>318</v>
      </c>
    </row>
    <row r="8" spans="2:28" x14ac:dyDescent="0.4">
      <c r="B8" s="40">
        <f t="shared" si="11"/>
        <v>46116</v>
      </c>
      <c r="C8" s="5">
        <f t="shared" si="2"/>
        <v>5</v>
      </c>
      <c r="D8" s="6">
        <f t="array" ref="D8">SUM((Blotter!C$19:C$1013=C8)*(Blotter!N$19:N$1013)*1)</f>
        <v>51382.720000000001</v>
      </c>
      <c r="E8" s="6">
        <f t="array" ref="E8">SUM((Blotter!B$19:C$1013=C8)*(Blotter!R$19:R$1013)*1)</f>
        <v>0</v>
      </c>
      <c r="F8" s="30">
        <f t="shared" ref="F8" si="22">IF(ISNUMBER(D8/E8),D8/E8,0)</f>
        <v>0</v>
      </c>
      <c r="G8" s="36" t="str">
        <f t="array" ref="G8">IF(SUM((Blotter!C$19:C$1013=PLB!C8)*(Blotter!M$19:M$1013))=0,"C","O")</f>
        <v>C</v>
      </c>
      <c r="H8" s="16">
        <f t="shared" si="4"/>
        <v>1086165.9006320112</v>
      </c>
      <c r="I8" s="16"/>
      <c r="J8" s="16">
        <f t="shared" si="0"/>
        <v>1086165.9006320112</v>
      </c>
      <c r="K8" s="3">
        <f t="shared" si="5"/>
        <v>4.9655542302704747E-2</v>
      </c>
      <c r="L8" s="3">
        <f t="shared" si="6"/>
        <v>8.6165900632011017E-2</v>
      </c>
      <c r="M8" s="6">
        <f t="shared" si="13"/>
        <v>1053260.6800000002</v>
      </c>
      <c r="N8" s="16">
        <f t="shared" si="7"/>
        <v>0</v>
      </c>
      <c r="O8" s="6">
        <f t="shared" si="1"/>
        <v>1053260.6800000002</v>
      </c>
      <c r="P8" s="3">
        <f t="shared" si="8"/>
        <v>5.1286406180649058E-2</v>
      </c>
      <c r="Q8" s="3">
        <f t="shared" si="9"/>
        <v>5.3260680000000171E-2</v>
      </c>
      <c r="R8" s="3">
        <f t="shared" si="10"/>
        <v>-4.9009950100000088E-2</v>
      </c>
      <c r="T8" s="40">
        <f t="shared" ref="T8" si="23">B8</f>
        <v>46116</v>
      </c>
      <c r="U8" s="5">
        <f t="shared" ref="U8" si="24">C8</f>
        <v>5</v>
      </c>
      <c r="V8" s="1" t="s">
        <v>324</v>
      </c>
      <c r="W8" s="1" t="s">
        <v>333</v>
      </c>
      <c r="X8" s="1" t="s">
        <v>334</v>
      </c>
    </row>
    <row r="9" spans="2:28" x14ac:dyDescent="0.4">
      <c r="B9" s="40">
        <f t="shared" si="11"/>
        <v>46123</v>
      </c>
      <c r="C9" s="5">
        <f t="shared" si="2"/>
        <v>6</v>
      </c>
      <c r="D9" s="6">
        <f t="array" ref="D9">SUM((Blotter!C$19:C$1013=C9)*(Blotter!N$19:N$1013)*1)</f>
        <v>-1015.0400000000004</v>
      </c>
      <c r="E9" s="6">
        <f t="array" ref="E9">SUM((Blotter!B$19:C$1013=C9)*(Blotter!R$19:R$1013)*1)</f>
        <v>9906</v>
      </c>
      <c r="F9" s="30">
        <f t="shared" ref="F9" si="25">IF(ISNUMBER(D9/E9),D9/E9,0)</f>
        <v>-0.10246719160104992</v>
      </c>
      <c r="G9" s="36" t="str">
        <f t="array" ref="G9">IF(SUM((Blotter!C$19:C$1013=PLB!C9)*(Blotter!M$19:M$1013))=0,"C","O")</f>
        <v>O</v>
      </c>
      <c r="H9" s="16">
        <f t="shared" si="4"/>
        <v>1085150.8606320112</v>
      </c>
      <c r="I9" s="16"/>
      <c r="J9" s="16">
        <f t="shared" ref="J9" si="26">H9+I9</f>
        <v>1085150.8606320112</v>
      </c>
      <c r="K9" s="3">
        <f t="shared" si="5"/>
        <v>-9.3451654062182143E-4</v>
      </c>
      <c r="L9" s="3">
        <f t="shared" si="6"/>
        <v>8.5150860632011049E-2</v>
      </c>
      <c r="M9" s="6">
        <f t="shared" ref="M9" si="27">O8-IF(G9="O",E9,-D9)</f>
        <v>1043354.6800000002</v>
      </c>
      <c r="N9" s="16">
        <f t="shared" si="7"/>
        <v>0</v>
      </c>
      <c r="O9" s="6">
        <f t="shared" ref="O9" si="28">M9+N9</f>
        <v>1043354.6800000002</v>
      </c>
      <c r="P9" s="3">
        <f t="shared" si="8"/>
        <v>-9.4050790921008653E-3</v>
      </c>
      <c r="Q9" s="3">
        <f t="shared" si="9"/>
        <v>4.3354680000000201E-2</v>
      </c>
      <c r="R9" s="3">
        <f t="shared" si="10"/>
        <v>-5.8519850599000112E-2</v>
      </c>
      <c r="T9" s="40">
        <f t="shared" ref="T9" si="29">B9</f>
        <v>46123</v>
      </c>
      <c r="U9" s="5">
        <f t="shared" ref="U9" si="30">C9</f>
        <v>6</v>
      </c>
      <c r="V9" s="1" t="s">
        <v>329</v>
      </c>
      <c r="W9" s="49" t="s">
        <v>336</v>
      </c>
      <c r="X9" s="1" t="s">
        <v>335</v>
      </c>
    </row>
    <row r="10" spans="2:28" x14ac:dyDescent="0.4">
      <c r="B10" s="40">
        <f t="shared" si="11"/>
        <v>46130</v>
      </c>
      <c r="C10" s="5">
        <f t="shared" si="2"/>
        <v>7</v>
      </c>
      <c r="D10" s="6">
        <f t="array" ref="D10">SUM((Blotter!C$19:C$1013=C10)*(Blotter!N$19:N$1013)*1)</f>
        <v>5643.9000000001397</v>
      </c>
      <c r="E10" s="6">
        <f t="array" ref="E10">SUM((Blotter!B$19:C$1013=C10)*(Blotter!R$19:R$1013)*1)</f>
        <v>8859.375</v>
      </c>
      <c r="F10" s="30">
        <f t="shared" ref="F10" si="31">IF(ISNUMBER(D10/E10),D10/E10,0)</f>
        <v>0.63705396825398397</v>
      </c>
      <c r="G10" s="36" t="str">
        <f t="array" ref="G10">IF(SUM((Blotter!C$19:C$1013=PLB!C10)*(Blotter!M$19:M$1013))=0,"C","O")</f>
        <v>O</v>
      </c>
      <c r="H10" s="16">
        <f t="shared" ref="H10" si="32">J9+D10</f>
        <v>1090794.7606320113</v>
      </c>
      <c r="I10" s="16"/>
      <c r="J10" s="16">
        <f t="shared" ref="J10" si="33">H10+I10</f>
        <v>1090794.7606320113</v>
      </c>
      <c r="K10" s="3">
        <f t="shared" ref="K10" si="34">H10/J9-1</f>
        <v>5.2010279904428636E-3</v>
      </c>
      <c r="L10" s="3">
        <f t="shared" ref="L10" si="35">(1+K10)*(1+L9)-1</f>
        <v>9.0794760632011196E-2</v>
      </c>
      <c r="M10" s="6">
        <f t="shared" ref="M10" si="36">O9-IF(G10="O",E10,-D10)</f>
        <v>1034495.3050000002</v>
      </c>
      <c r="N10" s="16">
        <f t="shared" ref="N10" si="37">I10</f>
        <v>0</v>
      </c>
      <c r="O10" s="6">
        <f t="shared" ref="O10" si="38">M10+N10</f>
        <v>1034495.3050000002</v>
      </c>
      <c r="P10" s="3">
        <f t="shared" ref="P10" si="39">M10/O9-1</f>
        <v>-8.4912400067060911E-3</v>
      </c>
      <c r="Q10" s="3">
        <f t="shared" ref="Q10" si="40">(1+P10)*(1+Q9)-1</f>
        <v>3.4495305000000087E-2</v>
      </c>
      <c r="R10" s="3">
        <f t="shared" si="10"/>
        <v>-6.7934652093010084E-2</v>
      </c>
      <c r="T10" s="40">
        <f t="shared" ref="T10" si="41">B10</f>
        <v>46130</v>
      </c>
      <c r="U10" s="5">
        <f t="shared" ref="U10" si="42">C10</f>
        <v>7</v>
      </c>
      <c r="V10" s="1" t="s">
        <v>339</v>
      </c>
      <c r="W10" s="49" t="s">
        <v>337</v>
      </c>
      <c r="X10" s="1" t="s">
        <v>338</v>
      </c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topLeftCell="A11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5"/>
  <sheetViews>
    <sheetView showGridLines="0" zoomScale="90" zoomScaleNormal="90" workbookViewId="0">
      <selection activeCell="B28" sqref="B28"/>
    </sheetView>
  </sheetViews>
  <sheetFormatPr defaultRowHeight="13.15" x14ac:dyDescent="0.4"/>
  <cols>
    <col min="1" max="1" width="5.6640625" style="1" customWidth="1"/>
    <col min="2" max="5" width="9.06640625" style="1"/>
    <col min="6" max="6" width="10.06640625" style="1" bestFit="1" customWidth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141</v>
      </c>
      <c r="H2" s="4" t="s">
        <v>18</v>
      </c>
      <c r="I2" s="4" t="s">
        <v>140</v>
      </c>
      <c r="J2" s="4" t="s">
        <v>89</v>
      </c>
      <c r="K2" s="4" t="s">
        <v>175</v>
      </c>
      <c r="L2" s="4" t="s">
        <v>176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4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5" si="1">$Q$3</f>
        <v>1.5</v>
      </c>
      <c r="F4" s="21">
        <f t="shared" ref="F4:F35" si="2">$P$3</f>
        <v>1000000</v>
      </c>
      <c r="G4" s="22">
        <f t="shared" ref="G4:G35" si="3">$R$3</f>
        <v>0.01</v>
      </c>
      <c r="H4" s="23">
        <f t="shared" si="0"/>
        <v>2.6366093204139478</v>
      </c>
      <c r="I4" s="61">
        <f t="shared" ref="I4:I35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321</v>
      </c>
      <c r="C8" s="18">
        <v>5</v>
      </c>
      <c r="D8" s="19">
        <v>1749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ref="H8" si="5">(F8*G8)/(C8*D8*E8)</f>
        <v>0.76234038498189438</v>
      </c>
      <c r="I8" s="61">
        <f t="shared" ref="I8" si="6">ROUND(H8*1.33,0)</f>
        <v>1</v>
      </c>
      <c r="J8" s="18">
        <v>51910</v>
      </c>
      <c r="K8" s="3">
        <f>J8*H8*C8/$N$3</f>
        <v>0.19786544692205069</v>
      </c>
      <c r="L8" s="3">
        <f>J8*I8*C8/$N$3</f>
        <v>0.25955</v>
      </c>
    </row>
    <row r="9" spans="2:18" x14ac:dyDescent="0.4">
      <c r="B9" s="17" t="s">
        <v>9</v>
      </c>
      <c r="C9" s="18">
        <v>42000</v>
      </c>
      <c r="D9" s="26">
        <v>7.2499999999999995E-2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2.1893814997263275</v>
      </c>
      <c r="I9" s="61">
        <f t="shared" si="4"/>
        <v>3</v>
      </c>
      <c r="J9" s="61"/>
      <c r="K9" s="61"/>
      <c r="L9" s="61"/>
      <c r="N9" s="63"/>
    </row>
    <row r="10" spans="2:18" x14ac:dyDescent="0.4">
      <c r="B10" s="17" t="s">
        <v>5</v>
      </c>
      <c r="C10" s="18">
        <v>10000</v>
      </c>
      <c r="D10" s="19">
        <v>0.13200000000000001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5.0505050505050502</v>
      </c>
      <c r="I10" s="61">
        <f t="shared" si="4"/>
        <v>7</v>
      </c>
      <c r="J10" s="61"/>
      <c r="K10" s="61"/>
      <c r="L10" s="61"/>
    </row>
    <row r="11" spans="2:18" x14ac:dyDescent="0.4">
      <c r="B11" s="17" t="s">
        <v>25</v>
      </c>
      <c r="C11" s="18">
        <v>25000</v>
      </c>
      <c r="D11" s="19">
        <v>0.1918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1.3903371567605145</v>
      </c>
      <c r="I11" s="61">
        <f t="shared" si="4"/>
        <v>2</v>
      </c>
      <c r="J11" s="18">
        <v>4.03</v>
      </c>
      <c r="K11" s="3">
        <f>J11*H11*C11/$N$3</f>
        <v>0.14007646854362182</v>
      </c>
      <c r="L11" s="3">
        <f>J11*I11*C11/$N$3</f>
        <v>0.20150000000000001</v>
      </c>
    </row>
    <row r="12" spans="2:18" x14ac:dyDescent="0.4">
      <c r="B12" s="17" t="s">
        <v>26</v>
      </c>
      <c r="C12" s="18">
        <v>100</v>
      </c>
      <c r="D12" s="19">
        <v>185.2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0.35997120230381568</v>
      </c>
      <c r="I12" s="61">
        <f t="shared" si="4"/>
        <v>0</v>
      </c>
      <c r="J12" s="61"/>
      <c r="K12" s="61"/>
      <c r="L12" s="61"/>
    </row>
    <row r="13" spans="2:18" x14ac:dyDescent="0.4">
      <c r="B13" s="17" t="s">
        <v>27</v>
      </c>
      <c r="C13" s="18">
        <v>5000</v>
      </c>
      <c r="D13" s="19">
        <v>0.82499999999999996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1.6161616161616161</v>
      </c>
      <c r="I13" s="61">
        <f t="shared" si="4"/>
        <v>2</v>
      </c>
      <c r="J13" s="18">
        <v>25</v>
      </c>
      <c r="K13" s="3">
        <f>J13*H13*C13/$N$3</f>
        <v>0.20202020202020202</v>
      </c>
      <c r="L13" s="3">
        <f>J13*I13*C13/$N$3</f>
        <v>0.25</v>
      </c>
    </row>
    <row r="14" spans="2:18" x14ac:dyDescent="0.4">
      <c r="B14" s="17" t="s">
        <v>28</v>
      </c>
      <c r="C14" s="18">
        <v>50</v>
      </c>
      <c r="D14" s="19">
        <v>8.25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16.161616161616163</v>
      </c>
      <c r="I14" s="61">
        <f t="shared" si="4"/>
        <v>21</v>
      </c>
      <c r="J14" s="61"/>
      <c r="K14" s="61"/>
      <c r="L14" s="61"/>
    </row>
    <row r="15" spans="2:18" x14ac:dyDescent="0.4">
      <c r="B15" s="17" t="s">
        <v>29</v>
      </c>
      <c r="C15" s="18">
        <v>50</v>
      </c>
      <c r="D15" s="19">
        <v>17.25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7.7294685990338161</v>
      </c>
      <c r="I15" s="61">
        <f t="shared" si="4"/>
        <v>10</v>
      </c>
      <c r="J15" s="18">
        <v>550</v>
      </c>
      <c r="K15" s="3">
        <f>J15*H15*C15/$N$3</f>
        <v>0.21256038647342995</v>
      </c>
      <c r="L15" s="3">
        <f>J15*I15*C15/$N$3</f>
        <v>0.27500000000000002</v>
      </c>
    </row>
    <row r="16" spans="2:18" x14ac:dyDescent="0.4">
      <c r="B16" s="17" t="s">
        <v>30</v>
      </c>
      <c r="C16" s="18">
        <v>50</v>
      </c>
      <c r="D16" s="19">
        <v>24.5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5.4421768707482991</v>
      </c>
      <c r="I16" s="61">
        <f t="shared" si="4"/>
        <v>7</v>
      </c>
      <c r="J16" s="61"/>
      <c r="K16" s="61"/>
      <c r="L16" s="61"/>
    </row>
    <row r="17" spans="2:12" x14ac:dyDescent="0.4">
      <c r="B17" s="17" t="s">
        <v>31</v>
      </c>
      <c r="C17" s="18">
        <v>50</v>
      </c>
      <c r="D17" s="19">
        <v>19.75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6.7510548523206753</v>
      </c>
      <c r="I17" s="61">
        <f t="shared" si="4"/>
        <v>9</v>
      </c>
      <c r="J17" s="18">
        <v>1187</v>
      </c>
      <c r="K17" s="3">
        <f>J17*H17*C17/$N$3</f>
        <v>0.40067510548523211</v>
      </c>
      <c r="L17" s="3">
        <f>J17*I17*C17/$N$3</f>
        <v>0.53415000000000001</v>
      </c>
    </row>
    <row r="18" spans="2:12" x14ac:dyDescent="0.4">
      <c r="B18" s="17" t="s">
        <v>32</v>
      </c>
      <c r="C18" s="18">
        <v>1120</v>
      </c>
      <c r="D18" s="19">
        <v>0.89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6.6880684858212947</v>
      </c>
      <c r="I18" s="61">
        <f t="shared" si="4"/>
        <v>9</v>
      </c>
      <c r="J18" s="61"/>
      <c r="K18" s="61"/>
      <c r="L18" s="61"/>
    </row>
    <row r="19" spans="2:12" x14ac:dyDescent="0.4">
      <c r="B19" s="17" t="s">
        <v>33</v>
      </c>
      <c r="C19" s="18">
        <v>375</v>
      </c>
      <c r="D19" s="19">
        <v>5.38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3.3044196612969845</v>
      </c>
      <c r="I19" s="61">
        <f t="shared" si="4"/>
        <v>4</v>
      </c>
      <c r="J19" s="18">
        <v>184</v>
      </c>
      <c r="K19" s="3">
        <f>J19*H19*C19/$N$3</f>
        <v>0.22800495662949191</v>
      </c>
      <c r="L19" s="3">
        <f>J19*I19*C19/$N$3</f>
        <v>0.27600000000000002</v>
      </c>
    </row>
    <row r="20" spans="2:12" x14ac:dyDescent="0.4">
      <c r="B20" s="17" t="s">
        <v>34</v>
      </c>
      <c r="C20" s="18">
        <v>10</v>
      </c>
      <c r="D20" s="19">
        <v>205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si="0"/>
        <v>3.2520325203252032</v>
      </c>
      <c r="I20" s="61">
        <f t="shared" si="4"/>
        <v>4</v>
      </c>
      <c r="J20" s="18">
        <v>3230</v>
      </c>
      <c r="K20" s="3">
        <f>J20*H20*C20/$N$3</f>
        <v>0.10504065040650407</v>
      </c>
      <c r="L20" s="3">
        <f>J20*I20*C20/$N$3</f>
        <v>0.12920000000000001</v>
      </c>
    </row>
    <row r="21" spans="2:12" x14ac:dyDescent="0.4">
      <c r="B21" s="17" t="s">
        <v>64</v>
      </c>
      <c r="C21" s="18">
        <v>500</v>
      </c>
      <c r="D21" s="19">
        <v>3.01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ref="H21" si="7">(F21*G21)/(C21*D21*E21)</f>
        <v>4.4296788482834994</v>
      </c>
      <c r="I21" s="61">
        <f t="shared" si="4"/>
        <v>6</v>
      </c>
      <c r="J21" s="18">
        <v>94</v>
      </c>
      <c r="K21" s="3">
        <f>J21*H21*C21/$N$3</f>
        <v>0.20819490586932449</v>
      </c>
      <c r="L21" s="3">
        <f>J21*I21*C21/$N$3</f>
        <v>0.28199999999999997</v>
      </c>
    </row>
    <row r="22" spans="2:12" x14ac:dyDescent="0.4">
      <c r="B22" s="17" t="s">
        <v>35</v>
      </c>
      <c r="C22" s="18">
        <v>400</v>
      </c>
      <c r="D22" s="19">
        <v>1.0549999999999999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15.797788309636651</v>
      </c>
      <c r="I22" s="61">
        <f t="shared" si="4"/>
        <v>21</v>
      </c>
      <c r="J22" s="61"/>
      <c r="K22" s="61"/>
      <c r="L22" s="61"/>
    </row>
    <row r="23" spans="2:12" x14ac:dyDescent="0.4">
      <c r="B23" s="17" t="s">
        <v>36</v>
      </c>
      <c r="C23" s="18">
        <v>500</v>
      </c>
      <c r="D23" s="19">
        <v>1.9390000000000001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6.8763967680935192</v>
      </c>
      <c r="I23" s="61">
        <f t="shared" si="4"/>
        <v>9</v>
      </c>
      <c r="J23" s="61"/>
      <c r="K23" s="61"/>
      <c r="L23" s="61"/>
    </row>
    <row r="24" spans="2:12" x14ac:dyDescent="0.4">
      <c r="B24" s="17" t="s">
        <v>37</v>
      </c>
      <c r="C24" s="18">
        <v>400</v>
      </c>
      <c r="D24" s="19">
        <v>1.579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10.555203715431707</v>
      </c>
      <c r="I24" s="61">
        <f t="shared" si="4"/>
        <v>14</v>
      </c>
      <c r="J24" s="61"/>
      <c r="K24" s="61"/>
      <c r="L24" s="61"/>
    </row>
    <row r="25" spans="2:12" x14ac:dyDescent="0.4">
      <c r="B25" s="17" t="s">
        <v>38</v>
      </c>
      <c r="C25" s="18">
        <v>1000</v>
      </c>
      <c r="D25" s="19">
        <v>0.84899999999999998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7.8523753435414214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39</v>
      </c>
      <c r="C26" s="18">
        <v>100000</v>
      </c>
      <c r="D26" s="26">
        <v>9.1400000000000006E-3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7.2939460247994168</v>
      </c>
      <c r="I26" s="61">
        <f t="shared" si="4"/>
        <v>10</v>
      </c>
      <c r="J26" s="61"/>
      <c r="K26" s="61"/>
      <c r="L26" s="61"/>
    </row>
    <row r="27" spans="2:12" x14ac:dyDescent="0.4">
      <c r="B27" s="17" t="s">
        <v>40</v>
      </c>
      <c r="C27" s="18">
        <v>62500</v>
      </c>
      <c r="D27" s="26">
        <v>1.24E-2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8.6021505376344081</v>
      </c>
      <c r="I27" s="61">
        <f t="shared" si="4"/>
        <v>11</v>
      </c>
      <c r="J27" s="61"/>
      <c r="K27" s="61"/>
      <c r="L27" s="61"/>
    </row>
    <row r="28" spans="2:12" x14ac:dyDescent="0.4">
      <c r="B28" s="17" t="s">
        <v>41</v>
      </c>
      <c r="C28" s="18">
        <v>100000</v>
      </c>
      <c r="D28" s="26">
        <v>5.5900000000000004E-3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11.926058437686345</v>
      </c>
      <c r="I28" s="61">
        <f t="shared" si="4"/>
        <v>16</v>
      </c>
      <c r="J28" s="61"/>
      <c r="K28" s="61"/>
      <c r="L28" s="61"/>
    </row>
    <row r="29" spans="2:12" x14ac:dyDescent="0.4">
      <c r="B29" s="17" t="s">
        <v>42</v>
      </c>
      <c r="C29" s="18">
        <v>125000</v>
      </c>
      <c r="D29" s="26">
        <v>9.4500000000000001E-3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5.6437389770723101</v>
      </c>
      <c r="I29" s="61">
        <f t="shared" si="4"/>
        <v>8</v>
      </c>
      <c r="J29" s="97">
        <v>1.1779999999999999</v>
      </c>
      <c r="K29" s="3">
        <f>J29*H29*C29/$N$3</f>
        <v>0.83104056437389762</v>
      </c>
      <c r="L29" s="3">
        <f>J29*I29*C29/$N$3</f>
        <v>1.1779999999999999</v>
      </c>
    </row>
    <row r="30" spans="2:12" x14ac:dyDescent="0.4">
      <c r="B30" s="17" t="s">
        <v>43</v>
      </c>
      <c r="C30" s="18">
        <v>12500000</v>
      </c>
      <c r="D30" s="26">
        <v>1.022E-4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5.2185257664709717</v>
      </c>
      <c r="I30" s="61">
        <f t="shared" si="4"/>
        <v>7</v>
      </c>
      <c r="J30" s="61"/>
      <c r="K30" s="61"/>
      <c r="L30" s="61"/>
    </row>
    <row r="31" spans="2:12" x14ac:dyDescent="0.4">
      <c r="B31" s="17" t="s">
        <v>44</v>
      </c>
      <c r="C31" s="18">
        <v>5</v>
      </c>
      <c r="D31" s="19">
        <v>908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1.4684287812041117</v>
      </c>
      <c r="I31" s="61">
        <f t="shared" si="4"/>
        <v>2</v>
      </c>
      <c r="J31" s="61"/>
      <c r="K31" s="61"/>
      <c r="L31" s="61"/>
    </row>
    <row r="32" spans="2:12" x14ac:dyDescent="0.4">
      <c r="B32" s="17" t="s">
        <v>45</v>
      </c>
      <c r="C32" s="18">
        <v>50</v>
      </c>
      <c r="D32" s="19">
        <v>61.74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2.1595939963286903</v>
      </c>
      <c r="I32" s="61">
        <f t="shared" si="4"/>
        <v>3</v>
      </c>
      <c r="J32" s="61"/>
      <c r="K32" s="61"/>
      <c r="L32" s="61"/>
    </row>
    <row r="33" spans="2:12" x14ac:dyDescent="0.4">
      <c r="B33" s="17" t="s">
        <v>46</v>
      </c>
      <c r="C33" s="18">
        <v>1000</v>
      </c>
      <c r="D33" s="19">
        <f>1+18/32</f>
        <v>1.5625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4.2666666666666666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47</v>
      </c>
      <c r="C34" s="18">
        <v>1000</v>
      </c>
      <c r="D34" s="19">
        <v>1.57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4.2462845010615711</v>
      </c>
      <c r="I34" s="61">
        <f t="shared" si="4"/>
        <v>6</v>
      </c>
      <c r="J34" s="61"/>
      <c r="K34" s="61"/>
      <c r="L34" s="61"/>
    </row>
    <row r="35" spans="2:12" x14ac:dyDescent="0.4">
      <c r="B35" s="9" t="s">
        <v>187</v>
      </c>
      <c r="C35" s="18">
        <v>1</v>
      </c>
      <c r="D35" s="19">
        <v>140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ref="H35" si="8">(F35*G35)/(C35*D35*E35)</f>
        <v>47.61904761904762</v>
      </c>
      <c r="I35" s="61">
        <f t="shared" si="4"/>
        <v>63</v>
      </c>
      <c r="J35" s="18">
        <v>1986</v>
      </c>
      <c r="K35" s="3">
        <f>J35*H35*C35/$N$3</f>
        <v>9.4571428571428584E-2</v>
      </c>
      <c r="L35" s="3">
        <f>J35*I35*C35/$N$3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100</v>
      </c>
      <c r="B1" s="2" t="s">
        <v>99</v>
      </c>
      <c r="C1" s="2" t="s">
        <v>98</v>
      </c>
      <c r="D1" s="2" t="s">
        <v>54</v>
      </c>
      <c r="E1" s="2" t="s">
        <v>97</v>
      </c>
      <c r="F1" s="2" t="s">
        <v>96</v>
      </c>
      <c r="G1" s="2" t="s">
        <v>95</v>
      </c>
      <c r="H1" s="2" t="s">
        <v>13</v>
      </c>
      <c r="I1" s="2" t="s">
        <v>55</v>
      </c>
      <c r="J1" s="48" t="s">
        <v>94</v>
      </c>
      <c r="K1" s="2" t="s">
        <v>93</v>
      </c>
      <c r="L1" s="48" t="s">
        <v>92</v>
      </c>
      <c r="M1" s="2" t="s">
        <v>91</v>
      </c>
      <c r="N1" s="2" t="s">
        <v>90</v>
      </c>
      <c r="O1" s="2" t="s">
        <v>89</v>
      </c>
      <c r="P1" s="2" t="s">
        <v>88</v>
      </c>
      <c r="Q1" s="2" t="s">
        <v>87</v>
      </c>
      <c r="R1" s="2" t="s">
        <v>86</v>
      </c>
      <c r="T1" s="2" t="s">
        <v>102</v>
      </c>
      <c r="U1" s="2" t="s">
        <v>12</v>
      </c>
      <c r="V1" s="2" t="s">
        <v>90</v>
      </c>
      <c r="W1" s="2" t="s">
        <v>89</v>
      </c>
      <c r="X1" s="2" t="s">
        <v>87</v>
      </c>
      <c r="Z1" s="1" t="s">
        <v>118</v>
      </c>
    </row>
    <row r="2" spans="1:31" x14ac:dyDescent="0.4">
      <c r="A2" s="1" t="s">
        <v>183</v>
      </c>
      <c r="B2" s="1" t="s">
        <v>59</v>
      </c>
      <c r="C2" s="1" t="s">
        <v>184</v>
      </c>
      <c r="D2" s="1" t="s">
        <v>185</v>
      </c>
      <c r="E2" s="1" t="s">
        <v>186</v>
      </c>
      <c r="H2" s="1">
        <v>1</v>
      </c>
      <c r="L2" s="44">
        <v>46084</v>
      </c>
      <c r="M2" s="1" t="s">
        <v>85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59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124</v>
      </c>
      <c r="AC2" s="44"/>
      <c r="AD2" s="45"/>
      <c r="AE2" s="41"/>
    </row>
    <row r="3" spans="1:31" x14ac:dyDescent="0.4">
      <c r="A3" s="1" t="s">
        <v>183</v>
      </c>
      <c r="B3" s="1" t="s">
        <v>59</v>
      </c>
      <c r="C3" s="1" t="s">
        <v>184</v>
      </c>
      <c r="D3" s="1" t="s">
        <v>185</v>
      </c>
      <c r="E3" s="1" t="s">
        <v>186</v>
      </c>
      <c r="H3" s="1">
        <v>1</v>
      </c>
      <c r="L3" s="44">
        <v>46084</v>
      </c>
      <c r="M3" s="1" t="s">
        <v>85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59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183</v>
      </c>
      <c r="B4" s="1" t="s">
        <v>59</v>
      </c>
      <c r="C4" s="1" t="s">
        <v>184</v>
      </c>
      <c r="D4" s="1" t="s">
        <v>185</v>
      </c>
      <c r="E4" s="1" t="s">
        <v>186</v>
      </c>
      <c r="H4" s="1">
        <v>1</v>
      </c>
      <c r="L4" s="44">
        <v>46084</v>
      </c>
      <c r="M4" s="1" t="s">
        <v>85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59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183</v>
      </c>
      <c r="B5" s="1" t="s">
        <v>59</v>
      </c>
      <c r="C5" s="1" t="s">
        <v>184</v>
      </c>
      <c r="D5" s="1" t="s">
        <v>185</v>
      </c>
      <c r="E5" s="1" t="s">
        <v>186</v>
      </c>
      <c r="H5" s="1">
        <v>1</v>
      </c>
      <c r="L5" s="44">
        <v>46084</v>
      </c>
      <c r="M5" s="1" t="s">
        <v>85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183</v>
      </c>
      <c r="B6" s="1" t="s">
        <v>59</v>
      </c>
      <c r="C6" s="1" t="s">
        <v>184</v>
      </c>
      <c r="D6" s="1" t="s">
        <v>185</v>
      </c>
      <c r="E6" s="1" t="s">
        <v>186</v>
      </c>
      <c r="H6" s="1">
        <v>1</v>
      </c>
      <c r="L6" s="44">
        <v>46084</v>
      </c>
      <c r="M6" s="1" t="s">
        <v>85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1.5427200000000001</v>
      </c>
      <c r="W6" s="42">
        <f t="shared" ref="W6" si="6">O6</f>
        <v>1983.1</v>
      </c>
      <c r="X6" s="42">
        <f t="shared" ref="X6" si="7">Q6</f>
        <v>-5.5068624579999996</v>
      </c>
      <c r="AC6" s="44"/>
      <c r="AD6" s="45"/>
      <c r="AE6" s="41"/>
    </row>
    <row r="7" spans="1:31" x14ac:dyDescent="0.4">
      <c r="A7" s="1" t="s">
        <v>183</v>
      </c>
      <c r="B7" s="1" t="s">
        <v>59</v>
      </c>
      <c r="C7" s="1" t="s">
        <v>184</v>
      </c>
      <c r="D7" s="1" t="s">
        <v>185</v>
      </c>
      <c r="E7" s="1" t="s">
        <v>186</v>
      </c>
      <c r="H7" s="1">
        <v>1</v>
      </c>
      <c r="L7" s="44">
        <v>46084</v>
      </c>
      <c r="M7" s="1" t="s">
        <v>85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183</v>
      </c>
      <c r="B8" s="1" t="s">
        <v>59</v>
      </c>
      <c r="C8" s="1" t="s">
        <v>184</v>
      </c>
      <c r="D8" s="1" t="s">
        <v>185</v>
      </c>
      <c r="E8" s="1" t="s">
        <v>186</v>
      </c>
      <c r="H8" s="1">
        <v>1</v>
      </c>
      <c r="L8" s="44">
        <v>46084</v>
      </c>
      <c r="M8" s="1" t="s">
        <v>85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183</v>
      </c>
      <c r="B9" s="1" t="s">
        <v>59</v>
      </c>
      <c r="C9" s="1" t="s">
        <v>184</v>
      </c>
      <c r="D9" s="1" t="s">
        <v>185</v>
      </c>
      <c r="E9" s="1" t="s">
        <v>186</v>
      </c>
      <c r="H9" s="1">
        <v>1</v>
      </c>
      <c r="L9" s="44">
        <v>46084</v>
      </c>
      <c r="M9" s="1" t="s">
        <v>85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183</v>
      </c>
      <c r="B10" s="1" t="s">
        <v>59</v>
      </c>
      <c r="C10" s="1" t="s">
        <v>184</v>
      </c>
      <c r="D10" s="1" t="s">
        <v>185</v>
      </c>
      <c r="E10" s="1" t="s">
        <v>186</v>
      </c>
      <c r="H10" s="1">
        <v>1</v>
      </c>
      <c r="L10" s="44">
        <v>46084</v>
      </c>
      <c r="M10" s="1" t="s">
        <v>85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183</v>
      </c>
      <c r="B11" s="1" t="s">
        <v>59</v>
      </c>
      <c r="C11" s="1" t="s">
        <v>184</v>
      </c>
      <c r="D11" s="1" t="s">
        <v>185</v>
      </c>
      <c r="E11" s="1" t="s">
        <v>186</v>
      </c>
      <c r="H11" s="1">
        <v>1</v>
      </c>
      <c r="L11" s="44">
        <v>46084</v>
      </c>
      <c r="M11" s="1" t="s">
        <v>85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183</v>
      </c>
      <c r="B12" s="1" t="s">
        <v>59</v>
      </c>
      <c r="C12" s="1" t="s">
        <v>184</v>
      </c>
      <c r="D12" s="1" t="s">
        <v>185</v>
      </c>
      <c r="E12" s="1" t="s">
        <v>186</v>
      </c>
      <c r="H12" s="1">
        <v>1</v>
      </c>
      <c r="L12" s="44">
        <v>46084</v>
      </c>
      <c r="M12" s="1" t="s">
        <v>85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183</v>
      </c>
      <c r="B13" s="1" t="s">
        <v>59</v>
      </c>
      <c r="C13" s="1" t="s">
        <v>184</v>
      </c>
      <c r="D13" s="1" t="s">
        <v>185</v>
      </c>
      <c r="E13" s="1" t="s">
        <v>186</v>
      </c>
      <c r="H13" s="1">
        <v>1</v>
      </c>
      <c r="L13" s="44">
        <v>46084</v>
      </c>
      <c r="M13" s="1" t="s">
        <v>85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183</v>
      </c>
      <c r="B14" s="1" t="s">
        <v>59</v>
      </c>
      <c r="C14" s="1" t="s">
        <v>184</v>
      </c>
      <c r="D14" s="1" t="s">
        <v>185</v>
      </c>
      <c r="E14" s="1" t="s">
        <v>186</v>
      </c>
      <c r="H14" s="1">
        <v>1</v>
      </c>
      <c r="L14" s="44">
        <v>46084</v>
      </c>
      <c r="M14" s="1" t="s">
        <v>85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183</v>
      </c>
      <c r="B15" s="1" t="s">
        <v>59</v>
      </c>
      <c r="C15" s="1" t="s">
        <v>184</v>
      </c>
      <c r="D15" s="1" t="s">
        <v>185</v>
      </c>
      <c r="E15" s="1" t="s">
        <v>186</v>
      </c>
      <c r="H15" s="1">
        <v>1</v>
      </c>
      <c r="L15" s="44">
        <v>46084</v>
      </c>
      <c r="M15" s="1" t="s">
        <v>85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183</v>
      </c>
      <c r="B16" s="1" t="s">
        <v>59</v>
      </c>
      <c r="C16" s="1" t="s">
        <v>184</v>
      </c>
      <c r="D16" s="1" t="s">
        <v>185</v>
      </c>
      <c r="E16" s="1" t="s">
        <v>186</v>
      </c>
      <c r="H16" s="1">
        <v>1</v>
      </c>
      <c r="L16" s="44">
        <v>46084</v>
      </c>
      <c r="M16" s="1" t="s">
        <v>85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183</v>
      </c>
      <c r="B17" s="1" t="s">
        <v>59</v>
      </c>
      <c r="C17" s="1" t="s">
        <v>184</v>
      </c>
      <c r="D17" s="1" t="s">
        <v>185</v>
      </c>
      <c r="E17" s="1" t="s">
        <v>186</v>
      </c>
      <c r="H17" s="1">
        <v>1</v>
      </c>
      <c r="L17" s="44">
        <v>46084</v>
      </c>
      <c r="M17" s="1" t="s">
        <v>85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A18" s="1" t="s">
        <v>183</v>
      </c>
      <c r="B18" s="1" t="s">
        <v>59</v>
      </c>
      <c r="C18" s="1" t="s">
        <v>184</v>
      </c>
      <c r="D18" s="1" t="s">
        <v>185</v>
      </c>
      <c r="E18" s="1" t="s">
        <v>186</v>
      </c>
      <c r="H18" s="1">
        <v>1</v>
      </c>
      <c r="L18" s="44">
        <v>46087</v>
      </c>
      <c r="M18" s="1" t="s">
        <v>291</v>
      </c>
      <c r="N18" s="1">
        <v>-3</v>
      </c>
      <c r="O18" s="1">
        <v>2000</v>
      </c>
      <c r="P18" s="1">
        <v>-6000</v>
      </c>
      <c r="Q18" s="1">
        <v>-9.2536833119999997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-3</v>
      </c>
      <c r="W18" s="42">
        <f t="shared" ref="W18:W36" si="10">O18</f>
        <v>2000</v>
      </c>
      <c r="X18" s="42">
        <f t="shared" ref="X18:X36" si="11">Q18</f>
        <v>-9.2536833119999997</v>
      </c>
      <c r="AC18" s="44"/>
      <c r="AD18" s="45"/>
      <c r="AE18" s="41"/>
    </row>
    <row r="19" spans="1:31" x14ac:dyDescent="0.4">
      <c r="A19" s="1" t="s">
        <v>183</v>
      </c>
      <c r="B19" s="1" t="s">
        <v>59</v>
      </c>
      <c r="C19" s="1" t="s">
        <v>184</v>
      </c>
      <c r="D19" s="1" t="s">
        <v>185</v>
      </c>
      <c r="E19" s="1" t="s">
        <v>186</v>
      </c>
      <c r="H19" s="1">
        <v>1</v>
      </c>
      <c r="L19" s="44">
        <v>46087</v>
      </c>
      <c r="M19" s="1" t="s">
        <v>291</v>
      </c>
      <c r="N19" s="1">
        <v>-5.4977520200000001</v>
      </c>
      <c r="O19" s="1">
        <v>2000</v>
      </c>
      <c r="P19" s="1">
        <v>-10995.50404</v>
      </c>
      <c r="Q19" s="1">
        <v>-16.49325606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-5.4977520200000001</v>
      </c>
      <c r="W19" s="42">
        <f t="shared" si="10"/>
        <v>2000</v>
      </c>
      <c r="X19" s="42">
        <f t="shared" si="11"/>
        <v>-16.49325606</v>
      </c>
      <c r="AC19" s="44"/>
      <c r="AD19" s="45"/>
      <c r="AE19" s="41"/>
    </row>
    <row r="20" spans="1:31" x14ac:dyDescent="0.4">
      <c r="A20" s="1" t="s">
        <v>183</v>
      </c>
      <c r="B20" s="1" t="s">
        <v>59</v>
      </c>
      <c r="C20" s="1" t="s">
        <v>184</v>
      </c>
      <c r="D20" s="1" t="s">
        <v>185</v>
      </c>
      <c r="E20" s="1" t="s">
        <v>186</v>
      </c>
      <c r="H20" s="1">
        <v>1</v>
      </c>
      <c r="L20" s="44">
        <v>46087</v>
      </c>
      <c r="M20" s="1" t="s">
        <v>291</v>
      </c>
      <c r="N20" s="1">
        <v>-5.5477520199999999</v>
      </c>
      <c r="O20" s="1">
        <v>2000</v>
      </c>
      <c r="P20" s="1">
        <v>-11095.50404</v>
      </c>
      <c r="Q20" s="1">
        <v>-16.643256059999999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-5.5477520199999999</v>
      </c>
      <c r="W20" s="42">
        <f t="shared" si="10"/>
        <v>2000</v>
      </c>
      <c r="X20" s="42">
        <f t="shared" si="11"/>
        <v>-16.643256059999999</v>
      </c>
      <c r="AC20" s="44"/>
      <c r="AD20" s="45"/>
      <c r="AE20" s="41"/>
    </row>
    <row r="21" spans="1:31" x14ac:dyDescent="0.4">
      <c r="A21" s="1" t="s">
        <v>183</v>
      </c>
      <c r="B21" s="1" t="s">
        <v>59</v>
      </c>
      <c r="C21" s="1" t="s">
        <v>184</v>
      </c>
      <c r="D21" s="1" t="s">
        <v>185</v>
      </c>
      <c r="E21" s="1" t="s">
        <v>186</v>
      </c>
      <c r="H21" s="1">
        <v>1</v>
      </c>
      <c r="L21" s="44">
        <v>46087</v>
      </c>
      <c r="M21" s="1" t="s">
        <v>291</v>
      </c>
      <c r="N21" s="1">
        <v>-5.7895520200000004</v>
      </c>
      <c r="O21" s="1">
        <v>2000</v>
      </c>
      <c r="P21" s="1">
        <v>-11579.10404</v>
      </c>
      <c r="Q21" s="1">
        <v>-17.368656059999999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-5.7895520200000004</v>
      </c>
      <c r="W21" s="42">
        <f t="shared" si="10"/>
        <v>2000</v>
      </c>
      <c r="X21" s="42">
        <f t="shared" si="11"/>
        <v>-17.368656059999999</v>
      </c>
      <c r="AC21" s="44"/>
      <c r="AD21" s="45"/>
      <c r="AE21" s="41"/>
    </row>
    <row r="22" spans="1:31" x14ac:dyDescent="0.4">
      <c r="A22" s="1" t="s">
        <v>183</v>
      </c>
      <c r="B22" s="1" t="s">
        <v>59</v>
      </c>
      <c r="C22" s="1" t="s">
        <v>184</v>
      </c>
      <c r="D22" s="1" t="s">
        <v>185</v>
      </c>
      <c r="E22" s="1" t="s">
        <v>186</v>
      </c>
      <c r="H22" s="1">
        <v>1</v>
      </c>
      <c r="L22" s="44">
        <v>46087</v>
      </c>
      <c r="M22" s="1" t="s">
        <v>291</v>
      </c>
      <c r="N22" s="1">
        <v>-0.05</v>
      </c>
      <c r="O22" s="1">
        <v>2000</v>
      </c>
      <c r="P22" s="1">
        <v>-100</v>
      </c>
      <c r="Q22" s="1">
        <v>-0.15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-0.05</v>
      </c>
      <c r="W22" s="42">
        <f t="shared" si="10"/>
        <v>2000</v>
      </c>
      <c r="X22" s="42">
        <f t="shared" si="11"/>
        <v>-0.15</v>
      </c>
      <c r="AC22" s="44"/>
      <c r="AD22" s="45"/>
      <c r="AE22" s="41"/>
    </row>
    <row r="23" spans="1:31" x14ac:dyDescent="0.4">
      <c r="A23" s="1" t="s">
        <v>183</v>
      </c>
      <c r="B23" s="1" t="s">
        <v>59</v>
      </c>
      <c r="C23" s="1" t="s">
        <v>184</v>
      </c>
      <c r="D23" s="1" t="s">
        <v>185</v>
      </c>
      <c r="E23" s="1" t="s">
        <v>186</v>
      </c>
      <c r="H23" s="1">
        <v>1</v>
      </c>
      <c r="L23" s="44">
        <v>46087</v>
      </c>
      <c r="M23" s="1" t="s">
        <v>291</v>
      </c>
      <c r="N23" s="1">
        <v>-0.2918</v>
      </c>
      <c r="O23" s="1">
        <v>2000</v>
      </c>
      <c r="P23" s="1">
        <v>-583.6</v>
      </c>
      <c r="Q23" s="1">
        <v>-0.87539999999999996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-0.2918</v>
      </c>
      <c r="W23" s="42">
        <f t="shared" si="10"/>
        <v>2000</v>
      </c>
      <c r="X23" s="42">
        <f t="shared" si="11"/>
        <v>-0.87539999999999996</v>
      </c>
      <c r="AC23" s="44"/>
      <c r="AD23" s="45"/>
      <c r="AE23" s="41"/>
    </row>
    <row r="24" spans="1:31" x14ac:dyDescent="0.4">
      <c r="A24" s="1" t="s">
        <v>183</v>
      </c>
      <c r="B24" s="1" t="s">
        <v>59</v>
      </c>
      <c r="C24" s="1" t="s">
        <v>184</v>
      </c>
      <c r="D24" s="1" t="s">
        <v>185</v>
      </c>
      <c r="E24" s="1" t="s">
        <v>186</v>
      </c>
      <c r="H24" s="1">
        <v>1</v>
      </c>
      <c r="L24" s="44">
        <v>46087</v>
      </c>
      <c r="M24" s="1" t="s">
        <v>291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183</v>
      </c>
      <c r="B25" s="1" t="s">
        <v>59</v>
      </c>
      <c r="C25" s="1" t="s">
        <v>184</v>
      </c>
      <c r="D25" s="1" t="s">
        <v>185</v>
      </c>
      <c r="E25" s="1" t="s">
        <v>186</v>
      </c>
      <c r="H25" s="1">
        <v>1</v>
      </c>
      <c r="L25" s="44">
        <v>46087</v>
      </c>
      <c r="M25" s="1" t="s">
        <v>291</v>
      </c>
      <c r="N25" s="1">
        <v>-0.24179999999999999</v>
      </c>
      <c r="O25" s="1">
        <v>2000</v>
      </c>
      <c r="P25" s="1">
        <v>-483.6</v>
      </c>
      <c r="Q25" s="1">
        <v>-0.72540000000000004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-0.24179999999999999</v>
      </c>
      <c r="W25" s="42">
        <f t="shared" si="10"/>
        <v>2000</v>
      </c>
      <c r="X25" s="42">
        <f t="shared" si="11"/>
        <v>-0.72540000000000004</v>
      </c>
      <c r="AC25" s="44"/>
      <c r="AD25" s="45"/>
      <c r="AE25" s="41"/>
    </row>
    <row r="26" spans="1:31" x14ac:dyDescent="0.4">
      <c r="A26" s="1" t="s">
        <v>183</v>
      </c>
      <c r="B26" s="1" t="s">
        <v>59</v>
      </c>
      <c r="C26" s="1" t="s">
        <v>184</v>
      </c>
      <c r="D26" s="1" t="s">
        <v>185</v>
      </c>
      <c r="E26" s="1" t="s">
        <v>186</v>
      </c>
      <c r="H26" s="1">
        <v>1</v>
      </c>
      <c r="L26" s="44">
        <v>46087</v>
      </c>
      <c r="M26" s="1" t="s">
        <v>291</v>
      </c>
      <c r="N26" s="1">
        <v>-0.24179999999999999</v>
      </c>
      <c r="O26" s="1">
        <v>2000</v>
      </c>
      <c r="P26" s="1">
        <v>-483.6</v>
      </c>
      <c r="Q26" s="1">
        <v>-0.72540000000000004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-0.24179999999999999</v>
      </c>
      <c r="W26" s="42">
        <f t="shared" si="10"/>
        <v>2000</v>
      </c>
      <c r="X26" s="42">
        <f t="shared" si="11"/>
        <v>-0.72540000000000004</v>
      </c>
      <c r="AC26" s="44"/>
      <c r="AD26" s="45"/>
      <c r="AE26" s="41"/>
    </row>
    <row r="27" spans="1:31" x14ac:dyDescent="0.4">
      <c r="A27" s="1" t="s">
        <v>183</v>
      </c>
      <c r="B27" s="1" t="s">
        <v>59</v>
      </c>
      <c r="C27" s="1" t="s">
        <v>184</v>
      </c>
      <c r="D27" s="1" t="s">
        <v>185</v>
      </c>
      <c r="E27" s="1" t="s">
        <v>186</v>
      </c>
      <c r="H27" s="1">
        <v>1</v>
      </c>
      <c r="L27" s="44">
        <v>46087</v>
      </c>
      <c r="M27" s="1" t="s">
        <v>291</v>
      </c>
      <c r="N27" s="1">
        <v>-5.9996570199999999</v>
      </c>
      <c r="O27" s="1">
        <v>2000</v>
      </c>
      <c r="P27" s="1">
        <v>-11999.314039999999</v>
      </c>
      <c r="Q27" s="1">
        <v>-17.998971059999999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-5.9996570199999999</v>
      </c>
      <c r="W27" s="42">
        <f t="shared" si="10"/>
        <v>2000</v>
      </c>
      <c r="X27" s="42">
        <f t="shared" si="11"/>
        <v>-17.998971059999999</v>
      </c>
      <c r="AC27" s="44"/>
      <c r="AD27" s="45"/>
      <c r="AE27" s="41"/>
    </row>
    <row r="28" spans="1:31" x14ac:dyDescent="0.4">
      <c r="A28" s="1" t="s">
        <v>183</v>
      </c>
      <c r="B28" s="1" t="s">
        <v>59</v>
      </c>
      <c r="C28" s="1" t="s">
        <v>184</v>
      </c>
      <c r="D28" s="1" t="s">
        <v>185</v>
      </c>
      <c r="E28" s="1" t="s">
        <v>186</v>
      </c>
      <c r="H28" s="1">
        <v>1</v>
      </c>
      <c r="L28" s="44">
        <v>46087</v>
      </c>
      <c r="M28" s="1" t="s">
        <v>291</v>
      </c>
      <c r="N28" s="1">
        <v>-2.4973153799999999</v>
      </c>
      <c r="O28" s="1">
        <v>2002.15</v>
      </c>
      <c r="P28" s="1">
        <v>-4999.9999880670002</v>
      </c>
      <c r="Q28" s="1">
        <v>-7.4999999820000003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-2.4973153799999999</v>
      </c>
      <c r="W28" s="42">
        <f t="shared" si="10"/>
        <v>2002.15</v>
      </c>
      <c r="X28" s="42">
        <f t="shared" si="11"/>
        <v>-7.4999999820000003</v>
      </c>
      <c r="AC28" s="44"/>
      <c r="AD28" s="45"/>
      <c r="AE28" s="41"/>
    </row>
    <row r="29" spans="1:31" x14ac:dyDescent="0.4">
      <c r="A29" s="1" t="s">
        <v>183</v>
      </c>
      <c r="B29" s="1" t="s">
        <v>59</v>
      </c>
      <c r="C29" s="1" t="s">
        <v>184</v>
      </c>
      <c r="D29" s="1" t="s">
        <v>185</v>
      </c>
      <c r="E29" s="1" t="s">
        <v>186</v>
      </c>
      <c r="H29" s="1">
        <v>1</v>
      </c>
      <c r="L29" s="44">
        <v>46087</v>
      </c>
      <c r="M29" s="1" t="s">
        <v>291</v>
      </c>
      <c r="N29" s="1">
        <v>-1.0847240199999999</v>
      </c>
      <c r="O29" s="1">
        <v>2000</v>
      </c>
      <c r="P29" s="1">
        <v>-2169.4480400000002</v>
      </c>
      <c r="Q29" s="1">
        <v>-3.2541720600000001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-1.0847240199999999</v>
      </c>
      <c r="W29" s="42">
        <f t="shared" si="10"/>
        <v>2000</v>
      </c>
      <c r="X29" s="42">
        <f t="shared" si="11"/>
        <v>-3.2541720600000001</v>
      </c>
      <c r="AC29" s="44"/>
      <c r="AD29" s="45"/>
      <c r="AE29" s="41"/>
    </row>
    <row r="30" spans="1:31" x14ac:dyDescent="0.4">
      <c r="A30" s="1" t="s">
        <v>183</v>
      </c>
      <c r="B30" s="1" t="s">
        <v>59</v>
      </c>
      <c r="C30" s="1" t="s">
        <v>184</v>
      </c>
      <c r="D30" s="1" t="s">
        <v>185</v>
      </c>
      <c r="E30" s="1" t="s">
        <v>186</v>
      </c>
      <c r="H30" s="1">
        <v>1</v>
      </c>
      <c r="L30" s="44">
        <v>46087</v>
      </c>
      <c r="M30" s="1" t="s">
        <v>291</v>
      </c>
      <c r="N30" s="1">
        <v>-0.21252689</v>
      </c>
      <c r="O30" s="1">
        <v>2000</v>
      </c>
      <c r="P30" s="1">
        <v>-425.05378000000002</v>
      </c>
      <c r="Q30" s="1">
        <v>-0.63758066999999996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-0.21252689</v>
      </c>
      <c r="W30" s="42">
        <f t="shared" si="10"/>
        <v>2000</v>
      </c>
      <c r="X30" s="42">
        <f t="shared" si="11"/>
        <v>-0.63758066999999996</v>
      </c>
      <c r="AC30" s="44"/>
      <c r="AD30" s="45"/>
      <c r="AE30" s="41"/>
    </row>
    <row r="31" spans="1:31" x14ac:dyDescent="0.4">
      <c r="A31" s="1" t="s">
        <v>183</v>
      </c>
      <c r="B31" s="1" t="s">
        <v>59</v>
      </c>
      <c r="C31" s="1" t="s">
        <v>184</v>
      </c>
      <c r="D31" s="1" t="s">
        <v>185</v>
      </c>
      <c r="E31" s="1" t="s">
        <v>186</v>
      </c>
      <c r="H31" s="1">
        <v>1</v>
      </c>
      <c r="L31" s="44">
        <v>46087</v>
      </c>
      <c r="M31" s="1" t="s">
        <v>291</v>
      </c>
      <c r="N31" s="1">
        <v>-2.2592068799999998</v>
      </c>
      <c r="O31" s="1">
        <v>2000</v>
      </c>
      <c r="P31" s="1">
        <v>-4518.4137600000004</v>
      </c>
      <c r="Q31" s="1">
        <v>-6.7776206400000003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-2.2592068799999998</v>
      </c>
      <c r="W31" s="42">
        <f t="shared" si="10"/>
        <v>2000</v>
      </c>
      <c r="X31" s="42">
        <f t="shared" si="11"/>
        <v>-6.7776206400000003</v>
      </c>
      <c r="AC31" s="44"/>
      <c r="AD31" s="45"/>
      <c r="AE31" s="41"/>
    </row>
    <row r="32" spans="1:31" x14ac:dyDescent="0.4">
      <c r="A32" s="1" t="s">
        <v>183</v>
      </c>
      <c r="B32" s="1" t="s">
        <v>59</v>
      </c>
      <c r="C32" s="1" t="s">
        <v>184</v>
      </c>
      <c r="D32" s="1" t="s">
        <v>185</v>
      </c>
      <c r="E32" s="1" t="s">
        <v>186</v>
      </c>
      <c r="H32" s="1">
        <v>1</v>
      </c>
      <c r="L32" s="44">
        <v>46087</v>
      </c>
      <c r="M32" s="1" t="s">
        <v>291</v>
      </c>
      <c r="N32" s="1">
        <v>-1.96740688</v>
      </c>
      <c r="O32" s="1">
        <v>2000</v>
      </c>
      <c r="P32" s="1">
        <v>-3934.81376</v>
      </c>
      <c r="Q32" s="1">
        <v>-5.9022206400000004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-1.96740688</v>
      </c>
      <c r="W32" s="42">
        <f t="shared" si="10"/>
        <v>2000</v>
      </c>
      <c r="X32" s="42">
        <f t="shared" si="11"/>
        <v>-5.9022206400000004</v>
      </c>
      <c r="AC32" s="44"/>
      <c r="AD32" s="45"/>
      <c r="AE32" s="41"/>
    </row>
    <row r="33" spans="1:31" x14ac:dyDescent="0.4">
      <c r="A33" s="1" t="s">
        <v>183</v>
      </c>
      <c r="B33" s="1" t="s">
        <v>59</v>
      </c>
      <c r="C33" s="1" t="s">
        <v>184</v>
      </c>
      <c r="D33" s="1" t="s">
        <v>185</v>
      </c>
      <c r="E33" s="1" t="s">
        <v>186</v>
      </c>
      <c r="H33" s="1">
        <v>1</v>
      </c>
      <c r="L33" s="44">
        <v>46087</v>
      </c>
      <c r="M33" s="1" t="s">
        <v>291</v>
      </c>
      <c r="N33" s="1">
        <v>-4.0489291700000001</v>
      </c>
      <c r="O33" s="1">
        <v>2000</v>
      </c>
      <c r="P33" s="1">
        <v>-8097.8583399999998</v>
      </c>
      <c r="Q33" s="1">
        <v>-12.146787509999999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-4.0489291700000001</v>
      </c>
      <c r="W33" s="42">
        <f t="shared" si="10"/>
        <v>2000</v>
      </c>
      <c r="X33" s="42">
        <f t="shared" si="11"/>
        <v>-12.146787509999999</v>
      </c>
      <c r="AC33" s="44"/>
      <c r="AD33" s="45"/>
      <c r="AE33" s="41"/>
    </row>
    <row r="34" spans="1:31" x14ac:dyDescent="0.4">
      <c r="A34" s="1" t="s">
        <v>183</v>
      </c>
      <c r="B34" s="1" t="s">
        <v>59</v>
      </c>
      <c r="C34" s="1" t="s">
        <v>184</v>
      </c>
      <c r="D34" s="1" t="s">
        <v>185</v>
      </c>
      <c r="E34" s="1" t="s">
        <v>186</v>
      </c>
      <c r="H34" s="1">
        <v>1</v>
      </c>
      <c r="L34" s="44">
        <v>46087</v>
      </c>
      <c r="M34" s="1" t="s">
        <v>291</v>
      </c>
      <c r="N34" s="1">
        <v>-3.5134851600000001</v>
      </c>
      <c r="O34" s="1">
        <v>2000</v>
      </c>
      <c r="P34" s="1">
        <v>-7026.9703200000004</v>
      </c>
      <c r="Q34" s="1">
        <v>-10.54045548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-3.5134851600000001</v>
      </c>
      <c r="W34" s="42">
        <f t="shared" si="10"/>
        <v>2000</v>
      </c>
      <c r="X34" s="42">
        <f t="shared" si="11"/>
        <v>-10.54045548</v>
      </c>
    </row>
    <row r="35" spans="1:31" x14ac:dyDescent="0.4">
      <c r="A35" s="1" t="s">
        <v>183</v>
      </c>
      <c r="B35" s="1" t="s">
        <v>59</v>
      </c>
      <c r="C35" s="1" t="s">
        <v>184</v>
      </c>
      <c r="D35" s="1" t="s">
        <v>185</v>
      </c>
      <c r="E35" s="1" t="s">
        <v>186</v>
      </c>
      <c r="H35" s="1">
        <v>1</v>
      </c>
      <c r="L35" s="44">
        <v>46087</v>
      </c>
      <c r="M35" s="1" t="s">
        <v>291</v>
      </c>
      <c r="N35" s="1">
        <v>-1.45325536</v>
      </c>
      <c r="O35" s="1">
        <v>2000</v>
      </c>
      <c r="P35" s="1">
        <v>-2906.5107200000002</v>
      </c>
      <c r="Q35" s="1">
        <v>-4.35976608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-1.45325536</v>
      </c>
      <c r="W35" s="42">
        <f t="shared" si="10"/>
        <v>2000</v>
      </c>
      <c r="X35" s="42">
        <f t="shared" si="11"/>
        <v>-4.35976608</v>
      </c>
    </row>
    <row r="36" spans="1:31" x14ac:dyDescent="0.4">
      <c r="A36" s="1" t="s">
        <v>183</v>
      </c>
      <c r="B36" s="1" t="s">
        <v>59</v>
      </c>
      <c r="C36" s="1" t="s">
        <v>184</v>
      </c>
      <c r="D36" s="1" t="s">
        <v>185</v>
      </c>
      <c r="E36" s="1" t="s">
        <v>186</v>
      </c>
      <c r="H36" s="1">
        <v>1</v>
      </c>
      <c r="L36" s="44">
        <v>46087</v>
      </c>
      <c r="M36" s="1" t="s">
        <v>291</v>
      </c>
      <c r="N36" s="1">
        <v>-0.51348516</v>
      </c>
      <c r="O36" s="1">
        <v>2000</v>
      </c>
      <c r="P36" s="1">
        <v>-1026.9703199999999</v>
      </c>
      <c r="Q36" s="1">
        <v>-1.5404554800000001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-0.51348516</v>
      </c>
      <c r="W36" s="42">
        <f t="shared" si="10"/>
        <v>2000</v>
      </c>
      <c r="X36" s="42">
        <f t="shared" si="11"/>
        <v>-1.5404554800000001</v>
      </c>
    </row>
    <row r="37" spans="1:31" x14ac:dyDescent="0.4">
      <c r="A37" s="1" t="s">
        <v>292</v>
      </c>
      <c r="B37" s="1" t="s">
        <v>59</v>
      </c>
      <c r="C37" s="1" t="s">
        <v>58</v>
      </c>
      <c r="D37" s="1" t="s">
        <v>282</v>
      </c>
      <c r="E37" s="1" t="s">
        <v>293</v>
      </c>
      <c r="F37" s="1" t="s">
        <v>63</v>
      </c>
      <c r="G37" s="1" t="s">
        <v>34</v>
      </c>
      <c r="H37" s="1">
        <v>10</v>
      </c>
      <c r="J37" s="44">
        <v>46156</v>
      </c>
      <c r="L37" s="44">
        <v>46090</v>
      </c>
      <c r="M37" s="1" t="s">
        <v>85</v>
      </c>
      <c r="N37" s="1">
        <v>1</v>
      </c>
      <c r="O37" s="1">
        <v>3235</v>
      </c>
      <c r="P37" s="1">
        <v>32350</v>
      </c>
      <c r="Q37" s="1">
        <v>-2.97</v>
      </c>
      <c r="R37" s="1" t="s">
        <v>59</v>
      </c>
      <c r="T37" s="43">
        <f>IF(ISNUMBER(VLOOKUP(U37,Blotter!B:C,2,0)),VLOOKUP(U37,Blotter!B:C,2,0),"")</f>
        <v>2</v>
      </c>
      <c r="U37" s="42" t="str">
        <f t="shared" ref="U37:U39" si="12">D37</f>
        <v>CCK6</v>
      </c>
      <c r="V37" s="42">
        <f t="shared" ref="V37:V39" si="13">N37</f>
        <v>1</v>
      </c>
      <c r="W37" s="42">
        <f t="shared" ref="W37:W39" si="14">O37</f>
        <v>3235</v>
      </c>
      <c r="X37" s="42">
        <f t="shared" ref="X37:X39" si="15">Q37</f>
        <v>-2.97</v>
      </c>
    </row>
    <row r="38" spans="1:31" x14ac:dyDescent="0.4">
      <c r="A38" s="1" t="s">
        <v>292</v>
      </c>
      <c r="B38" s="1" t="s">
        <v>59</v>
      </c>
      <c r="C38" s="1" t="s">
        <v>58</v>
      </c>
      <c r="D38" s="1" t="s">
        <v>282</v>
      </c>
      <c r="E38" s="1" t="s">
        <v>293</v>
      </c>
      <c r="F38" s="1" t="s">
        <v>63</v>
      </c>
      <c r="G38" s="1" t="s">
        <v>34</v>
      </c>
      <c r="H38" s="1">
        <v>10</v>
      </c>
      <c r="J38" s="44">
        <v>46156</v>
      </c>
      <c r="L38" s="44">
        <v>46090</v>
      </c>
      <c r="M38" s="1" t="s">
        <v>85</v>
      </c>
      <c r="N38" s="1">
        <v>2</v>
      </c>
      <c r="O38" s="1">
        <v>3235</v>
      </c>
      <c r="P38" s="1">
        <v>64700</v>
      </c>
      <c r="Q38" s="1">
        <v>-5.94</v>
      </c>
      <c r="R38" s="1" t="s">
        <v>59</v>
      </c>
      <c r="T38" s="43">
        <f>IF(ISNUMBER(VLOOKUP(U38,Blotter!B:C,2,0)),VLOOKUP(U38,Blotter!B:C,2,0),"")</f>
        <v>2</v>
      </c>
      <c r="U38" s="42" t="str">
        <f t="shared" si="12"/>
        <v>CCK6</v>
      </c>
      <c r="V38" s="42">
        <f t="shared" si="13"/>
        <v>2</v>
      </c>
      <c r="W38" s="42">
        <f t="shared" si="14"/>
        <v>3235</v>
      </c>
      <c r="X38" s="42">
        <f t="shared" si="15"/>
        <v>-5.94</v>
      </c>
    </row>
    <row r="39" spans="1:31" x14ac:dyDescent="0.4">
      <c r="A39" s="1" t="s">
        <v>292</v>
      </c>
      <c r="B39" s="1" t="s">
        <v>59</v>
      </c>
      <c r="C39" s="1" t="s">
        <v>294</v>
      </c>
      <c r="D39" s="1" t="s">
        <v>295</v>
      </c>
      <c r="E39" s="1" t="s">
        <v>295</v>
      </c>
      <c r="G39" s="1" t="s">
        <v>296</v>
      </c>
      <c r="H39" s="1">
        <v>1</v>
      </c>
      <c r="L39" s="44">
        <v>46090</v>
      </c>
      <c r="M39" s="1" t="s">
        <v>85</v>
      </c>
      <c r="N39" s="1">
        <v>1000000</v>
      </c>
      <c r="O39" s="1">
        <v>98.875</v>
      </c>
      <c r="P39" s="1">
        <v>988750</v>
      </c>
      <c r="Q39" s="1">
        <v>-20</v>
      </c>
      <c r="R39" s="1" t="s">
        <v>59</v>
      </c>
      <c r="T39" s="43" t="str">
        <f>IF(ISNUMBER(VLOOKUP(U39,Blotter!B:C,2,0)),VLOOKUP(U39,Blotter!B:C,2,0),"")</f>
        <v/>
      </c>
      <c r="U39" s="42" t="str">
        <f t="shared" si="12"/>
        <v>T 2 1/2 03/31/27</v>
      </c>
      <c r="V39" s="42">
        <f t="shared" si="13"/>
        <v>1000000</v>
      </c>
      <c r="W39" s="42">
        <f t="shared" si="14"/>
        <v>98.875</v>
      </c>
      <c r="X39" s="42">
        <f t="shared" si="15"/>
        <v>-20</v>
      </c>
    </row>
    <row r="40" spans="1:31" x14ac:dyDescent="0.4">
      <c r="A40" s="1" t="s">
        <v>292</v>
      </c>
      <c r="B40" s="1" t="s">
        <v>59</v>
      </c>
      <c r="C40" s="1" t="s">
        <v>303</v>
      </c>
      <c r="D40" s="1" t="s">
        <v>305</v>
      </c>
      <c r="E40" s="1" t="s">
        <v>309</v>
      </c>
      <c r="F40" s="1" t="s">
        <v>60</v>
      </c>
      <c r="G40" s="1" t="s">
        <v>310</v>
      </c>
      <c r="H40" s="1">
        <v>1000</v>
      </c>
      <c r="I40" s="1">
        <v>55</v>
      </c>
      <c r="J40" s="44">
        <v>46156</v>
      </c>
      <c r="K40" s="1" t="s">
        <v>301</v>
      </c>
      <c r="L40" s="44">
        <v>46097</v>
      </c>
      <c r="M40" s="1" t="s">
        <v>291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292</v>
      </c>
      <c r="B41" s="1" t="s">
        <v>59</v>
      </c>
      <c r="C41" s="1" t="s">
        <v>303</v>
      </c>
      <c r="D41" s="1" t="s">
        <v>304</v>
      </c>
      <c r="E41" s="1" t="s">
        <v>311</v>
      </c>
      <c r="F41" s="1" t="s">
        <v>60</v>
      </c>
      <c r="G41" s="1" t="s">
        <v>310</v>
      </c>
      <c r="H41" s="1">
        <v>1000</v>
      </c>
      <c r="I41" s="1">
        <v>75</v>
      </c>
      <c r="J41" s="44">
        <v>46156</v>
      </c>
      <c r="K41" s="1" t="s">
        <v>301</v>
      </c>
      <c r="L41" s="44">
        <v>46097</v>
      </c>
      <c r="M41" s="1" t="s">
        <v>85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292</v>
      </c>
      <c r="B42" s="1" t="s">
        <v>59</v>
      </c>
      <c r="C42" s="1" t="s">
        <v>58</v>
      </c>
      <c r="D42" s="1" t="s">
        <v>316</v>
      </c>
      <c r="E42" s="1" t="s">
        <v>320</v>
      </c>
      <c r="F42" s="1" t="s">
        <v>80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85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A43" s="1" t="s">
        <v>183</v>
      </c>
      <c r="B43" s="1" t="s">
        <v>59</v>
      </c>
      <c r="C43" s="1" t="s">
        <v>184</v>
      </c>
      <c r="D43" s="1" t="s">
        <v>185</v>
      </c>
      <c r="E43" s="1" t="s">
        <v>186</v>
      </c>
      <c r="H43" s="1">
        <v>1</v>
      </c>
      <c r="L43" s="44">
        <v>46108</v>
      </c>
      <c r="M43" s="1" t="s">
        <v>85</v>
      </c>
      <c r="N43" s="1">
        <v>3.1559678500000001</v>
      </c>
      <c r="O43" s="1">
        <v>1994</v>
      </c>
      <c r="P43" s="1">
        <v>6292.9998929000003</v>
      </c>
      <c r="Q43" s="1">
        <v>-9.4394998389999998</v>
      </c>
      <c r="R43" s="1" t="s">
        <v>59</v>
      </c>
      <c r="T43" s="43">
        <f>IF(ISNUMBER(VLOOKUP(U43,Blotter!B:C,2,0)),VLOOKUP(U43,Blotter!B:C,2,0),"")</f>
        <v>1</v>
      </c>
      <c r="U43" s="42" t="str">
        <f t="shared" ref="U43:U59" si="24">D43</f>
        <v>ETH.USD-PAXOS</v>
      </c>
      <c r="V43" s="42">
        <f t="shared" ref="V43:V59" si="25">N43</f>
        <v>3.1559678500000001</v>
      </c>
      <c r="W43" s="42">
        <f t="shared" ref="W43:W59" si="26">O43</f>
        <v>1994</v>
      </c>
      <c r="X43" s="42">
        <f t="shared" ref="X43:X59" si="27">Q43</f>
        <v>-9.4394998389999998</v>
      </c>
    </row>
    <row r="44" spans="1:31" x14ac:dyDescent="0.4">
      <c r="A44" s="1" t="s">
        <v>183</v>
      </c>
      <c r="B44" s="1" t="s">
        <v>59</v>
      </c>
      <c r="C44" s="1" t="s">
        <v>184</v>
      </c>
      <c r="D44" s="1" t="s">
        <v>185</v>
      </c>
      <c r="E44" s="1" t="s">
        <v>186</v>
      </c>
      <c r="H44" s="1">
        <v>1</v>
      </c>
      <c r="L44" s="44">
        <v>46108</v>
      </c>
      <c r="M44" s="1" t="s">
        <v>85</v>
      </c>
      <c r="N44" s="1">
        <v>1.67206806</v>
      </c>
      <c r="O44" s="1">
        <v>1994</v>
      </c>
      <c r="P44" s="1">
        <v>3334.1037116399998</v>
      </c>
      <c r="Q44" s="1">
        <v>-5.0011555669999996</v>
      </c>
      <c r="R44" s="1" t="s">
        <v>59</v>
      </c>
      <c r="T44" s="43">
        <f>IF(ISNUMBER(VLOOKUP(U44,Blotter!B:C,2,0)),VLOOKUP(U44,Blotter!B:C,2,0),"")</f>
        <v>1</v>
      </c>
      <c r="U44" s="42" t="str">
        <f t="shared" si="24"/>
        <v>ETH.USD-PAXOS</v>
      </c>
      <c r="V44" s="42">
        <f t="shared" si="25"/>
        <v>1.67206806</v>
      </c>
      <c r="W44" s="42">
        <f t="shared" si="26"/>
        <v>1994</v>
      </c>
      <c r="X44" s="42">
        <f t="shared" si="27"/>
        <v>-5.0011555669999996</v>
      </c>
    </row>
    <row r="45" spans="1:31" x14ac:dyDescent="0.4">
      <c r="A45" s="1" t="s">
        <v>183</v>
      </c>
      <c r="B45" s="1" t="s">
        <v>59</v>
      </c>
      <c r="C45" s="1" t="s">
        <v>184</v>
      </c>
      <c r="D45" s="1" t="s">
        <v>185</v>
      </c>
      <c r="E45" s="1" t="s">
        <v>186</v>
      </c>
      <c r="H45" s="1">
        <v>1</v>
      </c>
      <c r="L45" s="44">
        <v>46108</v>
      </c>
      <c r="M45" s="1" t="s">
        <v>85</v>
      </c>
      <c r="N45" s="1">
        <v>5.4495906200000004</v>
      </c>
      <c r="O45" s="1">
        <v>1994</v>
      </c>
      <c r="P45" s="1">
        <v>10866.48369628</v>
      </c>
      <c r="Q45" s="1">
        <v>-16.299725544000001</v>
      </c>
      <c r="R45" s="1" t="s">
        <v>59</v>
      </c>
      <c r="T45" s="43">
        <f>IF(ISNUMBER(VLOOKUP(U45,Blotter!B:C,2,0)),VLOOKUP(U45,Blotter!B:C,2,0),"")</f>
        <v>1</v>
      </c>
      <c r="U45" s="42" t="str">
        <f t="shared" si="24"/>
        <v>ETH.USD-PAXOS</v>
      </c>
      <c r="V45" s="42">
        <f t="shared" si="25"/>
        <v>5.4495906200000004</v>
      </c>
      <c r="W45" s="42">
        <f t="shared" si="26"/>
        <v>1994</v>
      </c>
      <c r="X45" s="42">
        <f t="shared" si="27"/>
        <v>-16.299725544000001</v>
      </c>
    </row>
    <row r="46" spans="1:31" x14ac:dyDescent="0.4">
      <c r="A46" s="1" t="s">
        <v>183</v>
      </c>
      <c r="B46" s="1" t="s">
        <v>59</v>
      </c>
      <c r="C46" s="1" t="s">
        <v>184</v>
      </c>
      <c r="D46" s="1" t="s">
        <v>185</v>
      </c>
      <c r="E46" s="1" t="s">
        <v>186</v>
      </c>
      <c r="H46" s="1">
        <v>1</v>
      </c>
      <c r="L46" s="44">
        <v>46108</v>
      </c>
      <c r="M46" s="1" t="s">
        <v>85</v>
      </c>
      <c r="N46" s="1">
        <v>5.6559568499999999</v>
      </c>
      <c r="O46" s="1">
        <v>1994</v>
      </c>
      <c r="P46" s="1">
        <v>11277.977958900001</v>
      </c>
      <c r="Q46" s="1">
        <v>-16.916966938000002</v>
      </c>
      <c r="R46" s="1" t="s">
        <v>59</v>
      </c>
      <c r="T46" s="43">
        <f>IF(ISNUMBER(VLOOKUP(U46,Blotter!B:C,2,0)),VLOOKUP(U46,Blotter!B:C,2,0),"")</f>
        <v>1</v>
      </c>
      <c r="U46" s="42" t="str">
        <f t="shared" si="24"/>
        <v>ETH.USD-PAXOS</v>
      </c>
      <c r="V46" s="42">
        <f t="shared" si="25"/>
        <v>5.6559568499999999</v>
      </c>
      <c r="W46" s="42">
        <f t="shared" si="26"/>
        <v>1994</v>
      </c>
      <c r="X46" s="42">
        <f t="shared" si="27"/>
        <v>-16.916966938000002</v>
      </c>
    </row>
    <row r="47" spans="1:31" x14ac:dyDescent="0.4">
      <c r="A47" s="1" t="s">
        <v>183</v>
      </c>
      <c r="B47" s="1" t="s">
        <v>59</v>
      </c>
      <c r="C47" s="1" t="s">
        <v>184</v>
      </c>
      <c r="D47" s="1" t="s">
        <v>185</v>
      </c>
      <c r="E47" s="1" t="s">
        <v>186</v>
      </c>
      <c r="H47" s="1">
        <v>1</v>
      </c>
      <c r="L47" s="44">
        <v>46108</v>
      </c>
      <c r="M47" s="1" t="s">
        <v>85</v>
      </c>
      <c r="N47" s="1">
        <v>1.7830240000000001E-2</v>
      </c>
      <c r="O47" s="1">
        <v>1994</v>
      </c>
      <c r="P47" s="1">
        <v>35.553498560000001</v>
      </c>
      <c r="Q47" s="1">
        <v>-5.3330247999999997E-2</v>
      </c>
      <c r="R47" s="1" t="s">
        <v>59</v>
      </c>
      <c r="T47" s="43">
        <f>IF(ISNUMBER(VLOOKUP(U47,Blotter!B:C,2,0)),VLOOKUP(U47,Blotter!B:C,2,0),"")</f>
        <v>1</v>
      </c>
      <c r="U47" s="42" t="str">
        <f t="shared" si="24"/>
        <v>ETH.USD-PAXOS</v>
      </c>
      <c r="V47" s="42">
        <f t="shared" si="25"/>
        <v>1.7830240000000001E-2</v>
      </c>
      <c r="W47" s="42">
        <f t="shared" si="26"/>
        <v>1994</v>
      </c>
      <c r="X47" s="42">
        <f t="shared" si="27"/>
        <v>-5.3330247999999997E-2</v>
      </c>
    </row>
    <row r="48" spans="1:31" x14ac:dyDescent="0.4">
      <c r="A48" s="1" t="s">
        <v>183</v>
      </c>
      <c r="B48" s="1" t="s">
        <v>59</v>
      </c>
      <c r="C48" s="1" t="s">
        <v>184</v>
      </c>
      <c r="D48" s="1" t="s">
        <v>185</v>
      </c>
      <c r="E48" s="1" t="s">
        <v>186</v>
      </c>
      <c r="H48" s="1">
        <v>1</v>
      </c>
      <c r="L48" s="44">
        <v>46108</v>
      </c>
      <c r="M48" s="1" t="s">
        <v>85</v>
      </c>
      <c r="N48" s="1">
        <v>5.6003954800000004</v>
      </c>
      <c r="O48" s="1">
        <v>1994</v>
      </c>
      <c r="P48" s="1">
        <v>11167.188587119999</v>
      </c>
      <c r="Q48" s="1">
        <v>-16.750782880999999</v>
      </c>
      <c r="R48" s="1" t="s">
        <v>59</v>
      </c>
      <c r="T48" s="43">
        <f>IF(ISNUMBER(VLOOKUP(U48,Blotter!B:C,2,0)),VLOOKUP(U48,Blotter!B:C,2,0),"")</f>
        <v>1</v>
      </c>
      <c r="U48" s="42" t="str">
        <f t="shared" si="24"/>
        <v>ETH.USD-PAXOS</v>
      </c>
      <c r="V48" s="42">
        <f t="shared" si="25"/>
        <v>5.6003954800000004</v>
      </c>
      <c r="W48" s="42">
        <f t="shared" si="26"/>
        <v>1994</v>
      </c>
      <c r="X48" s="42">
        <f t="shared" si="27"/>
        <v>-16.750782880999999</v>
      </c>
    </row>
    <row r="49" spans="1:24" x14ac:dyDescent="0.4">
      <c r="A49" s="1" t="s">
        <v>183</v>
      </c>
      <c r="B49" s="1" t="s">
        <v>59</v>
      </c>
      <c r="C49" s="1" t="s">
        <v>184</v>
      </c>
      <c r="D49" s="1" t="s">
        <v>185</v>
      </c>
      <c r="E49" s="1" t="s">
        <v>186</v>
      </c>
      <c r="H49" s="1">
        <v>1</v>
      </c>
      <c r="L49" s="44">
        <v>46108</v>
      </c>
      <c r="M49" s="1" t="s">
        <v>85</v>
      </c>
      <c r="N49" s="1">
        <v>0.13040535</v>
      </c>
      <c r="O49" s="1">
        <v>1994</v>
      </c>
      <c r="P49" s="1">
        <v>260.0282679</v>
      </c>
      <c r="Q49" s="1">
        <v>-0.39004240200000001</v>
      </c>
      <c r="R49" s="1" t="s">
        <v>59</v>
      </c>
      <c r="T49" s="43">
        <f>IF(ISNUMBER(VLOOKUP(U49,Blotter!B:C,2,0)),VLOOKUP(U49,Blotter!B:C,2,0),"")</f>
        <v>1</v>
      </c>
      <c r="U49" s="42" t="str">
        <f t="shared" si="24"/>
        <v>ETH.USD-PAXOS</v>
      </c>
      <c r="V49" s="42">
        <f t="shared" si="25"/>
        <v>0.13040535</v>
      </c>
      <c r="W49" s="42">
        <f t="shared" si="26"/>
        <v>1994</v>
      </c>
      <c r="X49" s="42">
        <f t="shared" si="27"/>
        <v>-0.39004240200000001</v>
      </c>
    </row>
    <row r="50" spans="1:24" x14ac:dyDescent="0.4">
      <c r="A50" s="1" t="s">
        <v>183</v>
      </c>
      <c r="B50" s="1" t="s">
        <v>59</v>
      </c>
      <c r="C50" s="1" t="s">
        <v>184</v>
      </c>
      <c r="D50" s="1" t="s">
        <v>185</v>
      </c>
      <c r="E50" s="1" t="s">
        <v>186</v>
      </c>
      <c r="H50" s="1">
        <v>1</v>
      </c>
      <c r="L50" s="44">
        <v>46108</v>
      </c>
      <c r="M50" s="1" t="s">
        <v>85</v>
      </c>
      <c r="N50" s="1">
        <v>5.4676202299999996</v>
      </c>
      <c r="O50" s="1">
        <v>1994</v>
      </c>
      <c r="P50" s="1">
        <v>10902.434738620001</v>
      </c>
      <c r="Q50" s="1">
        <v>-16.353652107999999</v>
      </c>
      <c r="R50" s="1" t="s">
        <v>59</v>
      </c>
      <c r="T50" s="43">
        <f>IF(ISNUMBER(VLOOKUP(U50,Blotter!B:C,2,0)),VLOOKUP(U50,Blotter!B:C,2,0),"")</f>
        <v>1</v>
      </c>
      <c r="U50" s="42" t="str">
        <f t="shared" si="24"/>
        <v>ETH.USD-PAXOS</v>
      </c>
      <c r="V50" s="42">
        <f t="shared" si="25"/>
        <v>5.4676202299999996</v>
      </c>
      <c r="W50" s="42">
        <f t="shared" si="26"/>
        <v>1994</v>
      </c>
      <c r="X50" s="42">
        <f t="shared" si="27"/>
        <v>-16.353652107999999</v>
      </c>
    </row>
    <row r="51" spans="1:24" x14ac:dyDescent="0.4">
      <c r="A51" s="1" t="s">
        <v>183</v>
      </c>
      <c r="B51" s="1" t="s">
        <v>59</v>
      </c>
      <c r="C51" s="1" t="s">
        <v>184</v>
      </c>
      <c r="D51" s="1" t="s">
        <v>185</v>
      </c>
      <c r="E51" s="1" t="s">
        <v>186</v>
      </c>
      <c r="H51" s="1">
        <v>1</v>
      </c>
      <c r="L51" s="44">
        <v>46108</v>
      </c>
      <c r="M51" s="1" t="s">
        <v>85</v>
      </c>
      <c r="N51" s="1">
        <v>3.9722540000000001E-2</v>
      </c>
      <c r="O51" s="1">
        <v>1994</v>
      </c>
      <c r="P51" s="1">
        <v>79.206744760000007</v>
      </c>
      <c r="Q51" s="1">
        <v>-0.11881011700000001</v>
      </c>
      <c r="R51" s="1" t="s">
        <v>59</v>
      </c>
      <c r="T51" s="43">
        <f>IF(ISNUMBER(VLOOKUP(U51,Blotter!B:C,2,0)),VLOOKUP(U51,Blotter!B:C,2,0),"")</f>
        <v>1</v>
      </c>
      <c r="U51" s="42" t="str">
        <f t="shared" si="24"/>
        <v>ETH.USD-PAXOS</v>
      </c>
      <c r="V51" s="42">
        <f t="shared" si="25"/>
        <v>3.9722540000000001E-2</v>
      </c>
      <c r="W51" s="42">
        <f t="shared" si="26"/>
        <v>1994</v>
      </c>
      <c r="X51" s="42">
        <f t="shared" si="27"/>
        <v>-0.11881011700000001</v>
      </c>
    </row>
    <row r="52" spans="1:24" x14ac:dyDescent="0.4">
      <c r="A52" s="1" t="s">
        <v>183</v>
      </c>
      <c r="B52" s="1" t="s">
        <v>59</v>
      </c>
      <c r="C52" s="1" t="s">
        <v>184</v>
      </c>
      <c r="D52" s="1" t="s">
        <v>185</v>
      </c>
      <c r="E52" s="1" t="s">
        <v>186</v>
      </c>
      <c r="H52" s="1">
        <v>1</v>
      </c>
      <c r="L52" s="44">
        <v>46108</v>
      </c>
      <c r="M52" s="1" t="s">
        <v>85</v>
      </c>
      <c r="N52" s="1">
        <v>5.46148525</v>
      </c>
      <c r="O52" s="1">
        <v>1994</v>
      </c>
      <c r="P52" s="1">
        <v>10890.2015885</v>
      </c>
      <c r="Q52" s="1">
        <v>-16.335302382999998</v>
      </c>
      <c r="R52" s="1" t="s">
        <v>59</v>
      </c>
      <c r="T52" s="43">
        <f>IF(ISNUMBER(VLOOKUP(U52,Blotter!B:C,2,0)),VLOOKUP(U52,Blotter!B:C,2,0),"")</f>
        <v>1</v>
      </c>
      <c r="U52" s="42" t="str">
        <f t="shared" si="24"/>
        <v>ETH.USD-PAXOS</v>
      </c>
      <c r="V52" s="42">
        <f t="shared" si="25"/>
        <v>5.46148525</v>
      </c>
      <c r="W52" s="42">
        <f t="shared" si="26"/>
        <v>1994</v>
      </c>
      <c r="X52" s="42">
        <f t="shared" si="27"/>
        <v>-16.335302382999998</v>
      </c>
    </row>
    <row r="53" spans="1:24" x14ac:dyDescent="0.4">
      <c r="A53" s="1" t="s">
        <v>183</v>
      </c>
      <c r="B53" s="1" t="s">
        <v>59</v>
      </c>
      <c r="C53" s="1" t="s">
        <v>184</v>
      </c>
      <c r="D53" s="1" t="s">
        <v>185</v>
      </c>
      <c r="E53" s="1" t="s">
        <v>186</v>
      </c>
      <c r="H53" s="1">
        <v>1</v>
      </c>
      <c r="L53" s="44">
        <v>46108</v>
      </c>
      <c r="M53" s="1" t="s">
        <v>85</v>
      </c>
      <c r="N53" s="1">
        <v>1.6365109999999999E-2</v>
      </c>
      <c r="O53" s="1">
        <v>1994</v>
      </c>
      <c r="P53" s="1">
        <v>32.632029340000003</v>
      </c>
      <c r="Q53" s="1">
        <v>-4.8948044000000003E-2</v>
      </c>
      <c r="R53" s="1" t="s">
        <v>59</v>
      </c>
      <c r="T53" s="43">
        <f>IF(ISNUMBER(VLOOKUP(U53,Blotter!B:C,2,0)),VLOOKUP(U53,Blotter!B:C,2,0),"")</f>
        <v>1</v>
      </c>
      <c r="U53" s="42" t="str">
        <f t="shared" si="24"/>
        <v>ETH.USD-PAXOS</v>
      </c>
      <c r="V53" s="42">
        <f t="shared" si="25"/>
        <v>1.6365109999999999E-2</v>
      </c>
      <c r="W53" s="42">
        <f t="shared" si="26"/>
        <v>1994</v>
      </c>
      <c r="X53" s="42">
        <f t="shared" si="27"/>
        <v>-4.8948044000000003E-2</v>
      </c>
    </row>
    <row r="54" spans="1:24" x14ac:dyDescent="0.4">
      <c r="A54" s="1" t="s">
        <v>183</v>
      </c>
      <c r="B54" s="1" t="s">
        <v>59</v>
      </c>
      <c r="C54" s="1" t="s">
        <v>184</v>
      </c>
      <c r="D54" s="1" t="s">
        <v>185</v>
      </c>
      <c r="E54" s="1" t="s">
        <v>186</v>
      </c>
      <c r="H54" s="1">
        <v>1</v>
      </c>
      <c r="L54" s="44">
        <v>46108</v>
      </c>
      <c r="M54" s="1" t="s">
        <v>85</v>
      </c>
      <c r="N54" s="1">
        <v>5.42789769</v>
      </c>
      <c r="O54" s="1">
        <v>1994</v>
      </c>
      <c r="P54" s="1">
        <v>10823.22799386</v>
      </c>
      <c r="Q54" s="1">
        <v>-16.234841991</v>
      </c>
      <c r="R54" s="1" t="s">
        <v>59</v>
      </c>
      <c r="T54" s="43">
        <f>IF(ISNUMBER(VLOOKUP(U54,Blotter!B:C,2,0)),VLOOKUP(U54,Blotter!B:C,2,0),"")</f>
        <v>1</v>
      </c>
      <c r="U54" s="42" t="str">
        <f t="shared" si="24"/>
        <v>ETH.USD-PAXOS</v>
      </c>
      <c r="V54" s="42">
        <f t="shared" si="25"/>
        <v>5.42789769</v>
      </c>
      <c r="W54" s="42">
        <f t="shared" si="26"/>
        <v>1994</v>
      </c>
      <c r="X54" s="42">
        <f t="shared" si="27"/>
        <v>-16.234841991</v>
      </c>
    </row>
    <row r="55" spans="1:24" x14ac:dyDescent="0.4">
      <c r="A55" s="1" t="s">
        <v>183</v>
      </c>
      <c r="B55" s="1" t="s">
        <v>59</v>
      </c>
      <c r="C55" s="1" t="s">
        <v>184</v>
      </c>
      <c r="D55" s="1" t="s">
        <v>185</v>
      </c>
      <c r="E55" s="1" t="s">
        <v>186</v>
      </c>
      <c r="H55" s="1">
        <v>1</v>
      </c>
      <c r="L55" s="44">
        <v>46108</v>
      </c>
      <c r="M55" s="1" t="s">
        <v>85</v>
      </c>
      <c r="N55" s="1">
        <v>5.2095590500000002</v>
      </c>
      <c r="O55" s="1">
        <v>1994</v>
      </c>
      <c r="P55" s="1">
        <v>10387.8607457</v>
      </c>
      <c r="Q55" s="1">
        <v>-15.581791118</v>
      </c>
      <c r="R55" s="1" t="s">
        <v>59</v>
      </c>
      <c r="T55" s="43">
        <f>IF(ISNUMBER(VLOOKUP(U55,Blotter!B:C,2,0)),VLOOKUP(U55,Blotter!B:C,2,0),"")</f>
        <v>1</v>
      </c>
      <c r="U55" s="42" t="str">
        <f t="shared" si="24"/>
        <v>ETH.USD-PAXOS</v>
      </c>
      <c r="V55" s="42">
        <f t="shared" si="25"/>
        <v>5.2095590500000002</v>
      </c>
      <c r="W55" s="42">
        <f t="shared" si="26"/>
        <v>1994</v>
      </c>
      <c r="X55" s="42">
        <f t="shared" si="27"/>
        <v>-15.581791118</v>
      </c>
    </row>
    <row r="56" spans="1:24" x14ac:dyDescent="0.4">
      <c r="A56" s="1" t="s">
        <v>183</v>
      </c>
      <c r="B56" s="1" t="s">
        <v>59</v>
      </c>
      <c r="C56" s="1" t="s">
        <v>184</v>
      </c>
      <c r="D56" s="1" t="s">
        <v>185</v>
      </c>
      <c r="E56" s="1" t="s">
        <v>186</v>
      </c>
      <c r="H56" s="1">
        <v>1</v>
      </c>
      <c r="L56" s="44">
        <v>46108</v>
      </c>
      <c r="M56" s="1" t="s">
        <v>85</v>
      </c>
      <c r="N56" s="1">
        <v>3.4658999999999997E-4</v>
      </c>
      <c r="O56" s="1">
        <v>1994</v>
      </c>
      <c r="P56" s="1">
        <v>0.69110046000000003</v>
      </c>
      <c r="Q56" s="1">
        <v>-1.036651E-3</v>
      </c>
      <c r="R56" s="1" t="s">
        <v>59</v>
      </c>
      <c r="T56" s="43">
        <f>IF(ISNUMBER(VLOOKUP(U56,Blotter!B:C,2,0)),VLOOKUP(U56,Blotter!B:C,2,0),"")</f>
        <v>1</v>
      </c>
      <c r="U56" s="42" t="str">
        <f t="shared" si="24"/>
        <v>ETH.USD-PAXOS</v>
      </c>
      <c r="V56" s="42">
        <f t="shared" si="25"/>
        <v>3.4658999999999997E-4</v>
      </c>
      <c r="W56" s="42">
        <f t="shared" si="26"/>
        <v>1994</v>
      </c>
      <c r="X56" s="42">
        <f t="shared" si="27"/>
        <v>-1.036651E-3</v>
      </c>
    </row>
    <row r="57" spans="1:24" x14ac:dyDescent="0.4">
      <c r="A57" s="1" t="s">
        <v>183</v>
      </c>
      <c r="B57" s="1" t="s">
        <v>59</v>
      </c>
      <c r="C57" s="1" t="s">
        <v>184</v>
      </c>
      <c r="D57" s="1" t="s">
        <v>185</v>
      </c>
      <c r="E57" s="1" t="s">
        <v>186</v>
      </c>
      <c r="H57" s="1">
        <v>1</v>
      </c>
      <c r="L57" s="44">
        <v>46108</v>
      </c>
      <c r="M57" s="1" t="s">
        <v>85</v>
      </c>
      <c r="N57" s="1">
        <v>5.4318504599999997</v>
      </c>
      <c r="O57" s="1">
        <v>1994</v>
      </c>
      <c r="P57" s="1">
        <v>10831.10981724</v>
      </c>
      <c r="Q57" s="1">
        <v>-16.246664725999999</v>
      </c>
      <c r="R57" s="1" t="s">
        <v>59</v>
      </c>
      <c r="T57" s="43">
        <f>IF(ISNUMBER(VLOOKUP(U57,Blotter!B:C,2,0)),VLOOKUP(U57,Blotter!B:C,2,0),"")</f>
        <v>1</v>
      </c>
      <c r="U57" s="42" t="str">
        <f t="shared" si="24"/>
        <v>ETH.USD-PAXOS</v>
      </c>
      <c r="V57" s="42">
        <f t="shared" si="25"/>
        <v>5.4318504599999997</v>
      </c>
      <c r="W57" s="42">
        <f t="shared" si="26"/>
        <v>1994</v>
      </c>
      <c r="X57" s="42">
        <f t="shared" si="27"/>
        <v>-16.246664725999999</v>
      </c>
    </row>
    <row r="58" spans="1:24" x14ac:dyDescent="0.4">
      <c r="A58" s="1" t="s">
        <v>183</v>
      </c>
      <c r="B58" s="1" t="s">
        <v>59</v>
      </c>
      <c r="C58" s="1" t="s">
        <v>184</v>
      </c>
      <c r="D58" s="1" t="s">
        <v>185</v>
      </c>
      <c r="E58" s="1" t="s">
        <v>186</v>
      </c>
      <c r="H58" s="1">
        <v>1</v>
      </c>
      <c r="L58" s="44">
        <v>46108</v>
      </c>
      <c r="M58" s="1" t="s">
        <v>85</v>
      </c>
      <c r="N58" s="1">
        <v>0.98561562000000003</v>
      </c>
      <c r="O58" s="1">
        <v>1994</v>
      </c>
      <c r="P58" s="1">
        <v>1965.31754628</v>
      </c>
      <c r="Q58" s="1">
        <v>-2.9479763189999999</v>
      </c>
      <c r="R58" s="1" t="s">
        <v>59</v>
      </c>
      <c r="T58" s="43">
        <f>IF(ISNUMBER(VLOOKUP(U58,Blotter!B:C,2,0)),VLOOKUP(U58,Blotter!B:C,2,0),"")</f>
        <v>1</v>
      </c>
      <c r="U58" s="42" t="str">
        <f t="shared" si="24"/>
        <v>ETH.USD-PAXOS</v>
      </c>
      <c r="V58" s="42">
        <f t="shared" si="25"/>
        <v>0.98561562000000003</v>
      </c>
      <c r="W58" s="42">
        <f t="shared" si="26"/>
        <v>1994</v>
      </c>
      <c r="X58" s="42">
        <f t="shared" si="27"/>
        <v>-2.9479763189999999</v>
      </c>
    </row>
    <row r="59" spans="1:24" x14ac:dyDescent="0.4">
      <c r="A59" s="1" t="s">
        <v>183</v>
      </c>
      <c r="B59" s="1" t="s">
        <v>59</v>
      </c>
      <c r="C59" s="1" t="s">
        <v>184</v>
      </c>
      <c r="D59" s="1" t="s">
        <v>185</v>
      </c>
      <c r="E59" s="1" t="s">
        <v>186</v>
      </c>
      <c r="H59" s="1">
        <v>1</v>
      </c>
      <c r="L59" s="44">
        <v>46108</v>
      </c>
      <c r="M59" s="1" t="s">
        <v>85</v>
      </c>
      <c r="N59" s="1">
        <v>0.27732300999999998</v>
      </c>
      <c r="O59" s="1">
        <v>1994</v>
      </c>
      <c r="P59" s="1">
        <v>552.98208193999994</v>
      </c>
      <c r="Q59" s="1">
        <v>-0.82947312299999998</v>
      </c>
      <c r="R59" s="1" t="s">
        <v>59</v>
      </c>
      <c r="T59" s="43">
        <f>IF(ISNUMBER(VLOOKUP(U59,Blotter!B:C,2,0)),VLOOKUP(U59,Blotter!B:C,2,0),"")</f>
        <v>1</v>
      </c>
      <c r="U59" s="42" t="str">
        <f t="shared" si="24"/>
        <v>ETH.USD-PAXOS</v>
      </c>
      <c r="V59" s="42">
        <f t="shared" si="25"/>
        <v>0.27732300999999998</v>
      </c>
      <c r="W59" s="42">
        <f t="shared" si="26"/>
        <v>1994</v>
      </c>
      <c r="X59" s="42">
        <f t="shared" si="27"/>
        <v>-0.82947312299999998</v>
      </c>
    </row>
    <row r="60" spans="1:24" x14ac:dyDescent="0.4">
      <c r="A60" s="1" t="s">
        <v>292</v>
      </c>
      <c r="B60" s="1" t="s">
        <v>59</v>
      </c>
      <c r="C60" s="1" t="s">
        <v>58</v>
      </c>
      <c r="D60" s="1" t="s">
        <v>322</v>
      </c>
      <c r="E60" s="1" t="s">
        <v>323</v>
      </c>
      <c r="F60" s="1" t="s">
        <v>78</v>
      </c>
      <c r="G60" s="1" t="s">
        <v>321</v>
      </c>
      <c r="H60" s="1">
        <v>5</v>
      </c>
      <c r="J60" s="44">
        <v>46185</v>
      </c>
      <c r="L60" s="44">
        <v>46111</v>
      </c>
      <c r="M60" s="1" t="s">
        <v>85</v>
      </c>
      <c r="N60" s="1">
        <v>2</v>
      </c>
      <c r="O60" s="1">
        <v>51210</v>
      </c>
      <c r="P60" s="1">
        <v>512100</v>
      </c>
      <c r="Q60" s="1">
        <v>-6.04</v>
      </c>
      <c r="R60" s="1" t="s">
        <v>59</v>
      </c>
      <c r="T60" s="43">
        <f>IF(ISNUMBER(VLOOKUP(U60,Blotter!B:C,2,0)),VLOOKUP(U60,Blotter!B:C,2,0),"")</f>
        <v>5</v>
      </c>
      <c r="U60" s="42" t="str">
        <f t="shared" ref="U60:U63" si="28">D60</f>
        <v>NKDM6</v>
      </c>
      <c r="V60" s="42">
        <f t="shared" ref="V60:V63" si="29">N60</f>
        <v>2</v>
      </c>
      <c r="W60" s="42">
        <f t="shared" ref="W60:W63" si="30">O60</f>
        <v>51210</v>
      </c>
      <c r="X60" s="42">
        <f t="shared" ref="X60:X63" si="31">Q60</f>
        <v>-6.04</v>
      </c>
    </row>
    <row r="61" spans="1:24" x14ac:dyDescent="0.4">
      <c r="A61" s="1" t="s">
        <v>292</v>
      </c>
      <c r="B61" s="1" t="s">
        <v>59</v>
      </c>
      <c r="C61" s="1" t="s">
        <v>58</v>
      </c>
      <c r="D61" s="1" t="s">
        <v>322</v>
      </c>
      <c r="E61" s="1" t="s">
        <v>323</v>
      </c>
      <c r="F61" s="1" t="s">
        <v>78</v>
      </c>
      <c r="G61" s="1" t="s">
        <v>321</v>
      </c>
      <c r="H61" s="1">
        <v>5</v>
      </c>
      <c r="J61" s="44">
        <v>46185</v>
      </c>
      <c r="L61" s="44">
        <v>46111</v>
      </c>
      <c r="M61" s="1" t="s">
        <v>85</v>
      </c>
      <c r="N61" s="1">
        <v>3</v>
      </c>
      <c r="O61" s="1">
        <v>51210</v>
      </c>
      <c r="P61" s="1">
        <v>768150</v>
      </c>
      <c r="Q61" s="1">
        <v>-9.06</v>
      </c>
      <c r="R61" s="1" t="s">
        <v>59</v>
      </c>
      <c r="T61" s="43">
        <f>IF(ISNUMBER(VLOOKUP(U61,Blotter!B:C,2,0)),VLOOKUP(U61,Blotter!B:C,2,0),"")</f>
        <v>5</v>
      </c>
      <c r="U61" s="42" t="str">
        <f t="shared" si="28"/>
        <v>NKDM6</v>
      </c>
      <c r="V61" s="42">
        <f t="shared" si="29"/>
        <v>3</v>
      </c>
      <c r="W61" s="42">
        <f t="shared" si="30"/>
        <v>51210</v>
      </c>
      <c r="X61" s="42">
        <f t="shared" si="31"/>
        <v>-9.06</v>
      </c>
    </row>
    <row r="62" spans="1:24" x14ac:dyDescent="0.4">
      <c r="A62" s="1" t="s">
        <v>292</v>
      </c>
      <c r="B62" s="1" t="s">
        <v>59</v>
      </c>
      <c r="C62" s="1" t="s">
        <v>58</v>
      </c>
      <c r="D62" s="1" t="s">
        <v>322</v>
      </c>
      <c r="E62" s="1" t="s">
        <v>323</v>
      </c>
      <c r="F62" s="1" t="s">
        <v>78</v>
      </c>
      <c r="G62" s="1" t="s">
        <v>321</v>
      </c>
      <c r="H62" s="1">
        <v>5</v>
      </c>
      <c r="J62" s="44">
        <v>46185</v>
      </c>
      <c r="L62" s="44">
        <v>46111</v>
      </c>
      <c r="M62" s="1" t="s">
        <v>85</v>
      </c>
      <c r="N62" s="1">
        <v>1</v>
      </c>
      <c r="O62" s="1">
        <v>51210</v>
      </c>
      <c r="P62" s="1">
        <v>256050</v>
      </c>
      <c r="Q62" s="1">
        <v>-3.02</v>
      </c>
      <c r="R62" s="1" t="s">
        <v>59</v>
      </c>
      <c r="T62" s="43">
        <f>IF(ISNUMBER(VLOOKUP(U62,Blotter!B:C,2,0)),VLOOKUP(U62,Blotter!B:C,2,0),"")</f>
        <v>5</v>
      </c>
      <c r="U62" s="42" t="str">
        <f t="shared" si="28"/>
        <v>NKDM6</v>
      </c>
      <c r="V62" s="42">
        <f t="shared" si="29"/>
        <v>1</v>
      </c>
      <c r="W62" s="42">
        <f t="shared" si="30"/>
        <v>51210</v>
      </c>
      <c r="X62" s="42">
        <f t="shared" si="31"/>
        <v>-3.02</v>
      </c>
    </row>
    <row r="63" spans="1:24" x14ac:dyDescent="0.4">
      <c r="A63" s="1" t="s">
        <v>292</v>
      </c>
      <c r="B63" s="1" t="s">
        <v>59</v>
      </c>
      <c r="C63" s="1" t="s">
        <v>58</v>
      </c>
      <c r="D63" s="1" t="s">
        <v>322</v>
      </c>
      <c r="E63" s="1" t="s">
        <v>323</v>
      </c>
      <c r="F63" s="1" t="s">
        <v>78</v>
      </c>
      <c r="G63" s="1" t="s">
        <v>321</v>
      </c>
      <c r="H63" s="1">
        <v>5</v>
      </c>
      <c r="J63" s="44">
        <v>46185</v>
      </c>
      <c r="L63" s="44">
        <v>46111</v>
      </c>
      <c r="M63" s="1" t="s">
        <v>85</v>
      </c>
      <c r="N63" s="1">
        <v>1</v>
      </c>
      <c r="O63" s="1">
        <v>51210</v>
      </c>
      <c r="P63" s="1">
        <v>256050</v>
      </c>
      <c r="Q63" s="1">
        <v>-3.02</v>
      </c>
      <c r="R63" s="1" t="s">
        <v>59</v>
      </c>
      <c r="T63" s="43">
        <f>IF(ISNUMBER(VLOOKUP(U63,Blotter!B:C,2,0)),VLOOKUP(U63,Blotter!B:C,2,0),"")</f>
        <v>5</v>
      </c>
      <c r="U63" s="42" t="str">
        <f t="shared" si="28"/>
        <v>NKDM6</v>
      </c>
      <c r="V63" s="42">
        <f t="shared" si="29"/>
        <v>1</v>
      </c>
      <c r="W63" s="42">
        <f t="shared" si="30"/>
        <v>51210</v>
      </c>
      <c r="X63" s="42">
        <f t="shared" si="31"/>
        <v>-3.02</v>
      </c>
    </row>
    <row r="64" spans="1:24" x14ac:dyDescent="0.4">
      <c r="A64" s="1" t="s">
        <v>292</v>
      </c>
      <c r="B64" s="1" t="s">
        <v>59</v>
      </c>
      <c r="C64" s="1" t="s">
        <v>58</v>
      </c>
      <c r="D64" s="1" t="s">
        <v>322</v>
      </c>
      <c r="E64" s="1" t="s">
        <v>323</v>
      </c>
      <c r="F64" s="1" t="s">
        <v>78</v>
      </c>
      <c r="G64" s="1" t="s">
        <v>321</v>
      </c>
      <c r="H64" s="1">
        <v>5</v>
      </c>
      <c r="J64" s="44">
        <v>46185</v>
      </c>
      <c r="L64" s="44">
        <v>46112</v>
      </c>
      <c r="M64" s="1" t="s">
        <v>291</v>
      </c>
      <c r="N64" s="1">
        <v>-1</v>
      </c>
      <c r="O64" s="1">
        <v>51510</v>
      </c>
      <c r="P64" s="1">
        <v>-257550</v>
      </c>
      <c r="Q64" s="1">
        <v>-3.02</v>
      </c>
      <c r="R64" s="1" t="s">
        <v>59</v>
      </c>
      <c r="T64" s="43">
        <f>IF(ISNUMBER(VLOOKUP(U64,Blotter!B:C,2,0)),VLOOKUP(U64,Blotter!B:C,2,0),"")</f>
        <v>5</v>
      </c>
      <c r="U64" s="42" t="str">
        <f t="shared" ref="U64:U65" si="32">D64</f>
        <v>NKDM6</v>
      </c>
      <c r="V64" s="42">
        <f t="shared" ref="V64:V65" si="33">N64</f>
        <v>-1</v>
      </c>
      <c r="W64" s="42">
        <f t="shared" ref="W64:W65" si="34">O64</f>
        <v>51510</v>
      </c>
      <c r="X64" s="42">
        <f t="shared" ref="X64:X65" si="35">Q64</f>
        <v>-3.02</v>
      </c>
    </row>
    <row r="65" spans="1:24" x14ac:dyDescent="0.4">
      <c r="A65" s="1" t="s">
        <v>292</v>
      </c>
      <c r="B65" s="1" t="s">
        <v>59</v>
      </c>
      <c r="C65" s="1" t="s">
        <v>58</v>
      </c>
      <c r="D65" s="1" t="s">
        <v>322</v>
      </c>
      <c r="E65" s="1" t="s">
        <v>323</v>
      </c>
      <c r="F65" s="1" t="s">
        <v>78</v>
      </c>
      <c r="G65" s="1" t="s">
        <v>321</v>
      </c>
      <c r="H65" s="1">
        <v>5</v>
      </c>
      <c r="J65" s="44">
        <v>46185</v>
      </c>
      <c r="L65" s="44">
        <v>46112</v>
      </c>
      <c r="M65" s="1" t="s">
        <v>291</v>
      </c>
      <c r="N65" s="1">
        <v>-1</v>
      </c>
      <c r="O65" s="1">
        <v>51460</v>
      </c>
      <c r="P65" s="1">
        <v>-257300</v>
      </c>
      <c r="Q65" s="1">
        <v>-3.02</v>
      </c>
      <c r="R65" s="1" t="s">
        <v>59</v>
      </c>
      <c r="T65" s="43">
        <f>IF(ISNUMBER(VLOOKUP(U65,Blotter!B:C,2,0)),VLOOKUP(U65,Blotter!B:C,2,0),"")</f>
        <v>5</v>
      </c>
      <c r="U65" s="42" t="str">
        <f t="shared" si="32"/>
        <v>NKDM6</v>
      </c>
      <c r="V65" s="42">
        <f t="shared" si="33"/>
        <v>-1</v>
      </c>
      <c r="W65" s="42">
        <f t="shared" si="34"/>
        <v>51460</v>
      </c>
      <c r="X65" s="42">
        <f t="shared" si="35"/>
        <v>-3.02</v>
      </c>
    </row>
    <row r="66" spans="1:24" x14ac:dyDescent="0.4">
      <c r="A66" s="1" t="s">
        <v>292</v>
      </c>
      <c r="B66" s="1" t="s">
        <v>59</v>
      </c>
      <c r="C66" s="1" t="s">
        <v>58</v>
      </c>
      <c r="D66" s="1" t="s">
        <v>322</v>
      </c>
      <c r="E66" s="1" t="s">
        <v>323</v>
      </c>
      <c r="F66" s="1" t="s">
        <v>78</v>
      </c>
      <c r="G66" s="1" t="s">
        <v>321</v>
      </c>
      <c r="H66" s="1">
        <v>5</v>
      </c>
      <c r="J66" s="44">
        <v>46185</v>
      </c>
      <c r="L66" s="44">
        <v>46112</v>
      </c>
      <c r="M66" s="1" t="s">
        <v>291</v>
      </c>
      <c r="N66" s="1">
        <v>-4</v>
      </c>
      <c r="O66" s="1">
        <v>51460</v>
      </c>
      <c r="P66" s="1">
        <v>-1029200</v>
      </c>
      <c r="Q66" s="1">
        <v>-12.08</v>
      </c>
      <c r="R66" s="1" t="s">
        <v>59</v>
      </c>
      <c r="T66" s="43">
        <f>IF(ISNUMBER(VLOOKUP(U66,Blotter!B:C,2,0)),VLOOKUP(U66,Blotter!B:C,2,0),"")</f>
        <v>5</v>
      </c>
      <c r="U66" s="42" t="str">
        <f t="shared" ref="U66" si="36">D66</f>
        <v>NKDM6</v>
      </c>
      <c r="V66" s="42">
        <f t="shared" ref="V66" si="37">N66</f>
        <v>-4</v>
      </c>
      <c r="W66" s="42">
        <f t="shared" ref="W66" si="38">O66</f>
        <v>51460</v>
      </c>
      <c r="X66" s="42">
        <f t="shared" ref="X66" si="39">Q66</f>
        <v>-12.08</v>
      </c>
    </row>
    <row r="67" spans="1:24" x14ac:dyDescent="0.4">
      <c r="A67" s="1" t="s">
        <v>292</v>
      </c>
      <c r="B67" s="1" t="s">
        <v>59</v>
      </c>
      <c r="C67" s="1" t="s">
        <v>303</v>
      </c>
      <c r="D67" s="1" t="s">
        <v>326</v>
      </c>
      <c r="E67" s="1" t="s">
        <v>330</v>
      </c>
      <c r="F67" s="1" t="s">
        <v>80</v>
      </c>
      <c r="G67" s="1" t="s">
        <v>264</v>
      </c>
      <c r="H67" s="1">
        <v>100</v>
      </c>
      <c r="I67" s="1">
        <v>4930</v>
      </c>
      <c r="J67" s="44">
        <v>46168</v>
      </c>
      <c r="K67" s="1" t="s">
        <v>327</v>
      </c>
      <c r="L67" s="44">
        <v>46119</v>
      </c>
      <c r="M67" s="1" t="s">
        <v>85</v>
      </c>
      <c r="N67" s="1">
        <v>1</v>
      </c>
      <c r="O67" s="1">
        <v>125.4</v>
      </c>
      <c r="P67" s="1">
        <v>12540</v>
      </c>
      <c r="Q67" s="1">
        <v>-2.52</v>
      </c>
      <c r="R67" s="1" t="s">
        <v>59</v>
      </c>
      <c r="T67" s="43">
        <f>IF(ISNUMBER(VLOOKUP(U67,Blotter!B:C,2,0)),VLOOKUP(U67,Blotter!B:C,2,0),"")</f>
        <v>6</v>
      </c>
      <c r="U67" s="42" t="str">
        <f t="shared" ref="U67:U69" si="40">D67</f>
        <v>OGM6 C4930</v>
      </c>
      <c r="V67" s="42">
        <f t="shared" ref="V67:V69" si="41">N67</f>
        <v>1</v>
      </c>
      <c r="W67" s="42">
        <f t="shared" ref="W67:W69" si="42">O67</f>
        <v>125.4</v>
      </c>
      <c r="X67" s="42">
        <f t="shared" ref="X67:X72" si="43">Q67</f>
        <v>-2.52</v>
      </c>
    </row>
    <row r="68" spans="1:24" x14ac:dyDescent="0.4">
      <c r="A68" s="1" t="s">
        <v>292</v>
      </c>
      <c r="B68" s="1" t="s">
        <v>59</v>
      </c>
      <c r="C68" s="1" t="s">
        <v>303</v>
      </c>
      <c r="D68" s="1" t="s">
        <v>325</v>
      </c>
      <c r="E68" s="1" t="s">
        <v>331</v>
      </c>
      <c r="F68" s="1" t="s">
        <v>80</v>
      </c>
      <c r="G68" s="1" t="s">
        <v>264</v>
      </c>
      <c r="H68" s="1">
        <v>100</v>
      </c>
      <c r="I68" s="1">
        <v>5500</v>
      </c>
      <c r="J68" s="44">
        <v>46168</v>
      </c>
      <c r="K68" s="1" t="s">
        <v>327</v>
      </c>
      <c r="L68" s="44">
        <v>46119</v>
      </c>
      <c r="M68" s="1" t="s">
        <v>291</v>
      </c>
      <c r="N68" s="1">
        <v>-1</v>
      </c>
      <c r="O68" s="1">
        <v>26.4</v>
      </c>
      <c r="P68" s="1">
        <v>-2640</v>
      </c>
      <c r="Q68" s="1">
        <v>-2.52</v>
      </c>
      <c r="R68" s="1" t="s">
        <v>59</v>
      </c>
      <c r="T68" s="43">
        <f>IF(ISNUMBER(VLOOKUP(U68,Blotter!B:C,2,0)),VLOOKUP(U68,Blotter!B:C,2,0),"")</f>
        <v>6</v>
      </c>
      <c r="U68" s="42" t="str">
        <f t="shared" si="40"/>
        <v>OGM6 C5500</v>
      </c>
      <c r="V68" s="42">
        <f t="shared" si="41"/>
        <v>-1</v>
      </c>
      <c r="W68" s="42">
        <f t="shared" si="42"/>
        <v>26.4</v>
      </c>
      <c r="X68" s="42">
        <f t="shared" si="43"/>
        <v>-2.52</v>
      </c>
    </row>
    <row r="69" spans="1:24" x14ac:dyDescent="0.4">
      <c r="A69" s="1" t="s">
        <v>292</v>
      </c>
      <c r="B69" s="1" t="s">
        <v>59</v>
      </c>
      <c r="C69" s="1" t="s">
        <v>58</v>
      </c>
      <c r="D69" s="1" t="s">
        <v>267</v>
      </c>
      <c r="E69" s="1" t="s">
        <v>340</v>
      </c>
      <c r="F69" s="1" t="s">
        <v>78</v>
      </c>
      <c r="G69" s="1" t="s">
        <v>56</v>
      </c>
      <c r="H69" s="1">
        <v>125000</v>
      </c>
      <c r="J69" s="44">
        <v>46188</v>
      </c>
      <c r="L69" s="44">
        <v>46125</v>
      </c>
      <c r="M69" s="1" t="s">
        <v>85</v>
      </c>
      <c r="N69" s="1">
        <v>5</v>
      </c>
      <c r="O69" s="1">
        <v>1.17215</v>
      </c>
      <c r="P69" s="1">
        <v>732593.75</v>
      </c>
      <c r="Q69" s="1">
        <v>-12.35</v>
      </c>
      <c r="R69" s="1" t="s">
        <v>59</v>
      </c>
      <c r="T69" s="43">
        <f>IF(ISNUMBER(VLOOKUP(U69,Blotter!B:C,2,0)),VLOOKUP(U69,Blotter!B:C,2,0),"")</f>
        <v>7</v>
      </c>
      <c r="U69" s="42" t="str">
        <f t="shared" si="40"/>
        <v>6EM6</v>
      </c>
      <c r="V69" s="42">
        <f t="shared" si="41"/>
        <v>5</v>
      </c>
      <c r="W69" s="42">
        <f t="shared" si="42"/>
        <v>1.17215</v>
      </c>
      <c r="X69" s="42">
        <f t="shared" si="43"/>
        <v>-12.35</v>
      </c>
    </row>
    <row r="70" spans="1:24" x14ac:dyDescent="0.4">
      <c r="A70" s="1" t="s">
        <v>292</v>
      </c>
      <c r="B70" s="1" t="s">
        <v>59</v>
      </c>
      <c r="C70" s="1" t="s">
        <v>58</v>
      </c>
      <c r="D70" s="1" t="s">
        <v>282</v>
      </c>
      <c r="E70" s="1" t="s">
        <v>293</v>
      </c>
      <c r="F70" s="1" t="s">
        <v>63</v>
      </c>
      <c r="G70" s="1" t="s">
        <v>34</v>
      </c>
      <c r="H70" s="1">
        <v>10</v>
      </c>
      <c r="J70" s="44">
        <v>46156</v>
      </c>
      <c r="L70" s="44">
        <v>46125</v>
      </c>
      <c r="M70" s="1" t="s">
        <v>291</v>
      </c>
      <c r="N70" s="1">
        <v>-2</v>
      </c>
      <c r="O70" s="1">
        <v>3268</v>
      </c>
      <c r="P70" s="1">
        <v>-65360</v>
      </c>
      <c r="Q70" s="1">
        <v>-5.94</v>
      </c>
      <c r="R70" s="1" t="s">
        <v>59</v>
      </c>
      <c r="T70" s="43">
        <f>IF(ISNUMBER(VLOOKUP(U70,Blotter!B:C,2,0)),VLOOKUP(U70,Blotter!B:C,2,0),"")</f>
        <v>2</v>
      </c>
      <c r="U70" s="42" t="str">
        <f t="shared" ref="U70:U71" si="44">D70</f>
        <v>CCK6</v>
      </c>
      <c r="V70" s="42">
        <f t="shared" ref="V70:V71" si="45">N70</f>
        <v>-2</v>
      </c>
      <c r="W70" s="42">
        <f t="shared" ref="W70:W71" si="46">O70</f>
        <v>3268</v>
      </c>
      <c r="X70" s="42">
        <f t="shared" si="43"/>
        <v>-5.94</v>
      </c>
    </row>
    <row r="71" spans="1:24" x14ac:dyDescent="0.4">
      <c r="A71" s="1" t="s">
        <v>292</v>
      </c>
      <c r="B71" s="1" t="s">
        <v>59</v>
      </c>
      <c r="C71" s="1" t="s">
        <v>58</v>
      </c>
      <c r="D71" s="1" t="s">
        <v>282</v>
      </c>
      <c r="E71" s="1" t="s">
        <v>293</v>
      </c>
      <c r="F71" s="1" t="s">
        <v>63</v>
      </c>
      <c r="G71" s="1" t="s">
        <v>34</v>
      </c>
      <c r="H71" s="1">
        <v>10</v>
      </c>
      <c r="J71" s="44">
        <v>46156</v>
      </c>
      <c r="L71" s="44">
        <v>46125</v>
      </c>
      <c r="M71" s="1" t="s">
        <v>291</v>
      </c>
      <c r="N71" s="1">
        <v>-1</v>
      </c>
      <c r="O71" s="1">
        <v>3267</v>
      </c>
      <c r="P71" s="1">
        <v>-32670</v>
      </c>
      <c r="Q71" s="1">
        <v>-2.97</v>
      </c>
      <c r="R71" s="1" t="s">
        <v>59</v>
      </c>
      <c r="T71" s="43">
        <f>IF(ISNUMBER(VLOOKUP(U71,Blotter!B:C,2,0)),VLOOKUP(U71,Blotter!B:C,2,0),"")</f>
        <v>2</v>
      </c>
      <c r="U71" s="42" t="str">
        <f t="shared" si="44"/>
        <v>CCK6</v>
      </c>
      <c r="V71" s="42">
        <f t="shared" si="45"/>
        <v>-1</v>
      </c>
      <c r="W71" s="42">
        <f t="shared" si="46"/>
        <v>3267</v>
      </c>
      <c r="X71" s="42">
        <f t="shared" si="43"/>
        <v>-2.97</v>
      </c>
    </row>
    <row r="72" spans="1:24" x14ac:dyDescent="0.4">
      <c r="A72" s="1" t="s">
        <v>292</v>
      </c>
      <c r="B72" s="1" t="s">
        <v>59</v>
      </c>
      <c r="C72" s="1" t="s">
        <v>58</v>
      </c>
      <c r="D72" s="1" t="s">
        <v>322</v>
      </c>
      <c r="E72" s="1" t="s">
        <v>323</v>
      </c>
      <c r="F72" s="1" t="s">
        <v>78</v>
      </c>
      <c r="G72" s="1" t="s">
        <v>321</v>
      </c>
      <c r="H72" s="1">
        <v>5</v>
      </c>
      <c r="J72" s="44">
        <v>46185</v>
      </c>
      <c r="L72" s="44">
        <v>46129</v>
      </c>
      <c r="M72" s="1" t="s">
        <v>291</v>
      </c>
      <c r="N72" s="1">
        <v>-1</v>
      </c>
      <c r="O72" s="1">
        <v>59945</v>
      </c>
      <c r="P72" s="1">
        <v>-299725</v>
      </c>
      <c r="Q72" s="1">
        <v>-3.02</v>
      </c>
      <c r="R72" s="1" t="s">
        <v>59</v>
      </c>
      <c r="T72" s="43">
        <f>IF(ISNUMBER(VLOOKUP(U72,Blotter!B:C,2,0)),VLOOKUP(U72,Blotter!B:C,2,0),"")</f>
        <v>5</v>
      </c>
      <c r="U72" s="42" t="str">
        <f t="shared" ref="U72" si="47">D72</f>
        <v>NKDM6</v>
      </c>
      <c r="V72" s="42">
        <f t="shared" ref="V72" si="48">N72</f>
        <v>-1</v>
      </c>
      <c r="W72" s="42">
        <f t="shared" ref="W72" si="49">O72</f>
        <v>59945</v>
      </c>
      <c r="X72" s="42">
        <f t="shared" si="43"/>
        <v>-3.02</v>
      </c>
    </row>
    <row r="73" spans="1:24" x14ac:dyDescent="0.4">
      <c r="T73" s="43"/>
      <c r="U73" s="42"/>
      <c r="V73" s="42"/>
      <c r="W73" s="42"/>
      <c r="X73" s="42"/>
    </row>
    <row r="74" spans="1:24" x14ac:dyDescent="0.4">
      <c r="T74" s="43"/>
      <c r="U74" s="42"/>
      <c r="V74" s="42"/>
      <c r="W74" s="42"/>
      <c r="X74" s="42"/>
    </row>
    <row r="75" spans="1:24" x14ac:dyDescent="0.4">
      <c r="T75" s="43"/>
      <c r="U75" s="42"/>
      <c r="V75" s="42"/>
      <c r="W75" s="42"/>
      <c r="X75" s="42"/>
    </row>
    <row r="76" spans="1:24" x14ac:dyDescent="0.4">
      <c r="T76" s="43"/>
      <c r="U76" s="42"/>
      <c r="V76" s="42"/>
      <c r="W76" s="42"/>
      <c r="X76" s="42"/>
    </row>
    <row r="77" spans="1:24" x14ac:dyDescent="0.4">
      <c r="T77" s="43"/>
      <c r="U77" s="42"/>
      <c r="V77" s="42"/>
      <c r="W77" s="42"/>
      <c r="X77" s="42"/>
    </row>
    <row r="78" spans="1:24" x14ac:dyDescent="0.4">
      <c r="T78" s="43"/>
      <c r="U78" s="42"/>
      <c r="V78" s="42"/>
      <c r="W78" s="42"/>
      <c r="X78" s="42"/>
    </row>
    <row r="79" spans="1:24" x14ac:dyDescent="0.4">
      <c r="T79" s="43"/>
      <c r="U79" s="42"/>
      <c r="V79" s="42"/>
      <c r="W79" s="42"/>
      <c r="X79" s="42"/>
    </row>
    <row r="80" spans="1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201</v>
      </c>
      <c r="B1" s="56"/>
    </row>
    <row r="3" spans="1:2" x14ac:dyDescent="0.4">
      <c r="A3" s="80" t="s">
        <v>200</v>
      </c>
      <c r="B3" s="89" t="s">
        <v>199</v>
      </c>
    </row>
    <row r="4" spans="1:2" x14ac:dyDescent="0.4">
      <c r="A4" s="80" t="s">
        <v>198</v>
      </c>
      <c r="B4" s="89">
        <v>7497</v>
      </c>
    </row>
    <row r="5" spans="1:2" x14ac:dyDescent="0.4">
      <c r="A5" s="80" t="s">
        <v>197</v>
      </c>
      <c r="B5" s="89">
        <v>11</v>
      </c>
    </row>
    <row r="6" spans="1:2" x14ac:dyDescent="0.4">
      <c r="A6" s="80" t="s">
        <v>196</v>
      </c>
      <c r="B6" s="89">
        <v>0.25</v>
      </c>
    </row>
    <row r="7" spans="1:2" x14ac:dyDescent="0.4">
      <c r="A7" s="80" t="s">
        <v>195</v>
      </c>
      <c r="B7" s="89" t="s">
        <v>194</v>
      </c>
    </row>
    <row r="8" spans="1:2" x14ac:dyDescent="0.4">
      <c r="A8" s="80" t="s">
        <v>193</v>
      </c>
      <c r="B8" s="89">
        <v>3</v>
      </c>
    </row>
    <row r="10" spans="1:2" x14ac:dyDescent="0.4">
      <c r="A10" s="1" t="s">
        <v>192</v>
      </c>
    </row>
    <row r="11" spans="1:2" x14ac:dyDescent="0.4">
      <c r="A11" s="1" t="s">
        <v>191</v>
      </c>
    </row>
    <row r="12" spans="1:2" x14ac:dyDescent="0.4">
      <c r="A12" s="1" t="s">
        <v>190</v>
      </c>
    </row>
    <row r="13" spans="1:2" x14ac:dyDescent="0.4">
      <c r="A13" s="1" t="s">
        <v>189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/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215</v>
      </c>
      <c r="B1" s="82" t="s">
        <v>214</v>
      </c>
      <c r="C1" s="82" t="s">
        <v>213</v>
      </c>
      <c r="D1" s="82" t="s">
        <v>212</v>
      </c>
      <c r="E1" s="82" t="s">
        <v>211</v>
      </c>
      <c r="F1" s="82" t="s">
        <v>210</v>
      </c>
      <c r="G1" s="82" t="s">
        <v>209</v>
      </c>
      <c r="H1" s="82" t="s">
        <v>208</v>
      </c>
      <c r="I1" s="82" t="s">
        <v>207</v>
      </c>
      <c r="J1" s="82" t="s">
        <v>206</v>
      </c>
      <c r="K1" s="82" t="s">
        <v>205</v>
      </c>
      <c r="L1" s="82" t="s">
        <v>204</v>
      </c>
      <c r="M1" s="82" t="s">
        <v>203</v>
      </c>
    </row>
    <row r="2" spans="1:13" x14ac:dyDescent="0.4">
      <c r="A2" s="88">
        <v>1</v>
      </c>
      <c r="B2" s="88" t="s">
        <v>239</v>
      </c>
      <c r="C2" s="88" t="s">
        <v>58</v>
      </c>
      <c r="D2" s="88" t="s">
        <v>21</v>
      </c>
      <c r="E2" s="88" t="s">
        <v>78</v>
      </c>
      <c r="F2" s="88" t="s">
        <v>59</v>
      </c>
      <c r="G2" s="88" t="s">
        <v>202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240</v>
      </c>
      <c r="C3" s="88" t="s">
        <v>58</v>
      </c>
      <c r="D3" s="88" t="s">
        <v>22</v>
      </c>
      <c r="E3" s="88" t="s">
        <v>78</v>
      </c>
      <c r="F3" s="88" t="s">
        <v>59</v>
      </c>
      <c r="G3" s="88" t="s">
        <v>202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241</v>
      </c>
      <c r="C4" s="88" t="s">
        <v>58</v>
      </c>
      <c r="D4" s="88" t="s">
        <v>23</v>
      </c>
      <c r="E4" s="88" t="s">
        <v>78</v>
      </c>
      <c r="F4" s="88" t="s">
        <v>59</v>
      </c>
      <c r="G4" s="88" t="s">
        <v>202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242</v>
      </c>
      <c r="C5" s="88" t="s">
        <v>58</v>
      </c>
      <c r="D5" s="88" t="s">
        <v>61</v>
      </c>
      <c r="E5" s="88" t="s">
        <v>79</v>
      </c>
      <c r="F5" s="88" t="s">
        <v>56</v>
      </c>
      <c r="G5" s="88" t="s">
        <v>202</v>
      </c>
      <c r="H5" s="88"/>
      <c r="I5" s="88"/>
      <c r="J5" s="88"/>
      <c r="K5" s="88" t="s">
        <v>235</v>
      </c>
      <c r="L5" s="88"/>
      <c r="M5" s="88"/>
    </row>
    <row r="6" spans="1:13" x14ac:dyDescent="0.4">
      <c r="A6" s="88">
        <v>1</v>
      </c>
      <c r="B6" s="88" t="s">
        <v>322</v>
      </c>
      <c r="C6" s="88" t="s">
        <v>58</v>
      </c>
      <c r="D6" s="88" t="s">
        <v>321</v>
      </c>
      <c r="E6" s="88" t="s">
        <v>78</v>
      </c>
      <c r="F6" s="88" t="s">
        <v>59</v>
      </c>
      <c r="G6" s="88" t="s">
        <v>202</v>
      </c>
      <c r="H6" s="88"/>
      <c r="I6" s="88"/>
      <c r="J6" s="88">
        <v>5</v>
      </c>
      <c r="K6" s="88" t="s">
        <v>321</v>
      </c>
      <c r="L6" s="88"/>
      <c r="M6" s="88"/>
    </row>
    <row r="7" spans="1:13" x14ac:dyDescent="0.4">
      <c r="A7" s="88">
        <v>1</v>
      </c>
      <c r="B7" s="88" t="s">
        <v>173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246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202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247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202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248</v>
      </c>
      <c r="C10" s="88" t="s">
        <v>58</v>
      </c>
      <c r="D10" s="88" t="s">
        <v>26</v>
      </c>
      <c r="E10" s="88" t="s">
        <v>80</v>
      </c>
      <c r="F10" s="88" t="s">
        <v>59</v>
      </c>
      <c r="G10" s="88" t="s">
        <v>202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249</v>
      </c>
      <c r="C11" s="88" t="s">
        <v>58</v>
      </c>
      <c r="D11" s="88" t="s">
        <v>27</v>
      </c>
      <c r="E11" s="88" t="s">
        <v>80</v>
      </c>
      <c r="F11" s="88" t="s">
        <v>59</v>
      </c>
      <c r="G11" s="88" t="s">
        <v>202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316</v>
      </c>
      <c r="C12" s="88" t="s">
        <v>58</v>
      </c>
      <c r="D12" s="88" t="s">
        <v>25</v>
      </c>
      <c r="E12" s="88" t="s">
        <v>80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134</v>
      </c>
      <c r="C13" s="88" t="s">
        <v>58</v>
      </c>
      <c r="D13" s="88" t="s">
        <v>28</v>
      </c>
      <c r="E13" s="88" t="s">
        <v>81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172</v>
      </c>
      <c r="C14" s="88" t="s">
        <v>58</v>
      </c>
      <c r="D14" s="88" t="s">
        <v>29</v>
      </c>
      <c r="E14" s="88" t="s">
        <v>81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177</v>
      </c>
      <c r="C15" s="88" t="s">
        <v>58</v>
      </c>
      <c r="D15" s="88" t="s">
        <v>31</v>
      </c>
      <c r="E15" s="88" t="s">
        <v>81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131</v>
      </c>
      <c r="C16" s="88" t="s">
        <v>58</v>
      </c>
      <c r="D16" s="88" t="s">
        <v>32</v>
      </c>
      <c r="E16" s="88" t="s">
        <v>63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174</v>
      </c>
      <c r="C17" s="88" t="s">
        <v>58</v>
      </c>
      <c r="D17" s="88" t="s">
        <v>33</v>
      </c>
      <c r="E17" s="88" t="s">
        <v>63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282</v>
      </c>
      <c r="C18" s="88" t="s">
        <v>58</v>
      </c>
      <c r="D18" s="88" t="s">
        <v>34</v>
      </c>
      <c r="E18" s="88" t="s">
        <v>63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181</v>
      </c>
      <c r="C19" s="88" t="s">
        <v>58</v>
      </c>
      <c r="D19" s="88" t="s">
        <v>64</v>
      </c>
      <c r="E19" s="88" t="s">
        <v>63</v>
      </c>
      <c r="F19" s="88" t="s">
        <v>59</v>
      </c>
      <c r="G19" s="88">
        <v>202605</v>
      </c>
      <c r="H19" s="88"/>
      <c r="I19" s="88"/>
      <c r="J19" s="88"/>
      <c r="K19" s="88" t="s">
        <v>64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78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78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147</v>
      </c>
      <c r="C22" s="88" t="s">
        <v>58</v>
      </c>
      <c r="D22" s="88" t="s">
        <v>37</v>
      </c>
      <c r="E22" s="88" t="s">
        <v>78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254</v>
      </c>
      <c r="C23" s="88" t="s">
        <v>58</v>
      </c>
      <c r="D23" s="88" t="s">
        <v>38</v>
      </c>
      <c r="E23" s="88" t="s">
        <v>63</v>
      </c>
      <c r="F23" s="88" t="s">
        <v>59</v>
      </c>
      <c r="G23" s="88" t="s">
        <v>202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267</v>
      </c>
      <c r="C24" s="88" t="s">
        <v>58</v>
      </c>
      <c r="D24" s="88" t="s">
        <v>42</v>
      </c>
      <c r="E24" s="88" t="s">
        <v>78</v>
      </c>
      <c r="F24" s="88" t="s">
        <v>59</v>
      </c>
      <c r="G24" s="88" t="s">
        <v>202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250</v>
      </c>
      <c r="C25" s="88" t="s">
        <v>58</v>
      </c>
      <c r="D25" s="88" t="s">
        <v>40</v>
      </c>
      <c r="E25" s="88" t="s">
        <v>78</v>
      </c>
      <c r="F25" s="88" t="s">
        <v>59</v>
      </c>
      <c r="G25" s="88" t="s">
        <v>202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251</v>
      </c>
      <c r="C26" s="88" t="s">
        <v>58</v>
      </c>
      <c r="D26" s="88" t="s">
        <v>43</v>
      </c>
      <c r="E26" s="88" t="s">
        <v>78</v>
      </c>
      <c r="F26" s="88" t="s">
        <v>59</v>
      </c>
      <c r="G26" s="88" t="s">
        <v>202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252</v>
      </c>
      <c r="C27" s="88" t="s">
        <v>58</v>
      </c>
      <c r="D27" s="88" t="s">
        <v>41</v>
      </c>
      <c r="E27" s="88" t="s">
        <v>78</v>
      </c>
      <c r="F27" s="88" t="s">
        <v>59</v>
      </c>
      <c r="G27" s="88" t="s">
        <v>202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253</v>
      </c>
      <c r="C28" s="88" t="s">
        <v>58</v>
      </c>
      <c r="D28" s="88" t="s">
        <v>39</v>
      </c>
      <c r="E28" s="88" t="s">
        <v>78</v>
      </c>
      <c r="F28" s="88" t="s">
        <v>59</v>
      </c>
      <c r="G28" s="88" t="s">
        <v>202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255</v>
      </c>
      <c r="C29" s="88" t="s">
        <v>58</v>
      </c>
      <c r="D29" s="88" t="s">
        <v>46</v>
      </c>
      <c r="E29" s="88" t="s">
        <v>81</v>
      </c>
      <c r="F29" s="88" t="s">
        <v>59</v>
      </c>
      <c r="G29" s="88" t="s">
        <v>202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256</v>
      </c>
      <c r="C30" s="88" t="s">
        <v>58</v>
      </c>
      <c r="D30" s="88" t="s">
        <v>66</v>
      </c>
      <c r="E30" s="88" t="s">
        <v>81</v>
      </c>
      <c r="F30" s="88" t="s">
        <v>59</v>
      </c>
      <c r="G30" s="88" t="s">
        <v>202</v>
      </c>
      <c r="H30" s="88"/>
      <c r="I30" s="88"/>
      <c r="J30" s="88"/>
      <c r="K30" s="88" t="s">
        <v>66</v>
      </c>
      <c r="L30" s="88"/>
      <c r="M30" s="88"/>
    </row>
    <row r="31" spans="1:13" x14ac:dyDescent="0.4">
      <c r="A31" s="88">
        <v>1</v>
      </c>
      <c r="B31" s="88" t="s">
        <v>243</v>
      </c>
      <c r="C31" s="88" t="s">
        <v>58</v>
      </c>
      <c r="D31" s="88" t="s">
        <v>236</v>
      </c>
      <c r="E31" s="88" t="s">
        <v>79</v>
      </c>
      <c r="F31" s="88" t="s">
        <v>56</v>
      </c>
      <c r="G31" s="88" t="s">
        <v>202</v>
      </c>
      <c r="H31" s="88"/>
      <c r="I31" s="88"/>
      <c r="J31" s="88"/>
      <c r="K31" s="88" t="s">
        <v>236</v>
      </c>
      <c r="L31" s="88"/>
      <c r="M31" s="88"/>
    </row>
    <row r="32" spans="1:13" x14ac:dyDescent="0.4">
      <c r="A32" s="88">
        <v>1</v>
      </c>
      <c r="B32" s="88" t="s">
        <v>244</v>
      </c>
      <c r="C32" s="88" t="s">
        <v>58</v>
      </c>
      <c r="D32" s="88" t="s">
        <v>237</v>
      </c>
      <c r="E32" s="88" t="s">
        <v>79</v>
      </c>
      <c r="F32" s="88" t="s">
        <v>56</v>
      </c>
      <c r="G32" s="88" t="s">
        <v>202</v>
      </c>
      <c r="H32" s="88"/>
      <c r="I32" s="88"/>
      <c r="J32" s="88"/>
      <c r="K32" s="88" t="s">
        <v>237</v>
      </c>
      <c r="L32" s="88"/>
      <c r="M32" s="88"/>
    </row>
    <row r="33" spans="1:13" x14ac:dyDescent="0.4">
      <c r="A33" s="88">
        <v>1</v>
      </c>
      <c r="B33" s="88" t="s">
        <v>245</v>
      </c>
      <c r="C33" s="88" t="s">
        <v>58</v>
      </c>
      <c r="D33" s="88" t="s">
        <v>238</v>
      </c>
      <c r="E33" s="88" t="s">
        <v>79</v>
      </c>
      <c r="F33" s="88" t="s">
        <v>56</v>
      </c>
      <c r="G33" s="88" t="s">
        <v>202</v>
      </c>
      <c r="H33" s="88"/>
      <c r="I33" s="88"/>
      <c r="J33" s="88"/>
      <c r="K33" s="88" t="s">
        <v>238</v>
      </c>
      <c r="M33" s="88"/>
    </row>
    <row r="34" spans="1:13" x14ac:dyDescent="0.4">
      <c r="A34" s="88">
        <v>1</v>
      </c>
      <c r="B34" s="9" t="s">
        <v>289</v>
      </c>
      <c r="C34" s="88" t="s">
        <v>184</v>
      </c>
      <c r="D34" s="88" t="s">
        <v>44</v>
      </c>
      <c r="E34" s="88" t="s">
        <v>188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185</v>
      </c>
      <c r="C35" s="88" t="s">
        <v>184</v>
      </c>
      <c r="D35" s="88" t="s">
        <v>45</v>
      </c>
      <c r="E35" s="88" t="s">
        <v>188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304</v>
      </c>
      <c r="C36" s="88" t="s">
        <v>303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301</v>
      </c>
      <c r="J36" s="88">
        <v>1000</v>
      </c>
      <c r="K36" s="88" t="s">
        <v>302</v>
      </c>
      <c r="M36" s="88"/>
    </row>
    <row r="37" spans="1:13" x14ac:dyDescent="0.4">
      <c r="A37" s="88">
        <v>1</v>
      </c>
      <c r="B37" s="9" t="s">
        <v>305</v>
      </c>
      <c r="C37" s="88" t="s">
        <v>303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301</v>
      </c>
      <c r="J37" s="88">
        <v>1000</v>
      </c>
      <c r="K37" s="88" t="s">
        <v>302</v>
      </c>
      <c r="M37" s="88"/>
    </row>
    <row r="38" spans="1:13" x14ac:dyDescent="0.4">
      <c r="A38" s="88">
        <v>1</v>
      </c>
      <c r="B38" s="9" t="s">
        <v>325</v>
      </c>
      <c r="C38" s="88" t="s">
        <v>303</v>
      </c>
      <c r="D38" s="88" t="s">
        <v>26</v>
      </c>
      <c r="E38" s="88" t="s">
        <v>80</v>
      </c>
      <c r="F38" s="88" t="s">
        <v>59</v>
      </c>
      <c r="G38" s="88">
        <v>20260526</v>
      </c>
      <c r="H38" s="88">
        <v>5500</v>
      </c>
      <c r="I38" s="88" t="s">
        <v>327</v>
      </c>
      <c r="J38" s="88">
        <v>100</v>
      </c>
      <c r="K38" s="88" t="s">
        <v>328</v>
      </c>
    </row>
    <row r="39" spans="1:13" x14ac:dyDescent="0.4">
      <c r="A39" s="88">
        <v>1</v>
      </c>
      <c r="B39" s="9" t="s">
        <v>326</v>
      </c>
      <c r="C39" s="88" t="s">
        <v>303</v>
      </c>
      <c r="D39" s="88" t="s">
        <v>26</v>
      </c>
      <c r="E39" s="88" t="s">
        <v>80</v>
      </c>
      <c r="F39" s="88" t="s">
        <v>59</v>
      </c>
      <c r="G39" s="88">
        <v>20260526</v>
      </c>
      <c r="H39" s="88">
        <v>4930</v>
      </c>
      <c r="I39" s="88" t="s">
        <v>327</v>
      </c>
      <c r="J39" s="88">
        <v>100</v>
      </c>
      <c r="K39" s="88" t="s">
        <v>328</v>
      </c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139</v>
      </c>
      <c r="D54" s="31" t="s">
        <v>27</v>
      </c>
      <c r="E54" s="31" t="s">
        <v>58</v>
      </c>
      <c r="F54" s="31" t="s">
        <v>80</v>
      </c>
      <c r="G54" s="31" t="s">
        <v>59</v>
      </c>
    </row>
    <row r="55" spans="3:7" x14ac:dyDescent="0.4">
      <c r="C55" s="31" t="s">
        <v>62</v>
      </c>
      <c r="D55" s="31" t="s">
        <v>62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134</v>
      </c>
      <c r="D56" s="31" t="s">
        <v>28</v>
      </c>
      <c r="E56" s="31" t="s">
        <v>58</v>
      </c>
      <c r="F56" s="31" t="s">
        <v>81</v>
      </c>
      <c r="G56" s="31" t="s">
        <v>59</v>
      </c>
    </row>
    <row r="57" spans="3:7" x14ac:dyDescent="0.4">
      <c r="C57" s="31" t="s">
        <v>172</v>
      </c>
      <c r="D57" s="31" t="s">
        <v>29</v>
      </c>
      <c r="E57" s="31" t="s">
        <v>58</v>
      </c>
      <c r="F57" s="31" t="s">
        <v>81</v>
      </c>
      <c r="G57" s="31" t="s">
        <v>59</v>
      </c>
    </row>
    <row r="58" spans="3:7" x14ac:dyDescent="0.4">
      <c r="C58" s="31" t="s">
        <v>177</v>
      </c>
      <c r="D58" s="31" t="s">
        <v>31</v>
      </c>
      <c r="E58" s="31" t="s">
        <v>58</v>
      </c>
      <c r="F58" s="31" t="s">
        <v>81</v>
      </c>
      <c r="G58" s="31" t="s">
        <v>59</v>
      </c>
    </row>
    <row r="59" spans="3:7" x14ac:dyDescent="0.4">
      <c r="C59" s="31" t="s">
        <v>131</v>
      </c>
      <c r="D59" s="31" t="s">
        <v>32</v>
      </c>
      <c r="E59" s="31" t="s">
        <v>58</v>
      </c>
      <c r="F59" s="31" t="s">
        <v>63</v>
      </c>
      <c r="G59" s="31" t="s">
        <v>59</v>
      </c>
    </row>
    <row r="60" spans="3:7" x14ac:dyDescent="0.4">
      <c r="C60" s="31" t="s">
        <v>174</v>
      </c>
      <c r="D60" s="31" t="s">
        <v>33</v>
      </c>
      <c r="E60" s="31" t="s">
        <v>58</v>
      </c>
      <c r="F60" s="31" t="s">
        <v>63</v>
      </c>
      <c r="G60" s="31" t="s">
        <v>59</v>
      </c>
    </row>
    <row r="61" spans="3:7" x14ac:dyDescent="0.4">
      <c r="C61" s="31" t="s">
        <v>182</v>
      </c>
      <c r="D61" s="31" t="s">
        <v>34</v>
      </c>
      <c r="E61" s="31" t="s">
        <v>58</v>
      </c>
      <c r="F61" s="31" t="s">
        <v>63</v>
      </c>
      <c r="G61" s="31" t="s">
        <v>59</v>
      </c>
    </row>
    <row r="62" spans="3:7" x14ac:dyDescent="0.4">
      <c r="C62" s="31" t="s">
        <v>181</v>
      </c>
      <c r="D62" s="31" t="s">
        <v>64</v>
      </c>
      <c r="E62" s="31" t="s">
        <v>58</v>
      </c>
      <c r="F62" s="31" t="s">
        <v>63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78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78</v>
      </c>
      <c r="G64" s="31" t="s">
        <v>59</v>
      </c>
    </row>
    <row r="65" spans="3:7" x14ac:dyDescent="0.4">
      <c r="C65" s="31" t="s">
        <v>147</v>
      </c>
      <c r="D65" s="31" t="s">
        <v>37</v>
      </c>
      <c r="E65" s="31" t="s">
        <v>58</v>
      </c>
      <c r="F65" s="31" t="s">
        <v>78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65</v>
      </c>
      <c r="D67" s="31" t="s">
        <v>66</v>
      </c>
      <c r="E67" s="31" t="s">
        <v>58</v>
      </c>
      <c r="F67" s="31" t="s">
        <v>81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81</v>
      </c>
      <c r="G68" s="31" t="s">
        <v>59</v>
      </c>
    </row>
    <row r="69" spans="3:7" x14ac:dyDescent="0.4">
      <c r="C69" s="31" t="s">
        <v>67</v>
      </c>
      <c r="D69" s="31" t="s">
        <v>68</v>
      </c>
      <c r="E69" s="31" t="s">
        <v>58</v>
      </c>
      <c r="F69" s="31" t="s">
        <v>79</v>
      </c>
      <c r="G69" s="31" t="s">
        <v>56</v>
      </c>
    </row>
    <row r="70" spans="3:7" x14ac:dyDescent="0.4">
      <c r="C70" s="31" t="s">
        <v>69</v>
      </c>
      <c r="D70" s="31" t="s">
        <v>70</v>
      </c>
      <c r="E70" s="31" t="s">
        <v>58</v>
      </c>
      <c r="F70" s="31" t="s">
        <v>79</v>
      </c>
      <c r="G70" s="31" t="s">
        <v>56</v>
      </c>
    </row>
    <row r="71" spans="3:7" x14ac:dyDescent="0.4">
      <c r="C71" s="31" t="s">
        <v>71</v>
      </c>
      <c r="D71" s="31" t="s">
        <v>47</v>
      </c>
      <c r="E71" s="31" t="s">
        <v>58</v>
      </c>
      <c r="F71" s="31" t="s">
        <v>79</v>
      </c>
      <c r="G71" s="31" t="s">
        <v>56</v>
      </c>
    </row>
    <row r="72" spans="3:7" x14ac:dyDescent="0.4">
      <c r="C72" s="31" t="s">
        <v>72</v>
      </c>
      <c r="D72" s="31" t="s">
        <v>38</v>
      </c>
      <c r="E72" s="31" t="s">
        <v>58</v>
      </c>
      <c r="F72" s="31" t="s">
        <v>63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78</v>
      </c>
      <c r="G73" s="31" t="s">
        <v>59</v>
      </c>
    </row>
    <row r="74" spans="3:7" x14ac:dyDescent="0.4">
      <c r="C74" s="31" t="s">
        <v>40</v>
      </c>
      <c r="D74" s="31" t="s">
        <v>73</v>
      </c>
      <c r="E74" s="31" t="s">
        <v>58</v>
      </c>
      <c r="F74" s="31" t="s">
        <v>78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78</v>
      </c>
      <c r="G75" s="31" t="s">
        <v>59</v>
      </c>
    </row>
    <row r="76" spans="3:7" x14ac:dyDescent="0.4">
      <c r="C76" s="31" t="s">
        <v>74</v>
      </c>
      <c r="D76" s="31" t="s">
        <v>75</v>
      </c>
      <c r="E76" s="31" t="s">
        <v>58</v>
      </c>
      <c r="F76" s="31" t="s">
        <v>78</v>
      </c>
      <c r="G76" s="31" t="s">
        <v>59</v>
      </c>
    </row>
    <row r="77" spans="3:7" x14ac:dyDescent="0.4">
      <c r="C77" s="31" t="s">
        <v>76</v>
      </c>
      <c r="D77" s="31" t="s">
        <v>77</v>
      </c>
      <c r="E77" s="31" t="s">
        <v>58</v>
      </c>
      <c r="F77" s="31" t="s">
        <v>78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/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214</v>
      </c>
      <c r="B1" s="86" t="s">
        <v>232</v>
      </c>
      <c r="C1" s="86" t="s">
        <v>213</v>
      </c>
      <c r="D1" s="86" t="s">
        <v>212</v>
      </c>
      <c r="E1" s="86" t="s">
        <v>204</v>
      </c>
      <c r="F1" s="86" t="s">
        <v>211</v>
      </c>
      <c r="G1" s="86" t="s">
        <v>210</v>
      </c>
      <c r="H1" s="86" t="s">
        <v>231</v>
      </c>
      <c r="I1" s="86" t="s">
        <v>230</v>
      </c>
      <c r="J1" s="86" t="s">
        <v>229</v>
      </c>
      <c r="K1" s="86" t="s">
        <v>228</v>
      </c>
      <c r="L1" s="86" t="s">
        <v>227</v>
      </c>
      <c r="M1" s="86" t="s">
        <v>226</v>
      </c>
      <c r="N1" s="86" t="s">
        <v>225</v>
      </c>
      <c r="O1" s="86" t="s">
        <v>224</v>
      </c>
      <c r="P1" s="86" t="s">
        <v>223</v>
      </c>
      <c r="Q1" s="86" t="s">
        <v>222</v>
      </c>
      <c r="R1" s="86" t="s">
        <v>221</v>
      </c>
      <c r="S1" s="86" t="s">
        <v>220</v>
      </c>
      <c r="T1" s="86" t="s">
        <v>219</v>
      </c>
      <c r="U1" s="86" t="s">
        <v>218</v>
      </c>
      <c r="V1" s="86" t="s">
        <v>217</v>
      </c>
      <c r="W1" s="86" t="s">
        <v>216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239</v>
      </c>
      <c r="B2" s="81">
        <v>649180678</v>
      </c>
      <c r="C2" s="81" t="s">
        <v>58</v>
      </c>
      <c r="D2" s="81" t="s">
        <v>21</v>
      </c>
      <c r="E2" s="81" t="s">
        <v>257</v>
      </c>
      <c r="F2" s="81" t="s">
        <v>78</v>
      </c>
      <c r="G2" s="81" t="s">
        <v>59</v>
      </c>
      <c r="H2" s="91">
        <v>-1</v>
      </c>
      <c r="I2" s="91">
        <v>-1</v>
      </c>
      <c r="J2" s="91">
        <v>-1</v>
      </c>
      <c r="K2" s="91">
        <v>-1</v>
      </c>
      <c r="L2" s="91">
        <v>7077</v>
      </c>
      <c r="M2" s="91">
        <v>7077.25</v>
      </c>
      <c r="N2" s="91">
        <v>7185.75</v>
      </c>
      <c r="O2" s="91">
        <v>7075.25</v>
      </c>
      <c r="P2" s="91">
        <v>1665226</v>
      </c>
      <c r="Q2" s="91"/>
      <c r="R2" s="91"/>
      <c r="S2" s="91"/>
      <c r="T2" s="91"/>
      <c r="U2" s="91"/>
      <c r="V2" s="85">
        <v>46130.458333333336</v>
      </c>
      <c r="W2" s="81" t="s">
        <v>258</v>
      </c>
      <c r="X2" s="81"/>
      <c r="Y2" s="81"/>
      <c r="Z2" s="81"/>
    </row>
    <row r="3" spans="1:32" x14ac:dyDescent="0.4">
      <c r="A3" s="81" t="s">
        <v>240</v>
      </c>
      <c r="B3" s="81">
        <v>750150196</v>
      </c>
      <c r="C3" s="81" t="s">
        <v>58</v>
      </c>
      <c r="D3" s="81" t="s">
        <v>22</v>
      </c>
      <c r="E3" s="81" t="s">
        <v>259</v>
      </c>
      <c r="F3" s="81" t="s">
        <v>78</v>
      </c>
      <c r="G3" s="81" t="s">
        <v>59</v>
      </c>
      <c r="H3" s="91">
        <v>-1</v>
      </c>
      <c r="I3" s="91">
        <v>-1</v>
      </c>
      <c r="J3" s="91">
        <v>-1</v>
      </c>
      <c r="K3" s="91">
        <v>-1</v>
      </c>
      <c r="L3" s="91">
        <v>26487.25</v>
      </c>
      <c r="M3" s="91">
        <v>26460</v>
      </c>
      <c r="N3" s="91">
        <v>26884.75</v>
      </c>
      <c r="O3" s="91">
        <v>26440</v>
      </c>
      <c r="P3" s="91">
        <v>582607</v>
      </c>
      <c r="Q3" s="91"/>
      <c r="R3" s="91"/>
      <c r="S3" s="91"/>
      <c r="T3" s="91"/>
      <c r="U3" s="91"/>
      <c r="V3" s="85">
        <v>46130.458333333336</v>
      </c>
      <c r="W3" s="81" t="s">
        <v>258</v>
      </c>
      <c r="X3" s="81"/>
      <c r="Y3" s="81"/>
      <c r="Z3" s="81"/>
    </row>
    <row r="4" spans="1:32" x14ac:dyDescent="0.4">
      <c r="A4" s="81" t="s">
        <v>241</v>
      </c>
      <c r="B4" s="81">
        <v>770561234</v>
      </c>
      <c r="C4" s="81" t="s">
        <v>58</v>
      </c>
      <c r="D4" s="81" t="s">
        <v>23</v>
      </c>
      <c r="E4" s="81" t="s">
        <v>260</v>
      </c>
      <c r="F4" s="81" t="s">
        <v>78</v>
      </c>
      <c r="G4" s="81" t="s">
        <v>59</v>
      </c>
      <c r="H4" s="91">
        <v>-1</v>
      </c>
      <c r="I4" s="91">
        <v>-1</v>
      </c>
      <c r="J4" s="91">
        <v>-1</v>
      </c>
      <c r="K4" s="91">
        <v>-1</v>
      </c>
      <c r="L4" s="91">
        <v>2730.8</v>
      </c>
      <c r="M4" s="91">
        <v>2733</v>
      </c>
      <c r="N4" s="91"/>
      <c r="O4" s="91"/>
      <c r="P4" s="91">
        <v>0</v>
      </c>
      <c r="Q4" s="91"/>
      <c r="R4" s="91"/>
      <c r="S4" s="91"/>
      <c r="T4" s="91"/>
      <c r="U4" s="91"/>
      <c r="V4" s="85">
        <v>46130.458333333336</v>
      </c>
      <c r="W4" s="81" t="s">
        <v>258</v>
      </c>
      <c r="X4" s="81"/>
      <c r="Y4" s="81"/>
      <c r="Z4" s="81"/>
    </row>
    <row r="5" spans="1:32" x14ac:dyDescent="0.4">
      <c r="A5" s="81" t="s">
        <v>242</v>
      </c>
      <c r="B5" s="81">
        <v>638120262</v>
      </c>
      <c r="C5" s="81" t="s">
        <v>58</v>
      </c>
      <c r="D5" s="81" t="s">
        <v>61</v>
      </c>
      <c r="E5" s="81" t="s">
        <v>261</v>
      </c>
      <c r="F5" s="81" t="s">
        <v>79</v>
      </c>
      <c r="G5" s="81" t="s">
        <v>56</v>
      </c>
      <c r="H5" s="91">
        <v>24820</v>
      </c>
      <c r="I5" s="91">
        <v>-1</v>
      </c>
      <c r="J5" s="91">
        <v>-1</v>
      </c>
      <c r="K5" s="91">
        <v>-1</v>
      </c>
      <c r="L5" s="91">
        <v>24319</v>
      </c>
      <c r="M5" s="91">
        <v>24275</v>
      </c>
      <c r="N5" s="91"/>
      <c r="O5" s="91"/>
      <c r="P5" s="91">
        <v>0</v>
      </c>
      <c r="Q5" s="91"/>
      <c r="R5" s="91"/>
      <c r="S5" s="91"/>
      <c r="T5" s="91"/>
      <c r="U5" s="91"/>
      <c r="V5" s="85">
        <v>46130.458333333336</v>
      </c>
      <c r="W5" s="81" t="s">
        <v>258</v>
      </c>
      <c r="X5" s="81"/>
      <c r="Y5" s="81"/>
      <c r="Z5" s="81"/>
    </row>
    <row r="6" spans="1:32" x14ac:dyDescent="0.4">
      <c r="A6" s="81" t="s">
        <v>322</v>
      </c>
      <c r="B6" s="81">
        <v>635680489</v>
      </c>
      <c r="C6" s="81" t="s">
        <v>58</v>
      </c>
      <c r="D6" s="81" t="s">
        <v>321</v>
      </c>
      <c r="E6" s="81" t="s">
        <v>322</v>
      </c>
      <c r="F6" s="81" t="s">
        <v>78</v>
      </c>
      <c r="G6" s="81" t="s">
        <v>59</v>
      </c>
      <c r="H6" s="91">
        <v>0</v>
      </c>
      <c r="I6" s="91">
        <v>0</v>
      </c>
      <c r="J6" s="91">
        <v>0</v>
      </c>
      <c r="K6" s="91">
        <v>0</v>
      </c>
      <c r="L6" s="91">
        <v>59350</v>
      </c>
      <c r="M6" s="91">
        <v>59440</v>
      </c>
      <c r="N6" s="91"/>
      <c r="O6" s="91"/>
      <c r="P6" s="91">
        <v>0</v>
      </c>
      <c r="Q6" s="91"/>
      <c r="R6" s="91"/>
      <c r="S6" s="91"/>
      <c r="T6" s="91"/>
      <c r="U6" s="91"/>
      <c r="V6" s="85">
        <v>46130.458333333336</v>
      </c>
      <c r="W6" s="81" t="s">
        <v>258</v>
      </c>
      <c r="X6" s="81"/>
      <c r="Y6" s="81"/>
      <c r="Z6" s="81"/>
    </row>
    <row r="7" spans="1:32" x14ac:dyDescent="0.4">
      <c r="A7" s="1" t="s">
        <v>173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46130.458333333336</v>
      </c>
      <c r="W7" s="1" t="s">
        <v>313</v>
      </c>
    </row>
    <row r="8" spans="1:32" x14ac:dyDescent="0.4">
      <c r="A8" s="1" t="s">
        <v>246</v>
      </c>
      <c r="B8" s="1">
        <v>269460069</v>
      </c>
      <c r="C8" s="1" t="s">
        <v>58</v>
      </c>
      <c r="D8" s="1" t="s">
        <v>5</v>
      </c>
      <c r="E8" s="1" t="s">
        <v>262</v>
      </c>
      <c r="F8" s="1" t="s">
        <v>60</v>
      </c>
      <c r="G8" s="1" t="s">
        <v>59</v>
      </c>
      <c r="H8" s="93">
        <v>-1</v>
      </c>
      <c r="I8" s="93">
        <v>-1</v>
      </c>
      <c r="J8" s="93">
        <v>-1</v>
      </c>
      <c r="K8" s="93">
        <v>-1</v>
      </c>
      <c r="L8" s="93">
        <v>2.7909999999999999</v>
      </c>
      <c r="M8" s="93">
        <v>0</v>
      </c>
      <c r="N8" s="93"/>
      <c r="O8" s="93"/>
      <c r="P8" s="93">
        <v>0</v>
      </c>
      <c r="Q8" s="93"/>
      <c r="R8" s="93"/>
      <c r="S8" s="93"/>
      <c r="T8" s="93"/>
      <c r="U8" s="93"/>
      <c r="V8" s="92">
        <v>46130.458333333336</v>
      </c>
      <c r="W8" s="1" t="s">
        <v>258</v>
      </c>
    </row>
    <row r="9" spans="1:32" x14ac:dyDescent="0.4">
      <c r="A9" s="1" t="s">
        <v>247</v>
      </c>
      <c r="B9" s="1">
        <v>600696533</v>
      </c>
      <c r="C9" s="1" t="s">
        <v>58</v>
      </c>
      <c r="D9" s="1" t="s">
        <v>9</v>
      </c>
      <c r="E9" s="1" t="s">
        <v>263</v>
      </c>
      <c r="F9" s="1" t="s">
        <v>60</v>
      </c>
      <c r="G9" s="1" t="s">
        <v>59</v>
      </c>
      <c r="H9" s="93">
        <v>-1</v>
      </c>
      <c r="I9" s="93">
        <v>-1</v>
      </c>
      <c r="J9" s="93">
        <v>-1</v>
      </c>
      <c r="K9" s="93">
        <v>-1</v>
      </c>
      <c r="L9" s="93">
        <v>3.0912999999999999</v>
      </c>
      <c r="M9" s="93">
        <v>0</v>
      </c>
      <c r="N9" s="93"/>
      <c r="O9" s="93"/>
      <c r="P9" s="93">
        <v>0</v>
      </c>
      <c r="Q9" s="93"/>
      <c r="R9" s="93"/>
      <c r="S9" s="93"/>
      <c r="T9" s="93"/>
      <c r="U9" s="93"/>
      <c r="V9" s="92">
        <v>46130.458333333336</v>
      </c>
      <c r="W9" s="1" t="s">
        <v>258</v>
      </c>
    </row>
    <row r="10" spans="1:32" x14ac:dyDescent="0.4">
      <c r="A10" s="1" t="s">
        <v>248</v>
      </c>
      <c r="B10" s="1">
        <v>430360630</v>
      </c>
      <c r="C10" s="1" t="s">
        <v>58</v>
      </c>
      <c r="D10" s="1" t="s">
        <v>26</v>
      </c>
      <c r="E10" s="1" t="s">
        <v>264</v>
      </c>
      <c r="F10" s="1" t="s">
        <v>80</v>
      </c>
      <c r="G10" s="1" t="s">
        <v>59</v>
      </c>
      <c r="H10" s="93">
        <v>-1</v>
      </c>
      <c r="I10" s="93">
        <v>-1</v>
      </c>
      <c r="J10" s="93">
        <v>-1</v>
      </c>
      <c r="K10" s="93">
        <v>-1</v>
      </c>
      <c r="L10" s="93">
        <v>4808.3</v>
      </c>
      <c r="M10" s="93">
        <v>0</v>
      </c>
      <c r="N10" s="93"/>
      <c r="O10" s="93"/>
      <c r="P10" s="93">
        <v>0</v>
      </c>
      <c r="Q10" s="93"/>
      <c r="R10" s="93"/>
      <c r="S10" s="93"/>
      <c r="T10" s="93"/>
      <c r="U10" s="93"/>
      <c r="V10" s="92">
        <v>46130.458333333336</v>
      </c>
      <c r="W10" s="1" t="s">
        <v>258</v>
      </c>
    </row>
    <row r="11" spans="1:32" x14ac:dyDescent="0.4">
      <c r="A11" s="1" t="s">
        <v>249</v>
      </c>
      <c r="B11" s="1">
        <v>760200596</v>
      </c>
      <c r="C11" s="1" t="s">
        <v>58</v>
      </c>
      <c r="D11" s="1" t="s">
        <v>27</v>
      </c>
      <c r="E11" s="1" t="s">
        <v>265</v>
      </c>
      <c r="F11" s="1" t="s">
        <v>80</v>
      </c>
      <c r="G11" s="1" t="s">
        <v>59</v>
      </c>
      <c r="H11" s="93">
        <v>81.224999999999994</v>
      </c>
      <c r="I11" s="93">
        <v>-1</v>
      </c>
      <c r="J11" s="93">
        <v>-1</v>
      </c>
      <c r="K11" s="93">
        <v>-1</v>
      </c>
      <c r="L11" s="93">
        <v>78.989999999999995</v>
      </c>
      <c r="M11" s="93">
        <v>0</v>
      </c>
      <c r="N11" s="93">
        <v>83.44</v>
      </c>
      <c r="O11" s="93">
        <v>78.234999999999999</v>
      </c>
      <c r="P11" s="93">
        <v>890</v>
      </c>
      <c r="Q11" s="93"/>
      <c r="R11" s="93"/>
      <c r="S11" s="93"/>
      <c r="T11" s="93"/>
      <c r="U11" s="93"/>
      <c r="V11" s="92">
        <v>46130.458333333336</v>
      </c>
      <c r="W11" s="1" t="s">
        <v>258</v>
      </c>
    </row>
    <row r="12" spans="1:32" x14ac:dyDescent="0.4">
      <c r="A12" s="1" t="s">
        <v>316</v>
      </c>
      <c r="B12" s="1">
        <v>473509991</v>
      </c>
      <c r="C12" s="1" t="s">
        <v>58</v>
      </c>
      <c r="D12" s="1" t="s">
        <v>25</v>
      </c>
      <c r="E12" s="1" t="s">
        <v>316</v>
      </c>
      <c r="F12" s="1" t="s">
        <v>80</v>
      </c>
      <c r="G12" s="1" t="s">
        <v>59</v>
      </c>
      <c r="H12" s="93">
        <v>-1</v>
      </c>
      <c r="I12" s="93">
        <v>-1</v>
      </c>
      <c r="J12" s="93">
        <v>-1</v>
      </c>
      <c r="K12" s="93">
        <v>-1</v>
      </c>
      <c r="L12" s="93">
        <v>6.0765000000000002</v>
      </c>
      <c r="M12" s="93">
        <v>0</v>
      </c>
      <c r="N12" s="93"/>
      <c r="O12" s="93"/>
      <c r="P12" s="93">
        <v>0</v>
      </c>
      <c r="Q12" s="93"/>
      <c r="R12" s="93"/>
      <c r="S12" s="93"/>
      <c r="T12" s="93"/>
      <c r="U12" s="93"/>
      <c r="V12" s="92">
        <v>46130.458333333336</v>
      </c>
      <c r="W12" s="1" t="s">
        <v>258</v>
      </c>
    </row>
    <row r="13" spans="1:32" x14ac:dyDescent="0.4">
      <c r="A13" s="1" t="s">
        <v>134</v>
      </c>
      <c r="B13" s="1">
        <v>671574022</v>
      </c>
      <c r="C13" s="1" t="s">
        <v>58</v>
      </c>
      <c r="D13" s="1" t="s">
        <v>28</v>
      </c>
      <c r="E13" s="1" t="s">
        <v>277</v>
      </c>
      <c r="F13" s="1" t="s">
        <v>81</v>
      </c>
      <c r="G13" s="1" t="s">
        <v>59</v>
      </c>
      <c r="H13" s="93">
        <v>-100</v>
      </c>
      <c r="I13" s="93">
        <v>-100</v>
      </c>
      <c r="J13" s="93">
        <v>-100</v>
      </c>
      <c r="K13" s="93">
        <v>-100</v>
      </c>
      <c r="L13" s="93">
        <v>448.5</v>
      </c>
      <c r="M13" s="93">
        <v>0</v>
      </c>
      <c r="N13" s="93"/>
      <c r="O13" s="93"/>
      <c r="P13" s="93">
        <v>0</v>
      </c>
      <c r="Q13" s="93"/>
      <c r="R13" s="93"/>
      <c r="S13" s="93"/>
      <c r="T13" s="93"/>
      <c r="U13" s="93"/>
      <c r="V13" s="92">
        <v>46130.458333333336</v>
      </c>
      <c r="W13" s="1" t="s">
        <v>258</v>
      </c>
    </row>
    <row r="14" spans="1:32" x14ac:dyDescent="0.4">
      <c r="A14" s="1" t="s">
        <v>172</v>
      </c>
      <c r="B14" s="1">
        <v>642254817</v>
      </c>
      <c r="C14" s="1" t="s">
        <v>58</v>
      </c>
      <c r="D14" s="1" t="s">
        <v>29</v>
      </c>
      <c r="E14" s="1" t="s">
        <v>278</v>
      </c>
      <c r="F14" s="1" t="s">
        <v>81</v>
      </c>
      <c r="G14" s="1" t="s">
        <v>59</v>
      </c>
      <c r="H14" s="93">
        <v>-100</v>
      </c>
      <c r="I14" s="93">
        <v>-100</v>
      </c>
      <c r="J14" s="93">
        <v>-100</v>
      </c>
      <c r="K14" s="93">
        <v>-100</v>
      </c>
      <c r="L14" s="93">
        <v>598.5</v>
      </c>
      <c r="M14" s="93">
        <v>0</v>
      </c>
      <c r="N14" s="93"/>
      <c r="O14" s="93"/>
      <c r="P14" s="93">
        <v>0</v>
      </c>
      <c r="Q14" s="93"/>
      <c r="R14" s="93"/>
      <c r="S14" s="93"/>
      <c r="T14" s="93"/>
      <c r="U14" s="93"/>
      <c r="V14" s="92">
        <v>46130.458333333336</v>
      </c>
      <c r="W14" s="1" t="s">
        <v>258</v>
      </c>
    </row>
    <row r="15" spans="1:32" x14ac:dyDescent="0.4">
      <c r="A15" s="1" t="s">
        <v>177</v>
      </c>
      <c r="B15" s="1">
        <v>665643569</v>
      </c>
      <c r="C15" s="1" t="s">
        <v>58</v>
      </c>
      <c r="D15" s="1" t="s">
        <v>31</v>
      </c>
      <c r="E15" s="1" t="s">
        <v>279</v>
      </c>
      <c r="F15" s="1" t="s">
        <v>81</v>
      </c>
      <c r="G15" s="1" t="s">
        <v>59</v>
      </c>
      <c r="H15" s="93">
        <v>-100</v>
      </c>
      <c r="I15" s="93">
        <v>-100</v>
      </c>
      <c r="J15" s="93">
        <v>-100</v>
      </c>
      <c r="K15" s="93">
        <v>-100</v>
      </c>
      <c r="L15" s="93">
        <v>1163.75</v>
      </c>
      <c r="M15" s="93">
        <v>0</v>
      </c>
      <c r="N15" s="93"/>
      <c r="O15" s="93"/>
      <c r="P15" s="93">
        <v>0</v>
      </c>
      <c r="Q15" s="93"/>
      <c r="R15" s="93"/>
      <c r="S15" s="93"/>
      <c r="T15" s="93"/>
      <c r="U15" s="93"/>
      <c r="V15" s="92">
        <v>46130.458333333336</v>
      </c>
      <c r="W15" s="1" t="s">
        <v>258</v>
      </c>
    </row>
    <row r="16" spans="1:32" x14ac:dyDescent="0.4">
      <c r="A16" s="1" t="s">
        <v>131</v>
      </c>
      <c r="B16" s="1">
        <v>634760175</v>
      </c>
      <c r="C16" s="1" t="s">
        <v>58</v>
      </c>
      <c r="D16" s="1" t="s">
        <v>32</v>
      </c>
      <c r="E16" s="1" t="s">
        <v>280</v>
      </c>
      <c r="F16" s="1" t="s">
        <v>63</v>
      </c>
      <c r="G16" s="1" t="s">
        <v>59</v>
      </c>
      <c r="H16" s="93">
        <v>13.33</v>
      </c>
      <c r="I16" s="93">
        <v>-100</v>
      </c>
      <c r="J16" s="93">
        <v>-100</v>
      </c>
      <c r="K16" s="93">
        <v>-100</v>
      </c>
      <c r="L16" s="93">
        <v>13.66</v>
      </c>
      <c r="M16" s="93">
        <v>0</v>
      </c>
      <c r="N16" s="93">
        <v>13.74</v>
      </c>
      <c r="O16" s="93">
        <v>13.22</v>
      </c>
      <c r="P16" s="93">
        <v>24940</v>
      </c>
      <c r="Q16" s="93"/>
      <c r="R16" s="93"/>
      <c r="S16" s="93"/>
      <c r="T16" s="93"/>
      <c r="U16" s="93"/>
      <c r="V16" s="92">
        <v>46130.458333333336</v>
      </c>
      <c r="W16" s="1" t="s">
        <v>258</v>
      </c>
    </row>
    <row r="17" spans="1:23" x14ac:dyDescent="0.4">
      <c r="A17" s="1" t="s">
        <v>174</v>
      </c>
      <c r="B17" s="1">
        <v>634760204</v>
      </c>
      <c r="C17" s="1" t="s">
        <v>58</v>
      </c>
      <c r="D17" s="1" t="s">
        <v>33</v>
      </c>
      <c r="E17" s="1" t="s">
        <v>281</v>
      </c>
      <c r="F17" s="1" t="s">
        <v>63</v>
      </c>
      <c r="G17" s="1" t="s">
        <v>59</v>
      </c>
      <c r="H17" s="93">
        <v>288.64999999999998</v>
      </c>
      <c r="I17" s="93">
        <v>-100</v>
      </c>
      <c r="J17" s="93">
        <v>-100</v>
      </c>
      <c r="K17" s="93">
        <v>-100</v>
      </c>
      <c r="L17" s="93">
        <v>296.45</v>
      </c>
      <c r="M17" s="93">
        <v>0</v>
      </c>
      <c r="N17" s="93">
        <v>298.5</v>
      </c>
      <c r="O17" s="93">
        <v>288.35000000000002</v>
      </c>
      <c r="P17" s="93">
        <v>4534</v>
      </c>
      <c r="Q17" s="93"/>
      <c r="R17" s="93"/>
      <c r="S17" s="93"/>
      <c r="T17" s="93"/>
      <c r="U17" s="93"/>
      <c r="V17" s="92">
        <v>46130.458333333336</v>
      </c>
      <c r="W17" s="1" t="s">
        <v>258</v>
      </c>
    </row>
    <row r="18" spans="1:23" x14ac:dyDescent="0.4">
      <c r="A18" s="1" t="s">
        <v>282</v>
      </c>
      <c r="B18" s="1">
        <v>707621000</v>
      </c>
      <c r="C18" s="1" t="s">
        <v>58</v>
      </c>
      <c r="D18" s="1" t="s">
        <v>34</v>
      </c>
      <c r="E18" s="1" t="s">
        <v>282</v>
      </c>
      <c r="F18" s="1" t="s">
        <v>63</v>
      </c>
      <c r="G18" s="1" t="s">
        <v>59</v>
      </c>
      <c r="H18" s="93">
        <v>3208</v>
      </c>
      <c r="I18" s="93">
        <v>-1</v>
      </c>
      <c r="J18" s="93">
        <v>-1</v>
      </c>
      <c r="K18" s="93">
        <v>-1</v>
      </c>
      <c r="L18" s="93">
        <v>3367</v>
      </c>
      <c r="M18" s="93">
        <v>0</v>
      </c>
      <c r="N18" s="93">
        <v>3468</v>
      </c>
      <c r="O18" s="93">
        <v>3173</v>
      </c>
      <c r="P18" s="93">
        <v>6078</v>
      </c>
      <c r="Q18" s="93"/>
      <c r="R18" s="93"/>
      <c r="S18" s="93"/>
      <c r="T18" s="93"/>
      <c r="U18" s="93"/>
      <c r="V18" s="92">
        <v>46130.458333333336</v>
      </c>
      <c r="W18" s="1" t="s">
        <v>258</v>
      </c>
    </row>
    <row r="19" spans="1:23" x14ac:dyDescent="0.4">
      <c r="A19" s="1" t="s">
        <v>181</v>
      </c>
      <c r="B19" s="1">
        <v>634760245</v>
      </c>
      <c r="C19" s="1" t="s">
        <v>58</v>
      </c>
      <c r="D19" s="1" t="s">
        <v>64</v>
      </c>
      <c r="E19" s="1" t="s">
        <v>283</v>
      </c>
      <c r="F19" s="1" t="s">
        <v>63</v>
      </c>
      <c r="G19" s="1" t="s">
        <v>59</v>
      </c>
      <c r="H19" s="93">
        <v>77.48</v>
      </c>
      <c r="I19" s="93">
        <v>-100</v>
      </c>
      <c r="J19" s="93">
        <v>-100</v>
      </c>
      <c r="K19" s="93">
        <v>-100</v>
      </c>
      <c r="L19" s="93">
        <v>75.7</v>
      </c>
      <c r="M19" s="93">
        <v>0</v>
      </c>
      <c r="N19" s="93">
        <v>77.5</v>
      </c>
      <c r="O19" s="93">
        <v>74.33</v>
      </c>
      <c r="P19" s="93">
        <v>11251</v>
      </c>
      <c r="Q19" s="93"/>
      <c r="R19" s="93"/>
      <c r="S19" s="93"/>
      <c r="T19" s="93"/>
      <c r="U19" s="93"/>
      <c r="V19" s="92">
        <v>46130.458333333336</v>
      </c>
      <c r="W19" s="1" t="s">
        <v>258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284</v>
      </c>
      <c r="F20" s="1" t="s">
        <v>78</v>
      </c>
      <c r="G20" s="1" t="s">
        <v>59</v>
      </c>
      <c r="H20" s="93">
        <v>249.75</v>
      </c>
      <c r="I20" s="93">
        <v>-100</v>
      </c>
      <c r="J20" s="93">
        <v>-100</v>
      </c>
      <c r="K20" s="93">
        <v>-100</v>
      </c>
      <c r="L20" s="93">
        <v>250.3</v>
      </c>
      <c r="M20" s="93">
        <v>250.375</v>
      </c>
      <c r="N20" s="93"/>
      <c r="O20" s="93"/>
      <c r="P20" s="93">
        <v>0</v>
      </c>
      <c r="Q20" s="93"/>
      <c r="R20" s="93"/>
      <c r="S20" s="93"/>
      <c r="T20" s="93"/>
      <c r="U20" s="93"/>
      <c r="V20" s="92">
        <v>46130.458333333336</v>
      </c>
      <c r="W20" s="1" t="s">
        <v>258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285</v>
      </c>
      <c r="F21" s="1" t="s">
        <v>78</v>
      </c>
      <c r="G21" s="1" t="s">
        <v>59</v>
      </c>
      <c r="H21" s="93">
        <v>-100</v>
      </c>
      <c r="I21" s="93">
        <v>-100</v>
      </c>
      <c r="J21" s="93">
        <v>-100</v>
      </c>
      <c r="K21" s="93">
        <v>-100</v>
      </c>
      <c r="L21" s="93">
        <v>367.1</v>
      </c>
      <c r="M21" s="93">
        <v>0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46130.458333333336</v>
      </c>
      <c r="W21" s="1" t="s">
        <v>258</v>
      </c>
    </row>
    <row r="22" spans="1:23" x14ac:dyDescent="0.4">
      <c r="A22" s="1" t="s">
        <v>147</v>
      </c>
      <c r="B22" s="1">
        <v>735014937</v>
      </c>
      <c r="C22" s="1" t="s">
        <v>58</v>
      </c>
      <c r="D22" s="1" t="s">
        <v>37</v>
      </c>
      <c r="E22" s="1" t="s">
        <v>286</v>
      </c>
      <c r="F22" s="1" t="s">
        <v>78</v>
      </c>
      <c r="G22" s="1" t="s">
        <v>59</v>
      </c>
      <c r="H22" s="93">
        <v>-100</v>
      </c>
      <c r="I22" s="93">
        <v>-100</v>
      </c>
      <c r="J22" s="93">
        <v>-100</v>
      </c>
      <c r="K22" s="93">
        <v>-100</v>
      </c>
      <c r="L22" s="93">
        <v>90.7</v>
      </c>
      <c r="M22" s="93">
        <v>0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46130.458333333336</v>
      </c>
      <c r="W22" s="1" t="s">
        <v>258</v>
      </c>
    </row>
    <row r="23" spans="1:23" x14ac:dyDescent="0.4">
      <c r="A23" s="1" t="s">
        <v>254</v>
      </c>
      <c r="B23" s="1">
        <v>792232100</v>
      </c>
      <c r="C23" s="1" t="s">
        <v>58</v>
      </c>
      <c r="D23" s="1" t="s">
        <v>38</v>
      </c>
      <c r="E23" s="1" t="s">
        <v>266</v>
      </c>
      <c r="F23" s="1" t="s">
        <v>63</v>
      </c>
      <c r="G23" s="1" t="s">
        <v>59</v>
      </c>
      <c r="H23" s="93">
        <v>98.07</v>
      </c>
      <c r="I23" s="93">
        <v>-1</v>
      </c>
      <c r="J23" s="93">
        <v>-1</v>
      </c>
      <c r="K23" s="93">
        <v>-1</v>
      </c>
      <c r="L23" s="93">
        <v>98.02</v>
      </c>
      <c r="M23" s="93">
        <v>0</v>
      </c>
      <c r="N23" s="93">
        <v>98.1</v>
      </c>
      <c r="O23" s="93">
        <v>97.424999999999997</v>
      </c>
      <c r="P23" s="93">
        <v>29322</v>
      </c>
      <c r="Q23" s="93"/>
      <c r="R23" s="93"/>
      <c r="S23" s="93"/>
      <c r="T23" s="93"/>
      <c r="U23" s="93"/>
      <c r="V23" s="92">
        <v>46130.458333333336</v>
      </c>
      <c r="W23" s="1" t="s">
        <v>258</v>
      </c>
    </row>
    <row r="24" spans="1:23" x14ac:dyDescent="0.4">
      <c r="A24" s="1" t="s">
        <v>267</v>
      </c>
      <c r="B24" s="1">
        <v>496647057</v>
      </c>
      <c r="C24" s="1" t="s">
        <v>58</v>
      </c>
      <c r="D24" s="1" t="s">
        <v>56</v>
      </c>
      <c r="E24" s="1" t="s">
        <v>267</v>
      </c>
      <c r="F24" s="1" t="s">
        <v>78</v>
      </c>
      <c r="G24" s="1" t="s">
        <v>59</v>
      </c>
      <c r="H24" s="93">
        <v>-1</v>
      </c>
      <c r="I24" s="93">
        <v>-1</v>
      </c>
      <c r="J24" s="93">
        <v>-1</v>
      </c>
      <c r="K24" s="93">
        <v>-1</v>
      </c>
      <c r="L24" s="93">
        <v>1.1812</v>
      </c>
      <c r="M24" s="93">
        <v>1.1813</v>
      </c>
      <c r="N24" s="93"/>
      <c r="O24" s="93"/>
      <c r="P24" s="93">
        <v>0</v>
      </c>
      <c r="Q24" s="93"/>
      <c r="R24" s="93"/>
      <c r="S24" s="93"/>
      <c r="T24" s="93"/>
      <c r="U24" s="93"/>
      <c r="V24" s="92">
        <v>46130.458333333336</v>
      </c>
      <c r="W24" s="1" t="s">
        <v>258</v>
      </c>
    </row>
    <row r="25" spans="1:23" x14ac:dyDescent="0.4">
      <c r="A25" s="1" t="s">
        <v>250</v>
      </c>
      <c r="B25" s="1">
        <v>496647091</v>
      </c>
      <c r="C25" s="1" t="s">
        <v>58</v>
      </c>
      <c r="D25" s="1" t="s">
        <v>73</v>
      </c>
      <c r="E25" s="1" t="s">
        <v>268</v>
      </c>
      <c r="F25" s="1" t="s">
        <v>78</v>
      </c>
      <c r="G25" s="1" t="s">
        <v>59</v>
      </c>
      <c r="H25" s="93">
        <v>-1</v>
      </c>
      <c r="I25" s="93">
        <v>-1</v>
      </c>
      <c r="J25" s="93">
        <v>-1</v>
      </c>
      <c r="K25" s="93">
        <v>-1</v>
      </c>
      <c r="L25" s="93">
        <v>1.3531</v>
      </c>
      <c r="M25" s="93">
        <v>1.3525</v>
      </c>
      <c r="N25" s="93"/>
      <c r="O25" s="93"/>
      <c r="P25" s="93">
        <v>0</v>
      </c>
      <c r="Q25" s="93"/>
      <c r="R25" s="93"/>
      <c r="S25" s="93"/>
      <c r="T25" s="93"/>
      <c r="U25" s="93"/>
      <c r="V25" s="92">
        <v>46130.458333333336</v>
      </c>
      <c r="W25" s="1" t="s">
        <v>258</v>
      </c>
    </row>
    <row r="26" spans="1:23" x14ac:dyDescent="0.4">
      <c r="A26" s="1" t="s">
        <v>251</v>
      </c>
      <c r="B26" s="1">
        <v>496647108</v>
      </c>
      <c r="C26" s="1" t="s">
        <v>58</v>
      </c>
      <c r="D26" s="1" t="s">
        <v>57</v>
      </c>
      <c r="E26" s="1" t="s">
        <v>269</v>
      </c>
      <c r="F26" s="1" t="s">
        <v>78</v>
      </c>
      <c r="G26" s="1" t="s">
        <v>59</v>
      </c>
      <c r="H26" s="93">
        <v>-1</v>
      </c>
      <c r="I26" s="93">
        <v>-1</v>
      </c>
      <c r="J26" s="93">
        <v>-1</v>
      </c>
      <c r="K26" s="93">
        <v>-1</v>
      </c>
      <c r="L26" s="93">
        <v>6.3119999999999999E-3</v>
      </c>
      <c r="M26" s="93">
        <v>6.3144999999999998E-3</v>
      </c>
      <c r="N26" s="93"/>
      <c r="O26" s="93"/>
      <c r="P26" s="93">
        <v>0</v>
      </c>
      <c r="Q26" s="93"/>
      <c r="R26" s="93"/>
      <c r="S26" s="93"/>
      <c r="T26" s="93"/>
      <c r="U26" s="93"/>
      <c r="V26" s="92">
        <v>46130.458333333336</v>
      </c>
      <c r="W26" s="1" t="s">
        <v>258</v>
      </c>
    </row>
    <row r="27" spans="1:23" x14ac:dyDescent="0.4">
      <c r="A27" s="1" t="s">
        <v>252</v>
      </c>
      <c r="B27" s="1">
        <v>496879111</v>
      </c>
      <c r="C27" s="1" t="s">
        <v>58</v>
      </c>
      <c r="D27" s="1" t="s">
        <v>75</v>
      </c>
      <c r="E27" s="1" t="s">
        <v>270</v>
      </c>
      <c r="F27" s="1" t="s">
        <v>78</v>
      </c>
      <c r="G27" s="1" t="s">
        <v>59</v>
      </c>
      <c r="H27" s="93">
        <v>-1</v>
      </c>
      <c r="I27" s="93">
        <v>-1</v>
      </c>
      <c r="J27" s="93">
        <v>-1</v>
      </c>
      <c r="K27" s="93">
        <v>-1</v>
      </c>
      <c r="L27" s="93">
        <v>0.73170000000000002</v>
      </c>
      <c r="M27" s="93">
        <v>0.73170000000000002</v>
      </c>
      <c r="N27" s="93"/>
      <c r="O27" s="93"/>
      <c r="P27" s="93">
        <v>0</v>
      </c>
      <c r="Q27" s="93"/>
      <c r="R27" s="93"/>
      <c r="S27" s="93"/>
      <c r="T27" s="93"/>
      <c r="U27" s="93"/>
      <c r="V27" s="92">
        <v>46130.458333333336</v>
      </c>
      <c r="W27" s="1" t="s">
        <v>258</v>
      </c>
    </row>
    <row r="28" spans="1:23" x14ac:dyDescent="0.4">
      <c r="A28" s="1" t="s">
        <v>253</v>
      </c>
      <c r="B28" s="1">
        <v>496647009</v>
      </c>
      <c r="C28" s="1" t="s">
        <v>58</v>
      </c>
      <c r="D28" s="1" t="s">
        <v>77</v>
      </c>
      <c r="E28" s="1" t="s">
        <v>271</v>
      </c>
      <c r="F28" s="1" t="s">
        <v>78</v>
      </c>
      <c r="G28" s="1" t="s">
        <v>59</v>
      </c>
      <c r="H28" s="93">
        <v>-1</v>
      </c>
      <c r="I28" s="93">
        <v>-1</v>
      </c>
      <c r="J28" s="93">
        <v>-1</v>
      </c>
      <c r="K28" s="93">
        <v>-1</v>
      </c>
      <c r="L28" s="93">
        <v>0.71514999999999995</v>
      </c>
      <c r="M28" s="93">
        <v>0.71540000000000004</v>
      </c>
      <c r="N28" s="93"/>
      <c r="O28" s="93"/>
      <c r="P28" s="93">
        <v>0</v>
      </c>
      <c r="Q28" s="93"/>
      <c r="R28" s="93"/>
      <c r="S28" s="93"/>
      <c r="T28" s="93"/>
      <c r="U28" s="93"/>
      <c r="V28" s="92">
        <v>46130.458333333336</v>
      </c>
      <c r="W28" s="1" t="s">
        <v>258</v>
      </c>
    </row>
    <row r="29" spans="1:23" x14ac:dyDescent="0.4">
      <c r="A29" s="1" t="s">
        <v>255</v>
      </c>
      <c r="B29" s="1">
        <v>815824224</v>
      </c>
      <c r="C29" s="1" t="s">
        <v>58</v>
      </c>
      <c r="D29" s="1" t="s">
        <v>46</v>
      </c>
      <c r="E29" s="1" t="s">
        <v>272</v>
      </c>
      <c r="F29" s="1" t="s">
        <v>81</v>
      </c>
      <c r="G29" s="1" t="s">
        <v>59</v>
      </c>
      <c r="H29" s="93">
        <v>-1</v>
      </c>
      <c r="I29" s="93">
        <v>-1</v>
      </c>
      <c r="J29" s="93">
        <v>-1</v>
      </c>
      <c r="K29" s="93">
        <v>-1</v>
      </c>
      <c r="L29" s="93">
        <v>113.75</v>
      </c>
      <c r="M29" s="93">
        <v>113.65625</v>
      </c>
      <c r="N29" s="93"/>
      <c r="O29" s="93"/>
      <c r="P29" s="93">
        <v>0</v>
      </c>
      <c r="Q29" s="93"/>
      <c r="R29" s="93"/>
      <c r="S29" s="93"/>
      <c r="T29" s="93"/>
      <c r="U29" s="93"/>
      <c r="V29" s="92">
        <v>46130.458333333336</v>
      </c>
      <c r="W29" s="1" t="s">
        <v>258</v>
      </c>
    </row>
    <row r="30" spans="1:23" x14ac:dyDescent="0.4">
      <c r="A30" s="1" t="s">
        <v>256</v>
      </c>
      <c r="B30" s="1">
        <v>815824229</v>
      </c>
      <c r="C30" s="1" t="s">
        <v>58</v>
      </c>
      <c r="D30" s="1" t="s">
        <v>66</v>
      </c>
      <c r="E30" s="1" t="s">
        <v>287</v>
      </c>
      <c r="F30" s="1" t="s">
        <v>81</v>
      </c>
      <c r="G30" s="1" t="s">
        <v>59</v>
      </c>
      <c r="H30" s="93">
        <v>-1</v>
      </c>
      <c r="I30" s="93">
        <v>-1</v>
      </c>
      <c r="J30" s="93">
        <v>-1</v>
      </c>
      <c r="K30" s="93">
        <v>-1</v>
      </c>
      <c r="L30" s="93">
        <v>111.21875</v>
      </c>
      <c r="M30" s="93">
        <v>111.171875</v>
      </c>
      <c r="N30" s="93"/>
      <c r="O30" s="93"/>
      <c r="P30" s="93">
        <v>0</v>
      </c>
      <c r="Q30" s="93"/>
      <c r="R30" s="93"/>
      <c r="S30" s="93"/>
      <c r="T30" s="93"/>
      <c r="U30" s="93"/>
      <c r="V30" s="92">
        <v>46130.458333333336</v>
      </c>
      <c r="W30" s="1" t="s">
        <v>258</v>
      </c>
    </row>
    <row r="31" spans="1:23" x14ac:dyDescent="0.4">
      <c r="A31" s="1" t="s">
        <v>243</v>
      </c>
      <c r="B31" s="1">
        <v>813041669</v>
      </c>
      <c r="C31" s="1" t="s">
        <v>58</v>
      </c>
      <c r="D31" s="1" t="s">
        <v>68</v>
      </c>
      <c r="E31" s="1" t="s">
        <v>288</v>
      </c>
      <c r="F31" s="1" t="s">
        <v>79</v>
      </c>
      <c r="G31" s="1" t="s">
        <v>56</v>
      </c>
      <c r="H31" s="93">
        <v>126.06</v>
      </c>
      <c r="I31" s="93">
        <v>-1</v>
      </c>
      <c r="J31" s="93">
        <v>-1</v>
      </c>
      <c r="K31" s="93">
        <v>-1</v>
      </c>
      <c r="L31" s="93">
        <v>125.44</v>
      </c>
      <c r="M31" s="93">
        <v>125.19</v>
      </c>
      <c r="N31" s="93"/>
      <c r="O31" s="93"/>
      <c r="P31" s="93">
        <v>0</v>
      </c>
      <c r="Q31" s="93"/>
      <c r="R31" s="93"/>
      <c r="S31" s="93"/>
      <c r="T31" s="93"/>
      <c r="U31" s="93"/>
      <c r="V31" s="92">
        <v>46130.458333333336</v>
      </c>
      <c r="W31" s="1" t="s">
        <v>258</v>
      </c>
    </row>
    <row r="32" spans="1:23" x14ac:dyDescent="0.4">
      <c r="A32" s="1" t="s">
        <v>244</v>
      </c>
      <c r="B32" s="1">
        <v>813041681</v>
      </c>
      <c r="C32" s="1" t="s">
        <v>58</v>
      </c>
      <c r="D32" s="1" t="s">
        <v>70</v>
      </c>
      <c r="E32" s="1" t="s">
        <v>273</v>
      </c>
      <c r="F32" s="1" t="s">
        <v>79</v>
      </c>
      <c r="G32" s="1" t="s">
        <v>56</v>
      </c>
      <c r="H32" s="93"/>
      <c r="I32" s="93">
        <v>-1</v>
      </c>
      <c r="J32" s="93">
        <v>-1</v>
      </c>
      <c r="K32" s="93">
        <v>-1</v>
      </c>
      <c r="L32" s="93">
        <v>107.86</v>
      </c>
      <c r="M32" s="93"/>
      <c r="N32" s="93"/>
      <c r="O32" s="93"/>
      <c r="P32" s="93">
        <v>0</v>
      </c>
      <c r="Q32" s="93"/>
      <c r="R32" s="93"/>
      <c r="S32" s="93"/>
      <c r="T32" s="93"/>
      <c r="U32" s="93"/>
      <c r="V32" s="92">
        <v>46130.458333333336</v>
      </c>
      <c r="W32" s="1" t="s">
        <v>258</v>
      </c>
    </row>
    <row r="33" spans="1:23" x14ac:dyDescent="0.4">
      <c r="A33" s="1" t="s">
        <v>245</v>
      </c>
      <c r="B33" s="1">
        <v>813041663</v>
      </c>
      <c r="C33" s="1" t="s">
        <v>58</v>
      </c>
      <c r="D33" s="1" t="s">
        <v>47</v>
      </c>
      <c r="E33" s="1" t="s">
        <v>274</v>
      </c>
      <c r="F33" s="1" t="s">
        <v>79</v>
      </c>
      <c r="G33" s="1" t="s">
        <v>56</v>
      </c>
      <c r="H33" s="93"/>
      <c r="I33" s="93">
        <v>-1</v>
      </c>
      <c r="J33" s="93">
        <v>-1</v>
      </c>
      <c r="K33" s="93">
        <v>-1</v>
      </c>
      <c r="L33" s="93">
        <v>117.47</v>
      </c>
      <c r="M33" s="93"/>
      <c r="N33" s="93"/>
      <c r="O33" s="93"/>
      <c r="P33" s="93">
        <v>0</v>
      </c>
      <c r="Q33" s="93"/>
      <c r="R33" s="93"/>
      <c r="S33" s="93"/>
      <c r="T33" s="93"/>
      <c r="U33" s="93"/>
      <c r="V33" s="92">
        <v>46130.458333333336</v>
      </c>
      <c r="W33" s="1" t="s">
        <v>258</v>
      </c>
    </row>
    <row r="34" spans="1:23" x14ac:dyDescent="0.4">
      <c r="A34" s="1" t="s">
        <v>289</v>
      </c>
      <c r="B34" s="1">
        <v>479624278</v>
      </c>
      <c r="C34" s="1" t="s">
        <v>184</v>
      </c>
      <c r="D34" s="1" t="s">
        <v>44</v>
      </c>
      <c r="E34" s="1" t="s">
        <v>275</v>
      </c>
      <c r="F34" s="1" t="s">
        <v>188</v>
      </c>
      <c r="G34" s="1" t="s">
        <v>59</v>
      </c>
      <c r="H34" s="93">
        <v>76757.5</v>
      </c>
      <c r="I34" s="93">
        <v>76747.75</v>
      </c>
      <c r="J34" s="93">
        <v>76748.75</v>
      </c>
      <c r="K34" s="93">
        <v>76748.25</v>
      </c>
      <c r="L34" s="93">
        <v>77445.25</v>
      </c>
      <c r="M34" s="93"/>
      <c r="N34" s="93">
        <v>78316</v>
      </c>
      <c r="O34" s="93">
        <v>74570</v>
      </c>
      <c r="P34" s="93">
        <v>52.801586520000001</v>
      </c>
      <c r="Q34" s="93"/>
      <c r="R34" s="93"/>
      <c r="S34" s="93"/>
      <c r="T34" s="93"/>
      <c r="U34" s="93"/>
      <c r="V34" s="92">
        <v>46130.458333333336</v>
      </c>
      <c r="W34" s="1" t="s">
        <v>258</v>
      </c>
    </row>
    <row r="35" spans="1:23" x14ac:dyDescent="0.4">
      <c r="A35" s="1" t="s">
        <v>185</v>
      </c>
      <c r="B35" s="1">
        <v>495759171</v>
      </c>
      <c r="C35" s="1" t="s">
        <v>184</v>
      </c>
      <c r="D35" s="1" t="s">
        <v>45</v>
      </c>
      <c r="E35" s="1" t="s">
        <v>276</v>
      </c>
      <c r="F35" s="1" t="s">
        <v>188</v>
      </c>
      <c r="G35" s="1" t="s">
        <v>59</v>
      </c>
      <c r="H35" s="93">
        <v>2381.6</v>
      </c>
      <c r="I35" s="93">
        <v>2381.3000000000002</v>
      </c>
      <c r="J35" s="93">
        <v>2381.35</v>
      </c>
      <c r="K35" s="93">
        <v>2381.3249999999998</v>
      </c>
      <c r="L35" s="93">
        <v>2430.25</v>
      </c>
      <c r="M35" s="93"/>
      <c r="N35" s="93">
        <v>2465</v>
      </c>
      <c r="O35" s="93">
        <v>2319</v>
      </c>
      <c r="P35" s="93">
        <v>1255.2594833999999</v>
      </c>
      <c r="Q35" s="93"/>
      <c r="R35" s="93"/>
      <c r="S35" s="93"/>
      <c r="T35" s="93"/>
      <c r="U35" s="93"/>
      <c r="V35" s="92">
        <v>46130.458333333336</v>
      </c>
      <c r="W35" s="1" t="s">
        <v>258</v>
      </c>
    </row>
    <row r="36" spans="1:23" x14ac:dyDescent="0.4">
      <c r="A36" s="1" t="s">
        <v>304</v>
      </c>
      <c r="B36" s="1">
        <v>297507399</v>
      </c>
      <c r="C36" s="1" t="s">
        <v>303</v>
      </c>
      <c r="D36" s="1" t="s">
        <v>24</v>
      </c>
      <c r="E36" s="1" t="s">
        <v>304</v>
      </c>
      <c r="F36" s="1" t="s">
        <v>60</v>
      </c>
      <c r="G36" s="1" t="s">
        <v>59</v>
      </c>
      <c r="H36" s="93">
        <v>2.13</v>
      </c>
      <c r="I36" s="93">
        <v>-1</v>
      </c>
      <c r="J36" s="93">
        <v>-1</v>
      </c>
      <c r="K36" s="93">
        <v>-1</v>
      </c>
      <c r="L36" s="93">
        <v>2.13</v>
      </c>
      <c r="M36" s="93"/>
      <c r="N36" s="93">
        <v>3.28</v>
      </c>
      <c r="O36" s="93">
        <v>1.1499999999999999</v>
      </c>
      <c r="P36" s="93">
        <v>10304</v>
      </c>
      <c r="Q36" s="93">
        <v>0.6458434992589327</v>
      </c>
      <c r="R36" s="93">
        <v>-0.24685835549058152</v>
      </c>
      <c r="S36" s="93">
        <v>2.2260925965312549E-2</v>
      </c>
      <c r="T36" s="93">
        <v>7.5197646573315957E-2</v>
      </c>
      <c r="U36" s="93">
        <v>-8.3749864822902698E-2</v>
      </c>
      <c r="V36" s="92">
        <v>46130.458333333336</v>
      </c>
      <c r="W36" s="1" t="s">
        <v>258</v>
      </c>
    </row>
    <row r="37" spans="1:23" x14ac:dyDescent="0.4">
      <c r="A37" s="1" t="s">
        <v>305</v>
      </c>
      <c r="B37" s="1">
        <v>297509218</v>
      </c>
      <c r="C37" s="1" t="s">
        <v>303</v>
      </c>
      <c r="D37" s="1" t="s">
        <v>24</v>
      </c>
      <c r="E37" s="1" t="s">
        <v>305</v>
      </c>
      <c r="F37" s="1" t="s">
        <v>60</v>
      </c>
      <c r="G37" s="1" t="s">
        <v>59</v>
      </c>
      <c r="H37" s="93">
        <v>0.11</v>
      </c>
      <c r="I37" s="93">
        <v>-1</v>
      </c>
      <c r="J37" s="93">
        <v>-1</v>
      </c>
      <c r="K37" s="93">
        <v>-1</v>
      </c>
      <c r="L37" s="93">
        <v>0.11</v>
      </c>
      <c r="M37" s="93"/>
      <c r="N37" s="93">
        <v>0.15</v>
      </c>
      <c r="O37" s="93">
        <v>0.08</v>
      </c>
      <c r="P37" s="93">
        <v>1394</v>
      </c>
      <c r="Q37" s="93">
        <v>0.7518356639769681</v>
      </c>
      <c r="R37" s="93">
        <v>-1.576738265641954E-2</v>
      </c>
      <c r="S37" s="93">
        <v>2.3502615518014415E-3</v>
      </c>
      <c r="T37" s="93">
        <v>7.9046258094010724E-3</v>
      </c>
      <c r="U37" s="93">
        <v>-1.1036191129346907E-2</v>
      </c>
      <c r="V37" s="92">
        <v>46130.458333333336</v>
      </c>
      <c r="W37" s="1" t="s">
        <v>258</v>
      </c>
    </row>
    <row r="38" spans="1:23" x14ac:dyDescent="0.4">
      <c r="A38" s="1" t="s">
        <v>325</v>
      </c>
      <c r="B38" s="1">
        <v>766128347</v>
      </c>
      <c r="C38" s="1" t="s">
        <v>303</v>
      </c>
      <c r="D38" s="1" t="s">
        <v>26</v>
      </c>
      <c r="E38" s="1" t="s">
        <v>325</v>
      </c>
      <c r="F38" s="1" t="s">
        <v>80</v>
      </c>
      <c r="G38" s="1" t="s">
        <v>59</v>
      </c>
      <c r="H38" s="93">
        <v>15.4</v>
      </c>
      <c r="I38" s="93">
        <v>-1</v>
      </c>
      <c r="J38" s="93">
        <v>-1</v>
      </c>
      <c r="K38" s="93">
        <v>-1</v>
      </c>
      <c r="L38" s="93">
        <v>12.6</v>
      </c>
      <c r="M38" s="93"/>
      <c r="N38" s="93">
        <v>17.2</v>
      </c>
      <c r="O38" s="93">
        <v>12.3</v>
      </c>
      <c r="P38" s="93">
        <v>412</v>
      </c>
      <c r="Q38" s="93"/>
      <c r="R38" s="93"/>
      <c r="S38" s="93"/>
      <c r="T38" s="93"/>
      <c r="U38" s="93"/>
      <c r="V38" s="92">
        <v>46130.458333333336</v>
      </c>
      <c r="W38" s="1" t="s">
        <v>258</v>
      </c>
    </row>
    <row r="39" spans="1:23" x14ac:dyDescent="0.4">
      <c r="A39" s="1" t="s">
        <v>326</v>
      </c>
      <c r="B39" s="1">
        <v>842622669</v>
      </c>
      <c r="C39" s="1" t="s">
        <v>303</v>
      </c>
      <c r="D39" s="1" t="s">
        <v>26</v>
      </c>
      <c r="E39" s="1" t="s">
        <v>326</v>
      </c>
      <c r="F39" s="1" t="s">
        <v>80</v>
      </c>
      <c r="G39" s="1" t="s">
        <v>59</v>
      </c>
      <c r="H39" s="93">
        <v>132.9</v>
      </c>
      <c r="I39" s="93">
        <v>-1</v>
      </c>
      <c r="J39" s="93">
        <v>-1</v>
      </c>
      <c r="K39" s="93">
        <v>-1</v>
      </c>
      <c r="L39" s="93">
        <v>101.5</v>
      </c>
      <c r="M39" s="93"/>
      <c r="N39" s="93">
        <v>137.4</v>
      </c>
      <c r="O39" s="93">
        <v>132.9</v>
      </c>
      <c r="P39" s="93">
        <v>6</v>
      </c>
      <c r="Q39" s="93">
        <v>0.23922371392982869</v>
      </c>
      <c r="R39" s="93">
        <v>0.45639444008338903</v>
      </c>
      <c r="S39" s="93">
        <v>1.0509448726014378E-3</v>
      </c>
      <c r="T39" s="93">
        <v>6.3412762743999593</v>
      </c>
      <c r="U39" s="93">
        <v>-1.9371255877682927</v>
      </c>
      <c r="V39" s="92">
        <v>46130.458333333336</v>
      </c>
      <c r="W39" s="1" t="s">
        <v>258</v>
      </c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68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217</v>
      </c>
      <c r="B1" s="86" t="s">
        <v>234</v>
      </c>
      <c r="C1" s="86" t="s">
        <v>233</v>
      </c>
    </row>
    <row r="2" spans="1:3" x14ac:dyDescent="0.4">
      <c r="A2" s="87">
        <v>46127.469976851855</v>
      </c>
      <c r="B2" s="84" t="s">
        <v>341</v>
      </c>
      <c r="C2" s="84" t="s">
        <v>342</v>
      </c>
    </row>
    <row r="3" spans="1:3" x14ac:dyDescent="0.4">
      <c r="A3" s="87">
        <v>46127.469976851855</v>
      </c>
      <c r="B3" s="84" t="s">
        <v>341</v>
      </c>
      <c r="C3" s="84" t="s">
        <v>343</v>
      </c>
    </row>
    <row r="4" spans="1:3" x14ac:dyDescent="0.4">
      <c r="A4" s="87">
        <v>46127.469988425924</v>
      </c>
      <c r="B4" s="84" t="s">
        <v>341</v>
      </c>
      <c r="C4" s="84" t="s">
        <v>344</v>
      </c>
    </row>
    <row r="5" spans="1:3" x14ac:dyDescent="0.4">
      <c r="A5" s="85">
        <v>46127.471296296295</v>
      </c>
      <c r="B5" s="1" t="s">
        <v>341</v>
      </c>
      <c r="C5" s="1" t="s">
        <v>342</v>
      </c>
    </row>
    <row r="6" spans="1:3" x14ac:dyDescent="0.4">
      <c r="A6" s="85">
        <v>46127.471307870372</v>
      </c>
      <c r="B6" s="1" t="s">
        <v>341</v>
      </c>
      <c r="C6" s="1" t="s">
        <v>343</v>
      </c>
    </row>
    <row r="7" spans="1:3" x14ac:dyDescent="0.4">
      <c r="A7" s="85">
        <v>46127.471307870372</v>
      </c>
      <c r="B7" s="81" t="s">
        <v>341</v>
      </c>
      <c r="C7" s="81" t="s">
        <v>344</v>
      </c>
    </row>
    <row r="8" spans="1:3" x14ac:dyDescent="0.4">
      <c r="A8" s="85">
        <v>46127.475798611114</v>
      </c>
      <c r="B8" s="81" t="s">
        <v>341</v>
      </c>
      <c r="C8" s="81" t="s">
        <v>342</v>
      </c>
    </row>
    <row r="9" spans="1:3" x14ac:dyDescent="0.4">
      <c r="A9" s="85">
        <v>46127.475798611114</v>
      </c>
      <c r="B9" s="81" t="s">
        <v>341</v>
      </c>
      <c r="C9" s="81" t="s">
        <v>343</v>
      </c>
    </row>
    <row r="10" spans="1:3" x14ac:dyDescent="0.4">
      <c r="A10" s="85">
        <v>46127.475810185184</v>
      </c>
      <c r="B10" s="1" t="s">
        <v>341</v>
      </c>
      <c r="C10" s="1" t="s">
        <v>344</v>
      </c>
    </row>
    <row r="11" spans="1:3" x14ac:dyDescent="0.4">
      <c r="A11" s="85">
        <v>46128.480752314812</v>
      </c>
      <c r="B11" s="1" t="s">
        <v>341</v>
      </c>
      <c r="C11" s="1" t="s">
        <v>342</v>
      </c>
    </row>
    <row r="12" spans="1:3" x14ac:dyDescent="0.4">
      <c r="A12" s="85">
        <v>46128.480763888889</v>
      </c>
      <c r="B12" s="1" t="s">
        <v>341</v>
      </c>
      <c r="C12" s="1" t="s">
        <v>343</v>
      </c>
    </row>
    <row r="13" spans="1:3" x14ac:dyDescent="0.4">
      <c r="A13" s="85">
        <v>46128.480763888889</v>
      </c>
      <c r="B13" s="1" t="s">
        <v>341</v>
      </c>
      <c r="C13" s="1" t="s">
        <v>344</v>
      </c>
    </row>
    <row r="14" spans="1:3" x14ac:dyDescent="0.4">
      <c r="A14" s="85">
        <v>46129.72892361111</v>
      </c>
      <c r="B14" s="1" t="s">
        <v>341</v>
      </c>
      <c r="C14" s="1" t="s">
        <v>342</v>
      </c>
    </row>
    <row r="15" spans="1:3" x14ac:dyDescent="0.4">
      <c r="A15" s="85">
        <v>46129.728935185187</v>
      </c>
      <c r="B15" s="1" t="s">
        <v>341</v>
      </c>
      <c r="C15" s="1" t="s">
        <v>343</v>
      </c>
    </row>
    <row r="16" spans="1:3" x14ac:dyDescent="0.4">
      <c r="A16" s="85">
        <v>46129.728935185187</v>
      </c>
      <c r="B16" s="1" t="s">
        <v>341</v>
      </c>
      <c r="C16" s="1" t="s">
        <v>344</v>
      </c>
    </row>
    <row r="17" spans="1:3" x14ac:dyDescent="0.4">
      <c r="A17" s="85">
        <v>46129.72923611111</v>
      </c>
      <c r="B17" s="1" t="s">
        <v>345</v>
      </c>
      <c r="C17" s="1" t="s">
        <v>346</v>
      </c>
    </row>
    <row r="18" spans="1:3" x14ac:dyDescent="0.4">
      <c r="A18" s="85">
        <v>46129.729259259257</v>
      </c>
      <c r="B18" s="1" t="s">
        <v>341</v>
      </c>
      <c r="C18" s="1" t="s">
        <v>347</v>
      </c>
    </row>
    <row r="19" spans="1:3" x14ac:dyDescent="0.4">
      <c r="A19" s="85">
        <v>46129.729375000003</v>
      </c>
      <c r="B19" s="1" t="s">
        <v>345</v>
      </c>
      <c r="C19" s="1" t="s">
        <v>348</v>
      </c>
    </row>
    <row r="20" spans="1:3" x14ac:dyDescent="0.4">
      <c r="A20" s="85">
        <v>46129.729398148149</v>
      </c>
      <c r="B20" s="1" t="s">
        <v>341</v>
      </c>
      <c r="C20" s="1" t="s">
        <v>347</v>
      </c>
    </row>
    <row r="21" spans="1:3" x14ac:dyDescent="0.4">
      <c r="A21" s="85">
        <v>46130.457037037035</v>
      </c>
      <c r="B21" s="1" t="s">
        <v>341</v>
      </c>
      <c r="C21" s="1" t="s">
        <v>342</v>
      </c>
    </row>
    <row r="22" spans="1:3" x14ac:dyDescent="0.4">
      <c r="A22" s="85">
        <v>46130.457048611112</v>
      </c>
      <c r="B22" s="1" t="s">
        <v>341</v>
      </c>
      <c r="C22" s="1" t="s">
        <v>343</v>
      </c>
    </row>
    <row r="23" spans="1:3" x14ac:dyDescent="0.4">
      <c r="A23" s="85">
        <v>46130.457048611112</v>
      </c>
      <c r="B23" s="1" t="s">
        <v>341</v>
      </c>
      <c r="C23" s="1" t="s">
        <v>344</v>
      </c>
    </row>
    <row r="24" spans="1:3" x14ac:dyDescent="0.4">
      <c r="A24" s="85"/>
    </row>
    <row r="25" spans="1:3" x14ac:dyDescent="0.4">
      <c r="A25" s="85"/>
    </row>
    <row r="26" spans="1:3" x14ac:dyDescent="0.4">
      <c r="A26" s="85"/>
    </row>
    <row r="27" spans="1:3" x14ac:dyDescent="0.4">
      <c r="A27" s="85"/>
    </row>
    <row r="28" spans="1:3" x14ac:dyDescent="0.4">
      <c r="A28" s="85"/>
    </row>
    <row r="29" spans="1:3" x14ac:dyDescent="0.4">
      <c r="A29" s="85"/>
    </row>
    <row r="30" spans="1:3" x14ac:dyDescent="0.4">
      <c r="A30" s="85"/>
    </row>
    <row r="31" spans="1:3" x14ac:dyDescent="0.4">
      <c r="A31" s="85"/>
    </row>
    <row r="32" spans="1:3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  <row r="40" spans="1:1" x14ac:dyDescent="0.4">
      <c r="A40" s="85"/>
    </row>
    <row r="41" spans="1:1" x14ac:dyDescent="0.4">
      <c r="A41" s="85"/>
    </row>
    <row r="42" spans="1:1" x14ac:dyDescent="0.4">
      <c r="A42" s="85"/>
    </row>
    <row r="43" spans="1:1" x14ac:dyDescent="0.4">
      <c r="A43" s="85"/>
    </row>
    <row r="44" spans="1:1" x14ac:dyDescent="0.4">
      <c r="A44" s="85"/>
    </row>
    <row r="45" spans="1:1" x14ac:dyDescent="0.4">
      <c r="A45" s="85"/>
    </row>
    <row r="46" spans="1:1" x14ac:dyDescent="0.4">
      <c r="A46" s="85"/>
    </row>
    <row r="47" spans="1:1" x14ac:dyDescent="0.4">
      <c r="A47" s="85"/>
    </row>
    <row r="48" spans="1:1" x14ac:dyDescent="0.4">
      <c r="A48" s="85"/>
    </row>
    <row r="49" spans="1:1" x14ac:dyDescent="0.4">
      <c r="A49" s="85"/>
    </row>
    <row r="50" spans="1:1" x14ac:dyDescent="0.4">
      <c r="A50" s="85"/>
    </row>
    <row r="51" spans="1:1" x14ac:dyDescent="0.4">
      <c r="A51" s="85"/>
    </row>
    <row r="52" spans="1:1" x14ac:dyDescent="0.4">
      <c r="A52" s="85"/>
    </row>
    <row r="53" spans="1:1" x14ac:dyDescent="0.4">
      <c r="A53" s="85"/>
    </row>
    <row r="54" spans="1:1" x14ac:dyDescent="0.4">
      <c r="A54" s="85"/>
    </row>
    <row r="55" spans="1:1" x14ac:dyDescent="0.4">
      <c r="A55" s="85"/>
    </row>
    <row r="56" spans="1:1" x14ac:dyDescent="0.4">
      <c r="A56" s="85"/>
    </row>
    <row r="57" spans="1:1" x14ac:dyDescent="0.4">
      <c r="A57" s="85"/>
    </row>
    <row r="58" spans="1:1" x14ac:dyDescent="0.4">
      <c r="A58" s="85"/>
    </row>
    <row r="59" spans="1:1" x14ac:dyDescent="0.4">
      <c r="A59" s="85"/>
    </row>
    <row r="60" spans="1:1" x14ac:dyDescent="0.4">
      <c r="A60" s="85"/>
    </row>
    <row r="61" spans="1:1" x14ac:dyDescent="0.4">
      <c r="A61" s="85"/>
    </row>
    <row r="62" spans="1:1" x14ac:dyDescent="0.4">
      <c r="A62" s="85"/>
    </row>
    <row r="63" spans="1:1" x14ac:dyDescent="0.4">
      <c r="A63" s="85"/>
    </row>
    <row r="64" spans="1:1" x14ac:dyDescent="0.4">
      <c r="A64" s="85"/>
    </row>
    <row r="65" spans="1:1" x14ac:dyDescent="0.4">
      <c r="A65" s="85"/>
    </row>
    <row r="66" spans="1:1" x14ac:dyDescent="0.4">
      <c r="A66" s="85"/>
    </row>
    <row r="67" spans="1:1" x14ac:dyDescent="0.4">
      <c r="A67" s="85"/>
    </row>
    <row r="68" spans="1:1" x14ac:dyDescent="0.4">
      <c r="A68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2026-04-20T10:56:05Z</dcterms:modified>
</cp:coreProperties>
</file>