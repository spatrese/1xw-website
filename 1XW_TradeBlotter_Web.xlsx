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601c1c2ba3d9f4/Trading/The Strategy Project/1XW Website/"/>
    </mc:Choice>
  </mc:AlternateContent>
  <xr:revisionPtr revIDLastSave="193" documentId="13_ncr:1_{6F5069F1-F0E7-4440-AA6D-4AFA11BBED1B}" xr6:coauthVersionLast="47" xr6:coauthVersionMax="47" xr10:uidLastSave="{30A6B0A4-2787-4DFA-BF4B-184701D21F10}"/>
  <bookViews>
    <workbookView xWindow="-98" yWindow="-98" windowWidth="22695" windowHeight="14476" xr2:uid="{00000000-000D-0000-FFFF-FFFF00000000}"/>
  </bookViews>
  <sheets>
    <sheet name="Blotter" sheetId="3" r:id="rId1"/>
    <sheet name="Cash_Mgmt" sheetId="7" r:id="rId2"/>
    <sheet name="NAV" sheetId="9" r:id="rId3"/>
    <sheet name="PLB" sheetId="2" r:id="rId4"/>
    <sheet name="PLB_chart" sheetId="8" r:id="rId5"/>
    <sheet name="Multiplier" sheetId="4" r:id="rId6"/>
    <sheet name="Trades" sheetId="6" r:id="rId7"/>
    <sheet name="Config" sheetId="10" r:id="rId8"/>
    <sheet name="Symbols" sheetId="11" r:id="rId9"/>
    <sheet name="Prices" sheetId="12" r:id="rId10"/>
    <sheet name="Log" sheetId="13" r:id="rId11"/>
  </sheets>
  <definedNames>
    <definedName name="_xlnm._FilterDatabase" localSheetId="0" hidden="1">Blotter!$G$19:$G$48</definedName>
    <definedName name="_xlnm._FilterDatabase" localSheetId="6" hidden="1">Trades!$A$1:$X$1066</definedName>
    <definedName name="DynDate">OFFSET(NAV!$B$3,0,0,COUNTA(NAV!$B:$B),1)</definedName>
    <definedName name="DynITD">OFFSET(NAV!$M$3,0,0,COUNTA(NAV!$M:$M)-1,1)</definedName>
    <definedName name="DynMTD">OFFSET(NAV!$N$3,0,0,COUNTA(NAV!$N:$N)-1,1)</definedName>
    <definedName name="DynNAV">OFFSET(NAV!$L$3,0,0,COUNTA(NAV!$L:$L)-1,1)</definedName>
    <definedName name="_xlnm.Print_Area" localSheetId="2">NAV!$A$25:$P$78</definedName>
    <definedName name="_xlnm.Print_Area" localSheetId="3">PLB!$A$1:$X$55</definedName>
    <definedName name="_xlnm.Print_Area" localSheetId="4">PLB_chart!$A$1:$V$39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2" l="1"/>
  <c r="N5" i="2"/>
  <c r="E5" i="2" a="1"/>
  <c r="E5" i="2" s="1"/>
  <c r="X6" i="6"/>
  <c r="W6" i="6"/>
  <c r="V6" i="6"/>
  <c r="U6" i="6"/>
  <c r="T6" i="6"/>
  <c r="Z20" i="3"/>
  <c r="O20" i="3"/>
  <c r="J20" i="3"/>
  <c r="R20" i="3" s="1"/>
  <c r="X36" i="6"/>
  <c r="W36" i="6"/>
  <c r="V36" i="6"/>
  <c r="U36" i="6"/>
  <c r="T36" i="6" s="1"/>
  <c r="X35" i="6"/>
  <c r="W35" i="6"/>
  <c r="V35" i="6"/>
  <c r="U35" i="6"/>
  <c r="T35" i="6" s="1"/>
  <c r="X34" i="6"/>
  <c r="W34" i="6"/>
  <c r="V34" i="6"/>
  <c r="U34" i="6"/>
  <c r="T34" i="6"/>
  <c r="X33" i="6"/>
  <c r="W33" i="6"/>
  <c r="V33" i="6"/>
  <c r="U33" i="6"/>
  <c r="T33" i="6"/>
  <c r="X32" i="6"/>
  <c r="W32" i="6"/>
  <c r="V32" i="6"/>
  <c r="U32" i="6"/>
  <c r="T32" i="6" s="1"/>
  <c r="X31" i="6"/>
  <c r="W31" i="6"/>
  <c r="V31" i="6"/>
  <c r="U31" i="6"/>
  <c r="T31" i="6" s="1"/>
  <c r="X30" i="6"/>
  <c r="W30" i="6"/>
  <c r="V30" i="6"/>
  <c r="U30" i="6"/>
  <c r="T30" i="6" s="1"/>
  <c r="X29" i="6"/>
  <c r="W29" i="6"/>
  <c r="V29" i="6"/>
  <c r="U29" i="6"/>
  <c r="T29" i="6" s="1"/>
  <c r="X28" i="6"/>
  <c r="W28" i="6"/>
  <c r="V28" i="6"/>
  <c r="U28" i="6"/>
  <c r="T28" i="6"/>
  <c r="X27" i="6"/>
  <c r="W27" i="6"/>
  <c r="V27" i="6"/>
  <c r="U27" i="6"/>
  <c r="T27" i="6" s="1"/>
  <c r="X26" i="6"/>
  <c r="W26" i="6"/>
  <c r="V26" i="6"/>
  <c r="U26" i="6"/>
  <c r="T26" i="6" s="1"/>
  <c r="X25" i="6"/>
  <c r="W25" i="6"/>
  <c r="V25" i="6"/>
  <c r="U25" i="6"/>
  <c r="T25" i="6"/>
  <c r="X24" i="6"/>
  <c r="W24" i="6"/>
  <c r="V24" i="6"/>
  <c r="U24" i="6"/>
  <c r="T24" i="6" s="1"/>
  <c r="X23" i="6"/>
  <c r="W23" i="6"/>
  <c r="V23" i="6"/>
  <c r="U23" i="6"/>
  <c r="T23" i="6" s="1"/>
  <c r="X22" i="6"/>
  <c r="W22" i="6"/>
  <c r="V22" i="6"/>
  <c r="U22" i="6"/>
  <c r="T22" i="6"/>
  <c r="X21" i="6"/>
  <c r="W21" i="6"/>
  <c r="V21" i="6"/>
  <c r="U21" i="6"/>
  <c r="T21" i="6" s="1"/>
  <c r="X20" i="6"/>
  <c r="W20" i="6"/>
  <c r="V20" i="6"/>
  <c r="U20" i="6"/>
  <c r="T20" i="6"/>
  <c r="X19" i="6"/>
  <c r="W19" i="6"/>
  <c r="V19" i="6"/>
  <c r="U19" i="6"/>
  <c r="T19" i="6" s="1"/>
  <c r="X18" i="6"/>
  <c r="W18" i="6"/>
  <c r="V18" i="6"/>
  <c r="U18" i="6"/>
  <c r="T18" i="6"/>
  <c r="G19" i="3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Z19" i="3"/>
  <c r="G43" i="4"/>
  <c r="E43" i="4"/>
  <c r="X17" i="6"/>
  <c r="W17" i="6"/>
  <c r="V17" i="6"/>
  <c r="U17" i="6"/>
  <c r="T17" i="6" s="1"/>
  <c r="X16" i="6"/>
  <c r="W16" i="6"/>
  <c r="V16" i="6"/>
  <c r="U16" i="6"/>
  <c r="T16" i="6" s="1"/>
  <c r="X15" i="6"/>
  <c r="W15" i="6"/>
  <c r="V15" i="6"/>
  <c r="U15" i="6"/>
  <c r="T15" i="6" s="1"/>
  <c r="X14" i="6"/>
  <c r="W14" i="6"/>
  <c r="V14" i="6"/>
  <c r="U14" i="6"/>
  <c r="T14" i="6" s="1"/>
  <c r="X13" i="6"/>
  <c r="W13" i="6"/>
  <c r="V13" i="6"/>
  <c r="U13" i="6"/>
  <c r="T13" i="6" s="1"/>
  <c r="X12" i="6"/>
  <c r="W12" i="6"/>
  <c r="V12" i="6"/>
  <c r="U12" i="6"/>
  <c r="T12" i="6" s="1"/>
  <c r="X11" i="6"/>
  <c r="W11" i="6"/>
  <c r="V11" i="6"/>
  <c r="U11" i="6"/>
  <c r="T11" i="6" s="1"/>
  <c r="X10" i="6"/>
  <c r="W10" i="6"/>
  <c r="V10" i="6"/>
  <c r="U10" i="6"/>
  <c r="T10" i="6"/>
  <c r="X9" i="6"/>
  <c r="W9" i="6"/>
  <c r="V9" i="6"/>
  <c r="U9" i="6"/>
  <c r="T9" i="6" s="1"/>
  <c r="X8" i="6"/>
  <c r="W8" i="6"/>
  <c r="V8" i="6"/>
  <c r="U8" i="6"/>
  <c r="T8" i="6" s="1"/>
  <c r="X7" i="6"/>
  <c r="W7" i="6"/>
  <c r="V7" i="6"/>
  <c r="U7" i="6"/>
  <c r="T7" i="6" s="1"/>
  <c r="X5" i="6"/>
  <c r="W5" i="6"/>
  <c r="V5" i="6"/>
  <c r="U5" i="6"/>
  <c r="T5" i="6" s="1"/>
  <c r="X4" i="6"/>
  <c r="W4" i="6"/>
  <c r="V4" i="6"/>
  <c r="U4" i="6"/>
  <c r="T4" i="6" s="1"/>
  <c r="X3" i="6"/>
  <c r="W3" i="6"/>
  <c r="V3" i="6"/>
  <c r="U3" i="6"/>
  <c r="T3" i="6" s="1"/>
  <c r="B5" i="2"/>
  <c r="H5" i="7" l="1"/>
  <c r="G42" i="4" l="1"/>
  <c r="E42" i="4"/>
  <c r="T4" i="2" l="1"/>
  <c r="G41" i="4"/>
  <c r="E41" i="4"/>
  <c r="K5" i="9"/>
  <c r="K4" i="9"/>
  <c r="J4" i="9"/>
  <c r="L4" i="9" s="1"/>
  <c r="D5" i="9" s="1"/>
  <c r="E5" i="9" s="1"/>
  <c r="E4" i="9"/>
  <c r="J3" i="9"/>
  <c r="N4" i="9" l="1"/>
  <c r="M4" i="9"/>
  <c r="D4" i="9" l="1"/>
  <c r="G40" i="4"/>
  <c r="E40" i="4"/>
  <c r="R4" i="2"/>
  <c r="N4" i="2"/>
  <c r="J3" i="2"/>
  <c r="G39" i="4"/>
  <c r="E39" i="4"/>
  <c r="H6" i="7"/>
  <c r="M3" i="2" l="1"/>
  <c r="O3" i="2" s="1"/>
  <c r="G38" i="4"/>
  <c r="E38" i="4"/>
  <c r="H4" i="7"/>
  <c r="H7" i="7"/>
  <c r="AD563" i="6" l="1"/>
  <c r="G20" i="4"/>
  <c r="E20" i="4"/>
  <c r="U2" i="6" l="1"/>
  <c r="T2" i="6" s="1"/>
  <c r="X20" i="3" l="1" a="1"/>
  <c r="X20" i="3" s="1"/>
  <c r="I20" i="3" a="1"/>
  <c r="I20" i="3" s="1"/>
  <c r="Y20" i="3" a="1"/>
  <c r="Y20" i="3" s="1"/>
  <c r="I19" i="3" a="1"/>
  <c r="G37" i="4"/>
  <c r="E37" i="4"/>
  <c r="L20" i="3" l="1"/>
  <c r="S20" i="3" s="1"/>
  <c r="O19" i="3"/>
  <c r="T20" i="3" l="1"/>
  <c r="N20" i="3" a="1"/>
  <c r="N20" i="3" s="1"/>
  <c r="K20" i="3" s="1"/>
  <c r="U20" i="3" s="1"/>
  <c r="V20" i="3" s="1"/>
  <c r="M20" i="3"/>
  <c r="X2" i="6"/>
  <c r="W2" i="6"/>
  <c r="V2" i="6"/>
  <c r="X19" i="3" l="1" a="1"/>
  <c r="X19" i="3" s="1"/>
  <c r="Y19" i="3" a="1"/>
  <c r="Y19" i="3" s="1"/>
  <c r="I19" i="3"/>
  <c r="C4" i="2" l="1"/>
  <c r="U4" i="2" s="1"/>
  <c r="J19" i="3"/>
  <c r="R19" i="3" s="1"/>
  <c r="G36" i="4"/>
  <c r="E36" i="4"/>
  <c r="G35" i="4"/>
  <c r="E35" i="4"/>
  <c r="G34" i="4"/>
  <c r="E34" i="4"/>
  <c r="G33" i="4"/>
  <c r="E33" i="4"/>
  <c r="G32" i="4"/>
  <c r="E32" i="4"/>
  <c r="D32" i="4"/>
  <c r="G31" i="4"/>
  <c r="E31" i="4"/>
  <c r="G30" i="4"/>
  <c r="E30" i="4"/>
  <c r="G29" i="4"/>
  <c r="E29" i="4"/>
  <c r="G28" i="4"/>
  <c r="E28" i="4"/>
  <c r="G27" i="4"/>
  <c r="E27" i="4"/>
  <c r="G26" i="4"/>
  <c r="E26" i="4"/>
  <c r="G25" i="4"/>
  <c r="E25" i="4"/>
  <c r="G24" i="4"/>
  <c r="E24" i="4"/>
  <c r="G23" i="4"/>
  <c r="E23" i="4"/>
  <c r="G22" i="4"/>
  <c r="E22" i="4"/>
  <c r="G21" i="4"/>
  <c r="E21" i="4"/>
  <c r="G19" i="4"/>
  <c r="E19" i="4"/>
  <c r="G18" i="4"/>
  <c r="E18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/>
  <c r="G4" i="4"/>
  <c r="E4" i="4"/>
  <c r="P3" i="4"/>
  <c r="F43" i="4" s="1"/>
  <c r="H43" i="4" s="1"/>
  <c r="G3" i="4"/>
  <c r="E3" i="4"/>
  <c r="L43" i="4" l="1"/>
  <c r="K43" i="4"/>
  <c r="G13" i="7"/>
  <c r="N18" i="3" s="1"/>
  <c r="F42" i="4"/>
  <c r="H42" i="4" s="1"/>
  <c r="F41" i="4"/>
  <c r="H41" i="4" s="1"/>
  <c r="F39" i="4"/>
  <c r="H39" i="4" s="1"/>
  <c r="F40" i="4"/>
  <c r="H40" i="4" s="1"/>
  <c r="F20" i="4"/>
  <c r="H20" i="4" s="1"/>
  <c r="F38" i="4"/>
  <c r="H38" i="4" s="1"/>
  <c r="F3" i="4"/>
  <c r="H3" i="4" s="1"/>
  <c r="I3" i="4" s="1"/>
  <c r="F37" i="4"/>
  <c r="H37" i="4" s="1"/>
  <c r="E4" i="2" a="1"/>
  <c r="E4" i="2" s="1"/>
  <c r="F5" i="4"/>
  <c r="H5" i="4" s="1"/>
  <c r="F13" i="4"/>
  <c r="H13" i="4" s="1"/>
  <c r="F17" i="4"/>
  <c r="H17" i="4" s="1"/>
  <c r="F22" i="4"/>
  <c r="H22" i="4" s="1"/>
  <c r="F35" i="4"/>
  <c r="H35" i="4" s="1"/>
  <c r="F4" i="4"/>
  <c r="H4" i="4" s="1"/>
  <c r="F8" i="4"/>
  <c r="H8" i="4" s="1"/>
  <c r="F12" i="4"/>
  <c r="H12" i="4" s="1"/>
  <c r="F16" i="4"/>
  <c r="H16" i="4" s="1"/>
  <c r="F21" i="4"/>
  <c r="H21" i="4" s="1"/>
  <c r="F25" i="4"/>
  <c r="H25" i="4" s="1"/>
  <c r="F29" i="4"/>
  <c r="H29" i="4" s="1"/>
  <c r="F34" i="4"/>
  <c r="H34" i="4" s="1"/>
  <c r="F9" i="4"/>
  <c r="H9" i="4" s="1"/>
  <c r="F26" i="4"/>
  <c r="H26" i="4" s="1"/>
  <c r="F30" i="4"/>
  <c r="H30" i="4" s="1"/>
  <c r="F7" i="4"/>
  <c r="H7" i="4" s="1"/>
  <c r="F11" i="4"/>
  <c r="H11" i="4" s="1"/>
  <c r="F15" i="4"/>
  <c r="H15" i="4" s="1"/>
  <c r="F19" i="4"/>
  <c r="H19" i="4" s="1"/>
  <c r="I19" i="4" s="1"/>
  <c r="G20" i="3" s="1"/>
  <c r="F24" i="4"/>
  <c r="H24" i="4" s="1"/>
  <c r="F28" i="4"/>
  <c r="H28" i="4" s="1"/>
  <c r="F33" i="4"/>
  <c r="H33" i="4" s="1"/>
  <c r="F6" i="4"/>
  <c r="H6" i="4" s="1"/>
  <c r="F10" i="4"/>
  <c r="H10" i="4" s="1"/>
  <c r="F14" i="4"/>
  <c r="H14" i="4" s="1"/>
  <c r="F18" i="4"/>
  <c r="H18" i="4" s="1"/>
  <c r="F23" i="4"/>
  <c r="H23" i="4" s="1"/>
  <c r="F27" i="4"/>
  <c r="H27" i="4" s="1"/>
  <c r="F31" i="4"/>
  <c r="H31" i="4" s="1"/>
  <c r="F32" i="4"/>
  <c r="H32" i="4" s="1"/>
  <c r="F36" i="4"/>
  <c r="H36" i="4" s="1"/>
  <c r="L20" i="4" l="1"/>
  <c r="K20" i="4"/>
  <c r="L18" i="4"/>
  <c r="K18" i="4"/>
  <c r="L4" i="4"/>
  <c r="K4" i="4"/>
  <c r="L10" i="4"/>
  <c r="K10" i="4"/>
  <c r="L7" i="4"/>
  <c r="K7" i="4"/>
  <c r="L41" i="4"/>
  <c r="K41" i="4"/>
  <c r="K16" i="4"/>
  <c r="L14" i="4"/>
  <c r="K14" i="4"/>
  <c r="L12" i="4"/>
  <c r="K12" i="4"/>
  <c r="L19" i="4"/>
  <c r="K19" i="4"/>
  <c r="H13" i="7"/>
  <c r="C7" i="3" s="1"/>
  <c r="K5" i="4"/>
  <c r="C5" i="2"/>
  <c r="U5" i="2" s="1"/>
  <c r="L16" i="4" l="1"/>
  <c r="L5" i="4"/>
  <c r="T5" i="2"/>
  <c r="L19" i="3"/>
  <c r="S19" i="3" s="1"/>
  <c r="N19" i="3" l="1" a="1"/>
  <c r="N19" i="3" s="1"/>
  <c r="T19" i="3"/>
  <c r="M19" i="3"/>
  <c r="G5" i="2" s="1" a="1"/>
  <c r="G5" i="2" s="1"/>
  <c r="K19" i="3" l="1"/>
  <c r="D5" i="2" a="1"/>
  <c r="D5" i="2" s="1"/>
  <c r="F5" i="2" s="1"/>
  <c r="C4" i="3"/>
  <c r="I5" i="9" s="1"/>
  <c r="J5" i="9" s="1"/>
  <c r="L5" i="9" s="1"/>
  <c r="D4" i="2" a="1"/>
  <c r="D4" i="2" s="1"/>
  <c r="H4" i="2" s="1"/>
  <c r="K4" i="2" s="1"/>
  <c r="L4" i="2" s="1"/>
  <c r="U19" i="3" l="1"/>
  <c r="V19" i="3" s="1"/>
  <c r="M5" i="9"/>
  <c r="N5" i="9"/>
  <c r="O5" i="9" s="1"/>
  <c r="C9" i="3" a="1"/>
  <c r="C9" i="3" s="1"/>
  <c r="G4" i="2" a="1"/>
  <c r="G4" i="2" s="1"/>
  <c r="M4" i="2" s="1"/>
  <c r="C8" i="3"/>
  <c r="C10" i="3" a="1"/>
  <c r="C10" i="3" s="1"/>
  <c r="C11" i="3" a="1"/>
  <c r="C11" i="3" s="1"/>
  <c r="P4" i="2" l="1"/>
  <c r="Q4" i="2" s="1"/>
  <c r="O4" i="2"/>
  <c r="M5" i="2" s="1"/>
  <c r="C13" i="3" a="1"/>
  <c r="C13" i="3" s="1"/>
  <c r="J4" i="2"/>
  <c r="H5" i="2" s="1"/>
  <c r="J5" i="2" l="1"/>
  <c r="K5" i="2"/>
  <c r="L5" i="2" s="1"/>
  <c r="P5" i="2"/>
  <c r="Q5" i="2" s="1"/>
  <c r="O5" i="2"/>
  <c r="F4" i="2"/>
  <c r="C12" i="3" l="1" a="1"/>
  <c r="C12" i="3" s="1"/>
  <c r="C14" i="3" l="1"/>
  <c r="C3" i="3" l="1"/>
  <c r="D9" i="3" l="1"/>
  <c r="C6" i="3" l="1"/>
  <c r="C5" i="3"/>
  <c r="D12" i="3"/>
  <c r="D10" i="3"/>
  <c r="D14" i="3"/>
  <c r="D11" i="3"/>
  <c r="D7" i="3"/>
  <c r="D13" i="3"/>
  <c r="D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Simone Patrese</author>
  </authors>
  <commentList>
    <comment ref="P17" authorId="0" shapeId="0" xr:uid="{9008A5E5-F07E-41AE-90C7-5D93654E4681}">
      <text>
        <r>
          <rPr>
            <b/>
            <sz val="9"/>
            <color indexed="81"/>
            <rFont val="Tahoma"/>
            <charset val="1"/>
          </rPr>
          <t>Simone Patrese:</t>
        </r>
        <r>
          <rPr>
            <sz val="9"/>
            <color indexed="81"/>
            <rFont val="Tahoma"/>
            <charset val="1"/>
          </rPr>
          <t xml:space="preserve">
ATR or Premium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<sst xmlns="http://schemas.openxmlformats.org/spreadsheetml/2006/main" count="871" uniqueCount="321">
  <si>
    <t>WEEK</t>
  </si>
  <si>
    <t>UNDERLYING</t>
  </si>
  <si>
    <t>INSTRUMENT</t>
  </si>
  <si>
    <t>RISK $</t>
  </si>
  <si>
    <t>SPX</t>
  </si>
  <si>
    <t>NG</t>
  </si>
  <si>
    <t>Futures</t>
  </si>
  <si>
    <t>OPEN/CLOSE</t>
  </si>
  <si>
    <t>DATE</t>
  </si>
  <si>
    <t>RB</t>
  </si>
  <si>
    <t>QUANTITY</t>
  </si>
  <si>
    <t>MULTIPLIER</t>
  </si>
  <si>
    <t>Ticker</t>
  </si>
  <si>
    <t>Multiplier</t>
  </si>
  <si>
    <t>ATR</t>
  </si>
  <si>
    <t># ATR</t>
  </si>
  <si>
    <t>Capital $</t>
  </si>
  <si>
    <t>% Capital</t>
  </si>
  <si>
    <t>Sizing</t>
  </si>
  <si>
    <t>Capital Loc Crncy</t>
  </si>
  <si>
    <t>FX</t>
  </si>
  <si>
    <t>ES</t>
  </si>
  <si>
    <t>NQ</t>
  </si>
  <si>
    <t>RTY</t>
  </si>
  <si>
    <t>CL</t>
  </si>
  <si>
    <t>HG</t>
  </si>
  <si>
    <t>GC</t>
  </si>
  <si>
    <t>SI</t>
  </si>
  <si>
    <t>ZC</t>
  </si>
  <si>
    <t>ZW</t>
  </si>
  <si>
    <t>KE</t>
  </si>
  <si>
    <t>ZS</t>
  </si>
  <si>
    <t>SB</t>
  </si>
  <si>
    <t>KC</t>
  </si>
  <si>
    <t>CC</t>
  </si>
  <si>
    <t>LE</t>
  </si>
  <si>
    <t>GF</t>
  </si>
  <si>
    <t>HE</t>
  </si>
  <si>
    <t>DX</t>
  </si>
  <si>
    <t>6A</t>
  </si>
  <si>
    <t>6B</t>
  </si>
  <si>
    <t>6C</t>
  </si>
  <si>
    <t>6E</t>
  </si>
  <si>
    <t>6J</t>
  </si>
  <si>
    <t>BTC</t>
  </si>
  <si>
    <t>ETH</t>
  </si>
  <si>
    <t>ZB</t>
  </si>
  <si>
    <t>BTP</t>
  </si>
  <si>
    <t>BABA</t>
  </si>
  <si>
    <t>NVDA</t>
  </si>
  <si>
    <t>GOOG</t>
  </si>
  <si>
    <t>ENTRY PRICE</t>
  </si>
  <si>
    <t>EXIT PRICE</t>
  </si>
  <si>
    <t>Put</t>
  </si>
  <si>
    <t>RISK-RETURN</t>
  </si>
  <si>
    <t>P&amp;L $</t>
  </si>
  <si>
    <t>PLB %</t>
  </si>
  <si>
    <t>Symbol</t>
  </si>
  <si>
    <t>Strike</t>
  </si>
  <si>
    <t>Close</t>
  </si>
  <si>
    <t>EUR</t>
  </si>
  <si>
    <t>JPY</t>
  </si>
  <si>
    <t>FUT</t>
  </si>
  <si>
    <t>USD</t>
  </si>
  <si>
    <t>ESTX50</t>
  </si>
  <si>
    <t>NYMEX</t>
  </si>
  <si>
    <t>DAX</t>
  </si>
  <si>
    <t>NIY</t>
  </si>
  <si>
    <t>PA</t>
  </si>
  <si>
    <t>NYBOT</t>
  </si>
  <si>
    <t>CT</t>
  </si>
  <si>
    <t>ZNM9</t>
  </si>
  <si>
    <t>ZN</t>
  </si>
  <si>
    <t>GBLM9</t>
  </si>
  <si>
    <t>GBL</t>
  </si>
  <si>
    <t>GBXM9</t>
  </si>
  <si>
    <t>GBX</t>
  </si>
  <si>
    <t>IKM9</t>
  </si>
  <si>
    <t>DXM9</t>
  </si>
  <si>
    <t>GBP</t>
  </si>
  <si>
    <t>6CM9</t>
  </si>
  <si>
    <t>CAD</t>
  </si>
  <si>
    <t>6AM9</t>
  </si>
  <si>
    <t>AUD</t>
  </si>
  <si>
    <t>CME</t>
  </si>
  <si>
    <t>EUREX</t>
  </si>
  <si>
    <t>COMEX</t>
  </si>
  <si>
    <t>CBOT</t>
  </si>
  <si>
    <t>TICKER</t>
  </si>
  <si>
    <t>Call</t>
  </si>
  <si>
    <t>Initial PLB %</t>
  </si>
  <si>
    <t>BUY</t>
  </si>
  <si>
    <t>CommissionCurrency</t>
  </si>
  <si>
    <t>Commission</t>
  </si>
  <si>
    <t>Amount</t>
  </si>
  <si>
    <t>Price</t>
  </si>
  <si>
    <t>Quantity</t>
  </si>
  <si>
    <t>Buy/Sell</t>
  </si>
  <si>
    <t>TradeDate</t>
  </si>
  <si>
    <t>Put/Call</t>
  </si>
  <si>
    <t>Expiry</t>
  </si>
  <si>
    <t>UnderlyingSymbol</t>
  </si>
  <si>
    <t>ListingExchange</t>
  </si>
  <si>
    <t>Description</t>
  </si>
  <si>
    <t>AssetClass</t>
  </si>
  <si>
    <t>CurrencyPrimary</t>
  </si>
  <si>
    <t>ClientAccountID</t>
  </si>
  <si>
    <t>INITIAL QUANTITY</t>
  </si>
  <si>
    <t>Week</t>
  </si>
  <si>
    <t>&gt;0</t>
  </si>
  <si>
    <t>&lt;0</t>
  </si>
  <si>
    <t>Market Data</t>
  </si>
  <si>
    <t>NOTIONAL $</t>
  </si>
  <si>
    <t>Data</t>
  </si>
  <si>
    <t>Notional Futures $</t>
  </si>
  <si>
    <t>Notional Call $</t>
  </si>
  <si>
    <t>Notional Put $</t>
  </si>
  <si>
    <t>Open Risk $</t>
  </si>
  <si>
    <t>AUM</t>
  </si>
  <si>
    <t>ROLL</t>
  </si>
  <si>
    <t>VOL SL</t>
  </si>
  <si>
    <t>TECH SL</t>
  </si>
  <si>
    <t>VOL/EXIT-1</t>
  </si>
  <si>
    <t>TECH/EXIT -1</t>
  </si>
  <si>
    <t>(potential conflicting VLOOKUP if same instrument traded in different weeks)</t>
  </si>
  <si>
    <t>INITIAL RISK</t>
  </si>
  <si>
    <t>INITIAL RISK $</t>
  </si>
  <si>
    <t>INDA</t>
  </si>
  <si>
    <t>ASSET CLASS</t>
  </si>
  <si>
    <t>Equity</t>
  </si>
  <si>
    <t>Commodities</t>
  </si>
  <si>
    <t>THEME</t>
  </si>
  <si>
    <t>TECHNICAL SET-UP</t>
  </si>
  <si>
    <t>(manually change "Week" if traded in multiple weeks)</t>
  </si>
  <si>
    <t>Total</t>
  </si>
  <si>
    <t>T-BOND</t>
  </si>
  <si>
    <t>TOTAL</t>
  </si>
  <si>
    <t xml:space="preserve">INTEREST  </t>
  </si>
  <si>
    <t>INTEREST ACCRUALS</t>
  </si>
  <si>
    <t>CASH MGMT</t>
  </si>
  <si>
    <t>SBV3</t>
  </si>
  <si>
    <t>Open P&amp;L $</t>
  </si>
  <si>
    <t>PLB Risk $</t>
  </si>
  <si>
    <t>ZCZ3</t>
  </si>
  <si>
    <t>RISK FREE P&amp;L</t>
  </si>
  <si>
    <t>COUPON</t>
  </si>
  <si>
    <t>Risk-free P&amp;L $</t>
  </si>
  <si>
    <t>Projected P&amp;L $</t>
  </si>
  <si>
    <t>SIZ3</t>
  </si>
  <si>
    <t>Max Sizing</t>
  </si>
  <si>
    <t>% Risk Capital</t>
  </si>
  <si>
    <t>MAX QUANTITY</t>
  </si>
  <si>
    <t>NAV</t>
  </si>
  <si>
    <t>T-BOND 2</t>
  </si>
  <si>
    <t>T-BOND 2 CPN</t>
  </si>
  <si>
    <t>T-BOND CPN</t>
  </si>
  <si>
    <t>URA</t>
  </si>
  <si>
    <t>HEG3</t>
  </si>
  <si>
    <t>T-BOND 3</t>
  </si>
  <si>
    <t>T-BOND 3 CPN</t>
  </si>
  <si>
    <t>SAVE</t>
  </si>
  <si>
    <t>BoP NAV $</t>
  </si>
  <si>
    <t>EoP NAV$</t>
  </si>
  <si>
    <t>BoP MIN NAV $</t>
  </si>
  <si>
    <t>EoP MIN NAV $</t>
  </si>
  <si>
    <r>
      <t>∆</t>
    </r>
    <r>
      <rPr>
        <b/>
        <sz val="9"/>
        <color theme="1"/>
        <rFont val="Calibri"/>
        <family val="2"/>
        <scheme val="minor"/>
      </rPr>
      <t xml:space="preserve"> CAPITAL</t>
    </r>
  </si>
  <si>
    <t>WK PERF %</t>
  </si>
  <si>
    <t>PERF %</t>
  </si>
  <si>
    <t>WK PLB %</t>
  </si>
  <si>
    <t>SAVE-S</t>
  </si>
  <si>
    <t>Date</t>
  </si>
  <si>
    <t xml:space="preserve">∆ Shares </t>
  </si>
  <si>
    <t xml:space="preserve">∆ Capital </t>
  </si>
  <si>
    <t>Management Fee $</t>
  </si>
  <si>
    <t>Costs $</t>
  </si>
  <si>
    <t xml:space="preserve">Shares </t>
  </si>
  <si>
    <t>Volatility</t>
  </si>
  <si>
    <t>BoP Capital $</t>
  </si>
  <si>
    <t xml:space="preserve">EoP Capital $ </t>
  </si>
  <si>
    <t>Performance Fee $</t>
  </si>
  <si>
    <t>Performance ITD %</t>
  </si>
  <si>
    <t>Performance MTD %</t>
  </si>
  <si>
    <t>Perf. ITD</t>
  </si>
  <si>
    <t>Perf. MTD</t>
  </si>
  <si>
    <t>CYTK-S</t>
  </si>
  <si>
    <t>ZWK4</t>
  </si>
  <si>
    <t>IBB-S</t>
  </si>
  <si>
    <t>CLJ4</t>
  </si>
  <si>
    <t>KCK4</t>
  </si>
  <si>
    <t>Sizing / Capital</t>
  </si>
  <si>
    <t>Max Sizing / Capital</t>
  </si>
  <si>
    <t>ZSK4</t>
  </si>
  <si>
    <t>Fixed income</t>
  </si>
  <si>
    <t>T-BOND 4</t>
  </si>
  <si>
    <t>T-BOND 4 CPN</t>
  </si>
  <si>
    <t>CTN4</t>
  </si>
  <si>
    <t>CCN4</t>
  </si>
  <si>
    <t>DUP242961-P</t>
  </si>
  <si>
    <t>CRYPTO</t>
  </si>
  <si>
    <t>ETH.USD-PAXOS</t>
  </si>
  <si>
    <t>Ethereum cryptocurrency</t>
  </si>
  <si>
    <t>ETH_PAXOS</t>
  </si>
  <si>
    <t>PAXOS</t>
  </si>
  <si>
    <t>Long ETH</t>
  </si>
  <si>
    <t>3) Your model references Prices sheet cells.</t>
  </si>
  <si>
    <t>2) Run: python ib_excel_feed.py --file IB_Excel_Feed.xlsx</t>
  </si>
  <si>
    <t>1) Enable API in TWS: Configure &gt; API &gt; Settings: 'Enable ActiveX and Socket Clients' + port 7497.</t>
  </si>
  <si>
    <t>Notes</t>
  </si>
  <si>
    <t>MarketDataType</t>
  </si>
  <si>
    <t>STREAM</t>
  </si>
  <si>
    <t>Mode</t>
  </si>
  <si>
    <t>UpdateIntervalSec</t>
  </si>
  <si>
    <t>ClientId</t>
  </si>
  <si>
    <t>Port</t>
  </si>
  <si>
    <t>127.0.0.1</t>
  </si>
  <si>
    <t>Host</t>
  </si>
  <si>
    <t>IB / Excel Live Feed (Replacement for HoadleyNet RTD)</t>
  </si>
  <si>
    <t>202606</t>
  </si>
  <si>
    <t>primaryExchange</t>
  </si>
  <si>
    <t>localSymbol</t>
  </si>
  <si>
    <t>tradingClass</t>
  </si>
  <si>
    <t>multiplier</t>
  </si>
  <si>
    <t>right</t>
  </si>
  <si>
    <t>strike</t>
  </si>
  <si>
    <t>lastTradeDateOrContractMonth</t>
  </si>
  <si>
    <t>currency</t>
  </si>
  <si>
    <t>exchange</t>
  </si>
  <si>
    <t>symbol</t>
  </si>
  <si>
    <t>secType</t>
  </si>
  <si>
    <t>name</t>
  </si>
  <si>
    <t>enabled</t>
  </si>
  <si>
    <t>status</t>
  </si>
  <si>
    <t>timestamp</t>
  </si>
  <si>
    <t>theta</t>
  </si>
  <si>
    <t>vega</t>
  </si>
  <si>
    <t>gamma</t>
  </si>
  <si>
    <t>delta</t>
  </si>
  <si>
    <t>impliedVol</t>
  </si>
  <si>
    <t>volume</t>
  </si>
  <si>
    <t>low</t>
  </si>
  <si>
    <t>high</t>
  </si>
  <si>
    <t>open</t>
  </si>
  <si>
    <t>close</t>
  </si>
  <si>
    <t>mid</t>
  </si>
  <si>
    <t>ask</t>
  </si>
  <si>
    <t>bid</t>
  </si>
  <si>
    <t>last</t>
  </si>
  <si>
    <t>conId</t>
  </si>
  <si>
    <t>message</t>
  </si>
  <si>
    <t>level</t>
  </si>
  <si>
    <t>FESX</t>
  </si>
  <si>
    <t>FDXM</t>
  </si>
  <si>
    <t>FGBL</t>
  </si>
  <si>
    <t>FGBX</t>
  </si>
  <si>
    <t>FBTP</t>
  </si>
  <si>
    <t>ESH6</t>
  </si>
  <si>
    <t>NQH6</t>
  </si>
  <si>
    <t>RTYH6</t>
  </si>
  <si>
    <t>FESXH6</t>
  </si>
  <si>
    <t>DAXH6</t>
  </si>
  <si>
    <t>GBLH6</t>
  </si>
  <si>
    <t>BUXLH6</t>
  </si>
  <si>
    <t>BTPH6</t>
  </si>
  <si>
    <t>NGH6</t>
  </si>
  <si>
    <t>RBH6</t>
  </si>
  <si>
    <t>GCH6</t>
  </si>
  <si>
    <t>SIH6</t>
  </si>
  <si>
    <t>HGH6</t>
  </si>
  <si>
    <t>6EH6</t>
  </si>
  <si>
    <t>6BH6</t>
  </si>
  <si>
    <t>6JH6</t>
  </si>
  <si>
    <t>6CH6</t>
  </si>
  <si>
    <t>6AH6</t>
  </si>
  <si>
    <t>DXYH6</t>
  </si>
  <si>
    <t>NIYH6</t>
  </si>
  <si>
    <t>ZBH6</t>
  </si>
  <si>
    <t>ZNH6</t>
  </si>
  <si>
    <t>ESM6</t>
  </si>
  <si>
    <t>OK</t>
  </si>
  <si>
    <t>NQM6</t>
  </si>
  <si>
    <t>RTYM6</t>
  </si>
  <si>
    <t>FESX 20260619 M</t>
  </si>
  <si>
    <t>FDXM 20260619 M</t>
  </si>
  <si>
    <t>CLJ6</t>
  </si>
  <si>
    <t>NGM26</t>
  </si>
  <si>
    <t>RBM6</t>
  </si>
  <si>
    <t>GCM6</t>
  </si>
  <si>
    <t>SIM6</t>
  </si>
  <si>
    <t>HGM6</t>
  </si>
  <si>
    <t>DXM6</t>
  </si>
  <si>
    <t>6EM6</t>
  </si>
  <si>
    <t>6BM6</t>
  </si>
  <si>
    <t>6JM6</t>
  </si>
  <si>
    <t>6CM6</t>
  </si>
  <si>
    <t>6AM6</t>
  </si>
  <si>
    <t>ZBM6</t>
  </si>
  <si>
    <t>FGBX 20260608 M</t>
  </si>
  <si>
    <t>FBTP 20260608 M</t>
  </si>
  <si>
    <t>BTC.USD</t>
  </si>
  <si>
    <t>ETH.USD</t>
  </si>
  <si>
    <t>ZCK6</t>
  </si>
  <si>
    <t>ZWK6</t>
  </si>
  <si>
    <t>ZSK6</t>
  </si>
  <si>
    <t>SBK6</t>
  </si>
  <si>
    <t>KCK6</t>
  </si>
  <si>
    <t>CCK6</t>
  </si>
  <si>
    <t>CTK6</t>
  </si>
  <si>
    <t>LEJ6</t>
  </si>
  <si>
    <t>GFK6</t>
  </si>
  <si>
    <t>HEJ6</t>
  </si>
  <si>
    <t>ZNM6</t>
  </si>
  <si>
    <t>NIYM6</t>
  </si>
  <si>
    <t>FGBL 20260608 M</t>
  </si>
  <si>
    <t>BTC.USD-PAXOS</t>
  </si>
  <si>
    <t>INFO</t>
  </si>
  <si>
    <t>Starting. host=127.0.0.1 port=7497 clientId=11 mktDataType=3 interval=0.25s</t>
  </si>
  <si>
    <t>Connected to TWS.</t>
  </si>
  <si>
    <t>Loaded 35 contracts from Symbols sheet.</t>
  </si>
  <si>
    <t>Spot</t>
  </si>
  <si>
    <t>SELL</t>
  </si>
  <si>
    <t>Long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</si>
</sst>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\x"/>
    <numFmt numFmtId="165" formatCode="#,##0.0"/>
    <numFmt numFmtId="166" formatCode="0.0%"/>
    <numFmt numFmtId="167" formatCode="#,##0.0000"/>
    <numFmt numFmtId="168" formatCode="#,##0.000_ ;\-#,##0.000\ "/>
    <numFmt numFmtId="169" formatCode="#,##0.000;\-#,##0.000"/>
    <numFmt numFmtId="170" formatCode="[$-F800]dddd\,\ mmmm\ dd\,\ yyyy"/>
    <numFmt numFmtId="171" formatCode="0.000%"/>
    <numFmt numFmtId="172" formatCode="#,##0.00_ ;\-#,##0.00\ "/>
    <numFmt numFmtId="173" formatCode="#,##0_-;\-#,##0_-;_-;_-@_-"/>
    <numFmt numFmtId="174" formatCode="#,##0.00_-;\-#,##0.00_-;_-;_-@_-"/>
    <numFmt numFmtId="17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i/>
      <sz val="10"/>
      <color theme="4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theme="2" tint="-9.9978637043366805E-2"/>
      <name val="Calibri"/>
      <family val="2"/>
      <scheme val="minor"/>
    </font>
    <font>
      <sz val="10"/>
      <color theme="2" tint="-9.9978637043366805E-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0" tint="-4.9989318521683403E-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/>
    <xf numFmtId="0" fontId="2" fillId="0" borderId="1" xfId="0" applyFont="1" applyBorder="1"/>
    <xf numFmtId="10" fontId="4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37" fontId="3" fillId="0" borderId="0" xfId="0" applyNumberFormat="1" applyFont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7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7" fontId="5" fillId="0" borderId="0" xfId="0" applyNumberFormat="1" applyFont="1" applyAlignment="1">
      <alignment horizontal="center" vertical="center"/>
    </xf>
    <xf numFmtId="37" fontId="3" fillId="0" borderId="0" xfId="0" quotePrefix="1" applyNumberFormat="1" applyFont="1" applyAlignment="1">
      <alignment horizontal="center" vertical="center"/>
    </xf>
    <xf numFmtId="0" fontId="5" fillId="0" borderId="0" xfId="0" applyFont="1"/>
    <xf numFmtId="3" fontId="5" fillId="0" borderId="0" xfId="2" applyNumberFormat="1" applyFont="1" applyAlignment="1">
      <alignment horizontal="center"/>
    </xf>
    <xf numFmtId="4" fontId="5" fillId="0" borderId="0" xfId="2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3" fontId="3" fillId="0" borderId="0" xfId="2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4" fontId="2" fillId="0" borderId="0" xfId="2" applyNumberFormat="1" applyFont="1" applyAlignment="1">
      <alignment horizontal="center"/>
    </xf>
    <xf numFmtId="165" fontId="5" fillId="0" borderId="0" xfId="2" applyNumberFormat="1" applyFont="1" applyAlignment="1">
      <alignment horizontal="center"/>
    </xf>
    <xf numFmtId="166" fontId="6" fillId="0" borderId="0" xfId="1" applyNumberFormat="1" applyFont="1" applyAlignment="1">
      <alignment horizontal="center"/>
    </xf>
    <xf numFmtId="167" fontId="5" fillId="0" borderId="0" xfId="2" applyNumberFormat="1" applyFont="1" applyAlignment="1">
      <alignment horizontal="center"/>
    </xf>
    <xf numFmtId="39" fontId="5" fillId="0" borderId="0" xfId="0" applyNumberFormat="1" applyFont="1" applyAlignment="1">
      <alignment horizontal="center"/>
    </xf>
    <xf numFmtId="37" fontId="3" fillId="0" borderId="0" xfId="0" applyNumberFormat="1" applyFont="1" applyAlignment="1">
      <alignment horizontal="center"/>
    </xf>
    <xf numFmtId="3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/>
    <xf numFmtId="0" fontId="2" fillId="0" borderId="0" xfId="0" applyFont="1"/>
    <xf numFmtId="0" fontId="8" fillId="0" borderId="1" xfId="0" applyFont="1" applyBorder="1" applyAlignment="1">
      <alignment horizontal="center"/>
    </xf>
    <xf numFmtId="169" fontId="9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170" fontId="3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4" fontId="3" fillId="0" borderId="0" xfId="0" applyNumberFormat="1" applyFont="1"/>
    <xf numFmtId="43" fontId="3" fillId="0" borderId="0" xfId="2" applyFont="1" applyAlignment="1">
      <alignment horizontal="left"/>
    </xf>
    <xf numFmtId="169" fontId="3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4" fontId="2" fillId="0" borderId="1" xfId="0" applyNumberFormat="1" applyFont="1" applyBorder="1"/>
    <xf numFmtId="0" fontId="13" fillId="0" borderId="0" xfId="0" applyFont="1" applyAlignment="1">
      <alignment horizontal="left" vertical="center" readingOrder="1"/>
    </xf>
    <xf numFmtId="0" fontId="3" fillId="3" borderId="0" xfId="0" applyFont="1" applyFill="1"/>
    <xf numFmtId="37" fontId="3" fillId="0" borderId="0" xfId="0" applyNumberFormat="1" applyFont="1"/>
    <xf numFmtId="0" fontId="5" fillId="0" borderId="1" xfId="0" applyFont="1" applyBorder="1"/>
    <xf numFmtId="0" fontId="8" fillId="0" borderId="0" xfId="0" applyFont="1" applyAlignment="1">
      <alignment horizontal="center"/>
    </xf>
    <xf numFmtId="39" fontId="5" fillId="0" borderId="1" xfId="0" applyNumberFormat="1" applyFont="1" applyBorder="1" applyAlignment="1">
      <alignment horizontal="center"/>
    </xf>
    <xf numFmtId="37" fontId="5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wrapText="1"/>
    </xf>
    <xf numFmtId="171" fontId="5" fillId="0" borderId="1" xfId="0" applyNumberFormat="1" applyFont="1" applyBorder="1" applyAlignment="1">
      <alignment horizontal="center"/>
    </xf>
    <xf numFmtId="172" fontId="3" fillId="0" borderId="0" xfId="0" applyNumberFormat="1" applyFont="1"/>
    <xf numFmtId="0" fontId="13" fillId="0" borderId="0" xfId="0" applyFont="1"/>
    <xf numFmtId="4" fontId="3" fillId="0" borderId="0" xfId="2" applyNumberFormat="1" applyFont="1" applyAlignment="1">
      <alignment horizontal="center"/>
    </xf>
    <xf numFmtId="171" fontId="5" fillId="0" borderId="0" xfId="0" applyNumberFormat="1" applyFont="1" applyAlignment="1">
      <alignment horizontal="center"/>
    </xf>
    <xf numFmtId="167" fontId="3" fillId="0" borderId="0" xfId="0" applyNumberFormat="1" applyFont="1"/>
    <xf numFmtId="37" fontId="5" fillId="0" borderId="0" xfId="0" quotePrefix="1" applyNumberFormat="1" applyFont="1" applyAlignment="1">
      <alignment horizontal="center" vertical="center"/>
    </xf>
    <xf numFmtId="37" fontId="3" fillId="0" borderId="1" xfId="0" applyNumberFormat="1" applyFont="1" applyBorder="1" applyAlignment="1">
      <alignment horizontal="center" vertical="center"/>
    </xf>
    <xf numFmtId="173" fontId="15" fillId="0" borderId="0" xfId="0" applyNumberFormat="1" applyFont="1" applyAlignment="1">
      <alignment horizontal="center" vertical="center"/>
    </xf>
    <xf numFmtId="173" fontId="5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3" fontId="3" fillId="0" borderId="0" xfId="0" applyNumberFormat="1" applyFont="1" applyAlignment="1">
      <alignment horizontal="center" vertical="center"/>
    </xf>
    <xf numFmtId="174" fontId="3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173" fontId="16" fillId="0" borderId="0" xfId="0" applyNumberFormat="1" applyFont="1"/>
    <xf numFmtId="10" fontId="17" fillId="0" borderId="0" xfId="1" applyNumberFormat="1" applyFont="1" applyAlignment="1">
      <alignment horizontal="center" vertical="center"/>
    </xf>
    <xf numFmtId="16" fontId="2" fillId="0" borderId="0" xfId="0" applyNumberFormat="1" applyFont="1" applyAlignment="1">
      <alignment horizontal="left" vertical="center"/>
    </xf>
    <xf numFmtId="16" fontId="2" fillId="0" borderId="1" xfId="0" applyNumberFormat="1" applyFont="1" applyBorder="1" applyAlignment="1">
      <alignment horizontal="left" vertical="center"/>
    </xf>
    <xf numFmtId="175" fontId="3" fillId="0" borderId="0" xfId="2" applyNumberFormat="1" applyFont="1"/>
    <xf numFmtId="15" fontId="5" fillId="0" borderId="0" xfId="0" applyNumberFormat="1" applyFont="1" applyAlignment="1">
      <alignment vertical="center"/>
    </xf>
    <xf numFmtId="0" fontId="18" fillId="0" borderId="0" xfId="0" applyFont="1"/>
    <xf numFmtId="0" fontId="3" fillId="0" borderId="0" xfId="0" applyFont="1" applyAlignment="1">
      <alignment horizontal="left"/>
    </xf>
    <xf numFmtId="0" fontId="19" fillId="4" borderId="1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22" fontId="3" fillId="0" borderId="0" xfId="0" applyNumberFormat="1" applyFont="1" applyAlignment="1">
      <alignment horizontal="left"/>
    </xf>
    <xf numFmtId="0" fontId="19" fillId="0" borderId="1" xfId="0" applyFont="1" applyFill="1" applyBorder="1" applyAlignment="1">
      <alignment horizontal="left"/>
    </xf>
    <xf numFmtId="22" fontId="3" fillId="0" borderId="0" xfId="0" applyNumberFormat="1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right"/>
    </xf>
    <xf numFmtId="0" fontId="18" fillId="0" borderId="1" xfId="0" applyFont="1" applyBorder="1"/>
    <xf numFmtId="43" fontId="3" fillId="0" borderId="0" xfId="2" applyNumberFormat="1" applyFont="1" applyAlignment="1">
      <alignment horizontal="left"/>
    </xf>
    <xf numFmtId="22" fontId="3" fillId="0" borderId="0" xfId="0" applyNumberFormat="1" applyFont="1"/>
    <xf numFmtId="43" fontId="3" fillId="0" borderId="0" xfId="2" applyNumberFormat="1" applyFont="1"/>
    <xf numFmtId="10" fontId="6" fillId="0" borderId="0" xfId="1" applyNumberFormat="1" applyFont="1" applyAlignment="1">
      <alignment horizontal="center"/>
    </xf>
  </cellXfs>
  <cellStyles count="3">
    <cellStyle name="Comma" xfId="2" builtinId="3"/>
    <cellStyle name="Normal" xfId="0" builtinId="0"/>
    <cellStyle name="Per cent" xfId="1" builtinId="5"/>
  </cellStyles>
  <dxfs count="1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NAV!$N$2</c:f>
              <c:strCache>
                <c:ptCount val="1"/>
                <c:pt idx="0">
                  <c:v>Perf. MTD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[0]!DynDate</c:f>
              <c:numCache>
                <c:formatCode>d\-mmm</c:formatCode>
                <c:ptCount val="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</c:numCache>
            </c:numRef>
          </c:cat>
          <c:val>
            <c:numRef>
              <c:f>[0]!DynMTD</c:f>
              <c:numCache>
                <c:formatCode>0.00%</c:formatCode>
                <c:ptCount val="3"/>
                <c:pt idx="0" formatCode="#,##0.00_-;\-#,##0.00_-;_-;_-@_-">
                  <c:v>0</c:v>
                </c:pt>
                <c:pt idx="1">
                  <c:v>0</c:v>
                </c:pt>
                <c:pt idx="2">
                  <c:v>-1.1787469392599004E-4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B-4991-8F17-764EBE87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225280"/>
        <c:axId val="46226816"/>
      </c:barChart>
      <c:lineChart>
        <c:grouping val="standard"/>
        <c:varyColors val="0"/>
        <c:ser>
          <c:idx val="1"/>
          <c:order val="1"/>
          <c:tx>
            <c:strRef>
              <c:f>NAV!$M$2</c:f>
              <c:strCache>
                <c:ptCount val="1"/>
                <c:pt idx="0">
                  <c:v>Perf. ITD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7"/>
            <c:spPr>
              <a:pattFill prst="pct90">
                <a:fgClr>
                  <a:srgbClr val="92D050"/>
                </a:fgClr>
                <a:bgClr>
                  <a:schemeClr val="bg1"/>
                </a:bgClr>
              </a:pattFill>
              <a:ln w="9525" cap="sq">
                <a:solidFill>
                  <a:srgbClr val="92D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rgbClr val="92D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[0]!DynDate</c:f>
              <c:numCache>
                <c:formatCode>d\-mmm</c:formatCode>
                <c:ptCount val="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</c:numCache>
            </c:numRef>
          </c:cat>
          <c:val>
            <c:numRef>
              <c:f>[0]!DynITD</c:f>
              <c:numCache>
                <c:formatCode>0.00%</c:formatCode>
                <c:ptCount val="3"/>
                <c:pt idx="0" formatCode="#,##0.00_-;\-#,##0.00_-;_-;_-@_-">
                  <c:v>0</c:v>
                </c:pt>
                <c:pt idx="1">
                  <c:v>0</c:v>
                </c:pt>
                <c:pt idx="2">
                  <c:v>-1.1787469392599004E-4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B-4991-8F17-764EBE87D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50624"/>
        <c:axId val="46249088"/>
      </c:lineChart>
      <c:dateAx>
        <c:axId val="4622528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6816"/>
        <c:crosses val="autoZero"/>
        <c:auto val="1"/>
        <c:lblOffset val="100"/>
        <c:baseTimeUnit val="months"/>
      </c:dateAx>
      <c:valAx>
        <c:axId val="462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5280"/>
        <c:crosses val="autoZero"/>
        <c:crossBetween val="between"/>
      </c:valAx>
      <c:valAx>
        <c:axId val="46249088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0624"/>
        <c:crosses val="max"/>
        <c:crossBetween val="between"/>
      </c:valAx>
      <c:dateAx>
        <c:axId val="4625062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4624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NAV!$L$2</c:f>
              <c:strCache>
                <c:ptCount val="1"/>
                <c:pt idx="0">
                  <c:v>NAV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[0]!DynDate</c:f>
              <c:numCache>
                <c:formatCode>d\-mmm</c:formatCode>
                <c:ptCount val="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</c:numCache>
            </c:numRef>
          </c:cat>
          <c:val>
            <c:numRef>
              <c:f>[0]!DynNAV</c:f>
              <c:numCache>
                <c:formatCode>#,##0.00_-;\-#,##0.00_-;_-;_-@_-</c:formatCode>
                <c:ptCount val="3"/>
                <c:pt idx="0">
                  <c:v>1000</c:v>
                </c:pt>
                <c:pt idx="1">
                  <c:v>1000</c:v>
                </c:pt>
                <c:pt idx="2">
                  <c:v>999.88212530607404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9E-49D8-AE0B-C76DCE32A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63296"/>
        <c:axId val="46269184"/>
      </c:lineChart>
      <c:dateAx>
        <c:axId val="46263296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9184"/>
        <c:crosses val="autoZero"/>
        <c:auto val="1"/>
        <c:lblOffset val="100"/>
        <c:baseTimeUnit val="months"/>
      </c:dateAx>
      <c:valAx>
        <c:axId val="46269184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_-;\-#,##0_-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PLB!$R$2</c:f>
              <c:strCache>
                <c:ptCount val="1"/>
                <c:pt idx="0">
                  <c:v>Initial PLB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PLB!$R$4:$R$55</c:f>
              <c:numCache>
                <c:formatCode>0.00%</c:formatCode>
                <c:ptCount val="52"/>
                <c:pt idx="0">
                  <c:v>-1.0000000000000009E-2</c:v>
                </c:pt>
                <c:pt idx="1">
                  <c:v>-1.9900000000000029E-2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5-4F73-AEC6-360F102BBE98}"/>
            </c:ext>
          </c:extLst>
        </c:ser>
        <c:ser>
          <c:idx val="5"/>
          <c:order val="1"/>
          <c:tx>
            <c:strRef>
              <c:f>PLB!$Q$2</c:f>
              <c:strCache>
                <c:ptCount val="1"/>
                <c:pt idx="0">
                  <c:v>PLB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PLB!$B$4:$B$55</c:f>
              <c:numCache>
                <c:formatCode>d\-mmm\-yy</c:formatCode>
                <c:ptCount val="52"/>
                <c:pt idx="0">
                  <c:v>46088</c:v>
                </c:pt>
                <c:pt idx="1">
                  <c:v>46095</c:v>
                </c:pt>
              </c:numCache>
            </c:numRef>
          </c:cat>
          <c:val>
            <c:numRef>
              <c:f>PLB!$Q$4:$Q$55</c:f>
              <c:numCache>
                <c:formatCode>0.00%</c:formatCode>
                <c:ptCount val="52"/>
                <c:pt idx="0">
                  <c:v>-1.0000000000000009E-2</c:v>
                </c:pt>
                <c:pt idx="1">
                  <c:v>-1.9900000000000029E-2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5-4F73-AEC6-360F102BBE98}"/>
            </c:ext>
          </c:extLst>
        </c:ser>
        <c:ser>
          <c:idx val="1"/>
          <c:order val="2"/>
          <c:tx>
            <c:strRef>
              <c:f>PLB!$L$2</c:f>
              <c:strCache>
                <c:ptCount val="1"/>
                <c:pt idx="0">
                  <c:v>PERF 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PLB!$L$4:$L$55</c:f>
              <c:numCache>
                <c:formatCode>0.00%</c:formatCode>
                <c:ptCount val="52"/>
                <c:pt idx="0">
                  <c:v>-1.1787469392599004E-4</c:v>
                </c:pt>
                <c:pt idx="1">
                  <c:v>-1.1787469392599004E-4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75-4F73-AEC6-360F102BB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358624"/>
        <c:axId val="785360544"/>
      </c:lineChart>
      <c:catAx>
        <c:axId val="785358624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60544"/>
        <c:crosses val="autoZero"/>
        <c:auto val="0"/>
        <c:lblAlgn val="ctr"/>
        <c:lblOffset val="100"/>
        <c:noMultiLvlLbl val="0"/>
      </c:catAx>
      <c:valAx>
        <c:axId val="78536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58624"/>
        <c:crosses val="autoZero"/>
        <c:crossBetween val="between"/>
        <c:majorUnit val="5.000000000000001E-2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10573</xdr:colOff>
      <xdr:row>25</xdr:row>
      <xdr:rowOff>17393</xdr:rowOff>
    </xdr:from>
    <xdr:to>
      <xdr:col>15</xdr:col>
      <xdr:colOff>13607</xdr:colOff>
      <xdr:row>51</xdr:row>
      <xdr:rowOff>51070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25F68-234E-4066-8C78-E9DF9CA16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10573</xdr:colOff>
      <xdr:row>51</xdr:row>
      <xdr:rowOff>87221</xdr:rowOff>
    </xdr:from>
    <xdr:to>
      <xdr:col>15</xdr:col>
      <xdr:colOff>13530</xdr:colOff>
      <xdr:row>77</xdr:row>
      <xdr:rowOff>120899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D65EF-23F5-4BAE-9D6B-20352252A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629709</xdr:colOff>
      <xdr:row>0</xdr:row>
      <xdr:rowOff>29102</xdr:rowOff>
    </xdr:from>
    <xdr:to>
      <xdr:col>20</xdr:col>
      <xdr:colOff>619125</xdr:colOff>
      <xdr:row>38</xdr:row>
      <xdr:rowOff>153456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D915B-3B17-4AAB-969E-9B4271C0D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CAD7-51CE-428F-92FE-A474D99ED5AA}">
  <dimension ref="B1:AB81"/>
  <sheetViews>
    <sheetView showGridLines="0" showZeros="0" tabSelected="1" zoomScale="90" zoomScaleNormal="90" workbookViewId="0"/>
  </sheetViews>
  <sheetFormatPr defaultRowHeight="13.15" x14ac:dyDescent="0.4"/>
  <cols>
    <col min="1" max="1" width="4.265625" style="1" customWidth="1"/>
    <col min="2" max="2" width="19.46484375" style="1" bestFit="1" customWidth="1"/>
    <col min="3" max="3" width="8.53125" style="1" bestFit="1" customWidth="1"/>
    <col min="4" max="4" width="10.59765625" style="1" bestFit="1" customWidth="1"/>
    <col min="5" max="5" width="10.1328125" style="1" bestFit="1" customWidth="1"/>
    <col min="6" max="6" width="10.86328125" style="1" bestFit="1" customWidth="1"/>
    <col min="7" max="7" width="12.6640625" style="1" bestFit="1" customWidth="1"/>
    <col min="8" max="8" width="14.33203125" style="1" bestFit="1" customWidth="1"/>
    <col min="9" max="9" width="8.59765625" style="1" bestFit="1" customWidth="1"/>
    <col min="10" max="10" width="9.59765625" style="1" bestFit="1" customWidth="1"/>
    <col min="11" max="11" width="10.19921875" style="1" bestFit="1" customWidth="1"/>
    <col min="12" max="12" width="8.53125" style="1" bestFit="1" customWidth="1"/>
    <col min="13" max="13" width="10" style="1" bestFit="1" customWidth="1"/>
    <col min="14" max="14" width="8.73046875" style="1" bestFit="1" customWidth="1"/>
    <col min="15" max="15" width="5.86328125" style="1" bestFit="1" customWidth="1"/>
    <col min="16" max="16" width="9.73046875" style="1" bestFit="1" customWidth="1"/>
    <col min="17" max="17" width="4.3984375" style="1" bestFit="1" customWidth="1"/>
    <col min="18" max="18" width="11.06640625" style="1" bestFit="1" customWidth="1"/>
    <col min="19" max="19" width="8.19921875" style="1" bestFit="1" customWidth="1"/>
    <col min="20" max="20" width="9.19921875" style="1" bestFit="1" customWidth="1"/>
    <col min="21" max="21" width="8.19921875" style="1" bestFit="1" customWidth="1"/>
    <col min="22" max="22" width="10.3984375" style="1" bestFit="1" customWidth="1"/>
    <col min="23" max="25" width="9.1328125" style="1" bestFit="1" customWidth="1"/>
    <col min="26" max="26" width="10.1328125" style="1" bestFit="1" customWidth="1"/>
    <col min="27" max="27" width="9.06640625" style="1"/>
    <col min="28" max="28" width="10.19921875" style="1" bestFit="1" customWidth="1"/>
    <col min="29" max="16384" width="9.06640625" style="1"/>
  </cols>
  <sheetData>
    <row r="1" spans="2:11" x14ac:dyDescent="0.4">
      <c r="B1" s="32" t="s">
        <v>170</v>
      </c>
      <c r="C1" s="79">
        <v>46090</v>
      </c>
    </row>
    <row r="2" spans="2:11" x14ac:dyDescent="0.4">
      <c r="B2" s="32" t="s">
        <v>113</v>
      </c>
      <c r="C2" s="37" t="s">
        <v>59</v>
      </c>
      <c r="E2" s="47" t="s">
        <v>129</v>
      </c>
      <c r="F2" s="47" t="s">
        <v>6</v>
      </c>
      <c r="G2" s="47"/>
      <c r="H2" s="28"/>
    </row>
    <row r="3" spans="2:11" x14ac:dyDescent="0.4">
      <c r="B3" s="32" t="s">
        <v>118</v>
      </c>
      <c r="C3" s="28">
        <f ca="1">OFFSET(NAV!B1,MATCH(C1,NAV!B:B,1),8)</f>
        <v>999882.12530607404</v>
      </c>
      <c r="E3" s="47" t="s">
        <v>130</v>
      </c>
      <c r="F3" s="47" t="s">
        <v>318</v>
      </c>
      <c r="G3" s="47"/>
      <c r="H3" s="28"/>
    </row>
    <row r="4" spans="2:11" x14ac:dyDescent="0.4">
      <c r="B4" s="32" t="s">
        <v>55</v>
      </c>
      <c r="C4" s="28">
        <f>SUM(N18:N1012)</f>
        <v>-117.87469392600178</v>
      </c>
      <c r="D4" s="3"/>
      <c r="E4" s="47" t="s">
        <v>20</v>
      </c>
      <c r="F4" s="47" t="s">
        <v>89</v>
      </c>
      <c r="G4" s="47"/>
      <c r="H4" s="28"/>
    </row>
    <row r="5" spans="2:11" x14ac:dyDescent="0.4">
      <c r="B5" s="32" t="s">
        <v>180</v>
      </c>
      <c r="C5" s="3">
        <f ca="1">OFFSET(NAV!B1,MATCH(C1,NAV!B:B,1),11)</f>
        <v>-1.1787469392599004E-4</v>
      </c>
      <c r="D5" s="3"/>
      <c r="E5" s="47" t="s">
        <v>192</v>
      </c>
      <c r="F5" s="47" t="s">
        <v>53</v>
      </c>
      <c r="G5" s="47"/>
      <c r="H5" s="28"/>
      <c r="K5" s="51"/>
    </row>
    <row r="6" spans="2:11" x14ac:dyDescent="0.4">
      <c r="B6" s="32" t="s">
        <v>181</v>
      </c>
      <c r="C6" s="3">
        <f ca="1">OFFSET(NAV!B1,MATCH(C1,NAV!B:B,1),12)</f>
        <v>-1.1787469392599004E-4</v>
      </c>
      <c r="D6" s="3"/>
      <c r="E6" s="47"/>
      <c r="F6" s="47"/>
      <c r="G6" s="47"/>
      <c r="H6" s="28"/>
      <c r="K6" s="51"/>
    </row>
    <row r="7" spans="2:11" x14ac:dyDescent="0.4">
      <c r="B7" s="32" t="s">
        <v>146</v>
      </c>
      <c r="C7" s="28">
        <f>Cash_Mgmt!H13</f>
        <v>0</v>
      </c>
      <c r="D7" s="3">
        <f ca="1">C7/C3</f>
        <v>0</v>
      </c>
      <c r="E7" s="47"/>
      <c r="F7" s="47"/>
      <c r="G7" s="47"/>
      <c r="H7" s="51"/>
      <c r="K7" s="51"/>
    </row>
    <row r="8" spans="2:11" x14ac:dyDescent="0.4">
      <c r="B8" s="32" t="s">
        <v>147</v>
      </c>
      <c r="C8" s="28">
        <f>C4+C7</f>
        <v>-117.87469392600178</v>
      </c>
      <c r="D8" s="3">
        <f ca="1">C5+D7</f>
        <v>-1.1787469392599004E-4</v>
      </c>
      <c r="G8" s="47"/>
      <c r="H8" s="51"/>
      <c r="K8" s="51"/>
    </row>
    <row r="9" spans="2:11" x14ac:dyDescent="0.4">
      <c r="B9" s="32" t="s">
        <v>114</v>
      </c>
      <c r="C9" s="28">
        <f t="array" ref="C9">SUM((F19:F112="Futures")*(M19:M112))</f>
        <v>96900</v>
      </c>
      <c r="D9" s="3">
        <f ca="1">C9/$C$3</f>
        <v>9.6911423404371713E-2</v>
      </c>
      <c r="E9" s="47"/>
      <c r="F9" s="47"/>
      <c r="G9" s="47"/>
      <c r="H9" s="51"/>
      <c r="K9" s="51"/>
    </row>
    <row r="10" spans="2:11" x14ac:dyDescent="0.4">
      <c r="B10" s="32" t="s">
        <v>115</v>
      </c>
      <c r="C10" s="28">
        <f t="array" ref="C10">SUM((F19:F1012="Call")*(M19:M1012))</f>
        <v>0</v>
      </c>
      <c r="D10" s="3">
        <f t="shared" ref="D10:D14" ca="1" si="0">C10/$C$3</f>
        <v>0</v>
      </c>
      <c r="H10" s="44"/>
    </row>
    <row r="11" spans="2:11" x14ac:dyDescent="0.4">
      <c r="B11" s="32" t="s">
        <v>116</v>
      </c>
      <c r="C11" s="28">
        <f t="array" ref="C11">SUM((F19:F212="Put")*(M19:M212))</f>
        <v>0</v>
      </c>
      <c r="D11" s="3">
        <f t="shared" ca="1" si="0"/>
        <v>0</v>
      </c>
    </row>
    <row r="12" spans="2:11" x14ac:dyDescent="0.4">
      <c r="B12" s="32" t="s">
        <v>117</v>
      </c>
      <c r="C12" s="28" cm="1">
        <f t="array" ref="C12">SUM((PLB!G4:G999="O")*(PLB!E4:E999))</f>
        <v>19500</v>
      </c>
      <c r="D12" s="3">
        <f t="shared" ca="1" si="0"/>
        <v>1.9502298827505146E-2</v>
      </c>
    </row>
    <row r="13" spans="2:11" x14ac:dyDescent="0.4">
      <c r="B13" s="32" t="s">
        <v>141</v>
      </c>
      <c r="C13" s="28">
        <f t="array" ref="C13">SUM((PLB!G4:G999="O")*(PLB!D4:D999))</f>
        <v>-117.87469392600178</v>
      </c>
      <c r="D13" s="3">
        <f t="shared" ca="1" si="0"/>
        <v>-1.1788859000746627E-4</v>
      </c>
      <c r="F13" s="59"/>
      <c r="G13" s="59"/>
    </row>
    <row r="14" spans="2:11" x14ac:dyDescent="0.4">
      <c r="B14" s="32" t="s">
        <v>142</v>
      </c>
      <c r="C14" s="28">
        <f>C12+C13</f>
        <v>19382.125306073998</v>
      </c>
      <c r="D14" s="3">
        <f t="shared" ca="1" si="0"/>
        <v>1.9384410237497679E-2</v>
      </c>
    </row>
    <row r="17" spans="2:28" x14ac:dyDescent="0.4">
      <c r="B17" s="38" t="s">
        <v>88</v>
      </c>
      <c r="C17" s="4" t="s">
        <v>0</v>
      </c>
      <c r="D17" s="4" t="s">
        <v>1</v>
      </c>
      <c r="E17" s="4" t="s">
        <v>128</v>
      </c>
      <c r="F17" s="4" t="s">
        <v>2</v>
      </c>
      <c r="G17" s="4" t="s">
        <v>151</v>
      </c>
      <c r="H17" s="4" t="s">
        <v>107</v>
      </c>
      <c r="I17" s="4" t="s">
        <v>10</v>
      </c>
      <c r="J17" s="4" t="s">
        <v>11</v>
      </c>
      <c r="K17" s="4" t="s">
        <v>51</v>
      </c>
      <c r="L17" s="4" t="s">
        <v>52</v>
      </c>
      <c r="M17" s="4" t="s">
        <v>112</v>
      </c>
      <c r="N17" s="4" t="s">
        <v>55</v>
      </c>
      <c r="O17" s="4" t="s">
        <v>14</v>
      </c>
      <c r="P17" s="4" t="s">
        <v>125</v>
      </c>
      <c r="Q17" s="4" t="s">
        <v>119</v>
      </c>
      <c r="R17" s="4" t="s">
        <v>126</v>
      </c>
      <c r="S17" s="4" t="s">
        <v>120</v>
      </c>
      <c r="T17" s="4" t="s">
        <v>122</v>
      </c>
      <c r="U17" s="4" t="s">
        <v>121</v>
      </c>
      <c r="V17" s="4" t="s">
        <v>123</v>
      </c>
      <c r="W17" s="32"/>
      <c r="X17" s="33" t="s">
        <v>110</v>
      </c>
      <c r="Y17" s="33" t="s">
        <v>109</v>
      </c>
      <c r="Z17" s="33" t="s">
        <v>111</v>
      </c>
    </row>
    <row r="18" spans="2:28" x14ac:dyDescent="0.4">
      <c r="B18" s="9" t="s">
        <v>139</v>
      </c>
      <c r="C18" s="12"/>
      <c r="D18" s="12"/>
      <c r="E18" s="10" t="s">
        <v>192</v>
      </c>
      <c r="F18" s="12"/>
      <c r="G18" s="12"/>
      <c r="H18" s="12"/>
      <c r="I18" s="12"/>
      <c r="J18" s="12"/>
      <c r="K18" s="12"/>
      <c r="L18" s="12"/>
      <c r="M18" s="12"/>
      <c r="N18" s="28">
        <f>Cash_Mgmt!G13</f>
        <v>0</v>
      </c>
      <c r="O18" s="12"/>
      <c r="P18" s="12"/>
      <c r="Q18" s="27"/>
      <c r="R18" s="12"/>
      <c r="S18" s="12"/>
      <c r="T18" s="12"/>
      <c r="U18" s="12"/>
      <c r="V18" s="12"/>
      <c r="W18" s="32"/>
      <c r="X18" s="53"/>
      <c r="Y18" s="53"/>
      <c r="Z18" s="53"/>
    </row>
    <row r="19" spans="2:28" x14ac:dyDescent="0.4">
      <c r="B19" s="9" t="s">
        <v>199</v>
      </c>
      <c r="C19" s="10">
        <v>1</v>
      </c>
      <c r="D19" s="10" t="s">
        <v>201</v>
      </c>
      <c r="E19" s="10" t="s">
        <v>129</v>
      </c>
      <c r="F19" s="10" t="s">
        <v>318</v>
      </c>
      <c r="G19" s="28">
        <f>VLOOKUP(D19,Multiplier!B:I,8,0)</f>
        <v>63</v>
      </c>
      <c r="H19" s="11">
        <v>50</v>
      </c>
      <c r="I19" s="28">
        <f t="array" ref="I19">SUM((Trades!V$2:V$9999)*(Trades!U$2:U$9999=Blotter!B19)*(Trades!$T$2:T$9999=Blotter!C19))</f>
        <v>50</v>
      </c>
      <c r="J19" s="28">
        <f>VLOOKUP(D19,Multiplier!B:D,2,0)</f>
        <v>1</v>
      </c>
      <c r="K19" s="29">
        <f t="shared" ref="K19" si="1">L19-N19/(H19*J19)</f>
        <v>1966.65749387852</v>
      </c>
      <c r="L19" s="29">
        <f t="shared" ref="L19" si="2">IF(I19=0,IF(H19&gt;0,X19,Y19),Z19)</f>
        <v>1964.3</v>
      </c>
      <c r="M19" s="28">
        <f t="shared" ref="M19" si="3">I19*J19*L19</f>
        <v>98215</v>
      </c>
      <c r="N19" s="28">
        <f t="array" ref="N19">-SUM((Trades!T$2:T$9999=Blotter!C19)*(Trades!U$2:U$9999=Blotter!B19)*(Trades!V$2:V$9999)*(Trades!W$2:W$9999))*J19+SUM((Trades!T$2:T$9999=Blotter!C19)*(Trades!U$2:U$9999=Blotter!B19)*(Trades!X$2:X$9999))+(L19*I19)*J19</f>
        <v>-117.87469392600178</v>
      </c>
      <c r="O19" s="29">
        <f>VLOOKUP(D19,Multiplier!B:H,3,0)</f>
        <v>140</v>
      </c>
      <c r="P19" s="27">
        <v>210</v>
      </c>
      <c r="Q19" s="27"/>
      <c r="R19" s="28">
        <f t="shared" ref="R19" si="4">(1-Q19)*P19*J19*H19</f>
        <v>10500</v>
      </c>
      <c r="S19" s="29">
        <f>IF(OR(F19="Futures",F19="Spot"),IF(I19=0,0,IF(I19&gt;0,L19-O19,L19+O19)),0)</f>
        <v>1824.3</v>
      </c>
      <c r="T19" s="3">
        <f t="shared" ref="T19" si="5">IF(S19&gt;0,IF(ISNUMBER(S19/L19-1),S19/L19-1,0),0)</f>
        <v>-7.1272208929389569E-2</v>
      </c>
      <c r="U19" s="29">
        <f>IF(OR(F19="Futures",F19="Spot"),IF(I19=0,0,IF(I19&gt;0,K19-P19,K19+P19)),0)</f>
        <v>1756.65749387852</v>
      </c>
      <c r="V19" s="3">
        <f t="shared" ref="V19" si="6">IF(U19&gt;0,IF(ISNUMBER(U19/L19-1),U19/L19-1,0),0)</f>
        <v>-0.10570814342080126</v>
      </c>
      <c r="X19" s="34">
        <f t="array" ref="X19">IF(ISNUMBER(SUM((Trades!T$2:T$9999=Blotter!C19)*(Trades!U$2:U$9999=Blotter!B19)*(Trades!W$2:W$9999)*(Trades!V$2:V$9999)*(Trades!V$2:V$9999&lt;0))/SUM((Trades!T$2:T$9999=Blotter!C19)*(Trades!U$2:U$9999=Blotter!B19)*(Trades!V$2:V$9999)*(Trades!V$2:V$9999&lt;0))),SUM((Trades!T$2:T$9999=Blotter!C19)*(Trades!U$2:U$9999=Blotter!B19)*(Trades!W$2:W$9999)*(Trades!V$2:V$9999)*(Trades!V$2:V$9999&lt;0))/SUM((Trades!T$2:T$9999=Blotter!C19)*(Trades!U$2:U$9999=Blotter!B19)*(Trades!V$2:V$9999)*(Trades!V$2:V$9999&lt;0)),0)</f>
        <v>2000</v>
      </c>
      <c r="Y19" s="34">
        <f t="array" ref="Y19">IF(ISNUMBER(SUM((Trades!T$2:T$9999=Blotter!C19)*(Trades!U$2:U$9999=Blotter!B19)*(Trades!W$2:W$9999)*(Trades!V$2:V$9999)*(Trades!V$2:V$9999&gt;0))/SUM((Trades!T$2:T$9999=Blotter!C19)*(Trades!U$2:U$9999=Blotter!B19)*(Trades!V$2:V$9999)*(Trades!V$2:V$9999&gt;0))),SUM((Trades!T$2:T$9999=Blotter!C19)*(Trades!U$2:U$9999=Blotter!B19)*(Trades!W$2:W$9999)*(Trades!V$2:V$9999)*(Trades!V$2:V$9999&gt;0))/SUM((Trades!T$2:T$9999=Blotter!C19)*(Trades!U$2:U$9999=Blotter!B19)*(Trades!V$2:V$9999)*(Trades!V$2:V$9999&gt;0)),0)</f>
        <v>1982.8</v>
      </c>
      <c r="Z19" s="35">
        <f>IF(C$2="Last",IF(ISNUMBER(VLOOKUP(B19,Prices!A:L,8,0)),VLOOKUP(B19,Prices!A:L,8,0),0),IF(ISNUMBER(VLOOKUP(B19,Prices!A:L,12,0)),VLOOKUP(B19,Prices!A:L,12,0),0))</f>
        <v>1964.3</v>
      </c>
      <c r="AB19" s="29"/>
    </row>
    <row r="20" spans="2:28" x14ac:dyDescent="0.4">
      <c r="B20" s="9" t="s">
        <v>305</v>
      </c>
      <c r="C20" s="10">
        <v>2</v>
      </c>
      <c r="D20" s="10" t="s">
        <v>34</v>
      </c>
      <c r="E20" s="10" t="s">
        <v>129</v>
      </c>
      <c r="F20" s="10" t="s">
        <v>6</v>
      </c>
      <c r="G20" s="28">
        <f>VLOOKUP(D20,Multiplier!B:I,8,0)</f>
        <v>4</v>
      </c>
      <c r="H20" s="11">
        <v>3</v>
      </c>
      <c r="I20" s="28">
        <f t="array" ref="I20">SUM((Trades!V$2:V$9999)*(Trades!U$2:U$9999=Blotter!B20)*(Trades!$T$2:T$9999=Blotter!C20))</f>
        <v>3</v>
      </c>
      <c r="J20" s="28">
        <f>VLOOKUP(D20,Multiplier!B:D,2,0)</f>
        <v>10</v>
      </c>
      <c r="K20" s="29">
        <f t="shared" ref="K20" si="7">L20-N20/(H20*J20)</f>
        <v>3230</v>
      </c>
      <c r="L20" s="29">
        <f t="shared" ref="L20" si="8">IF(I20=0,IF(H20&gt;0,X20,Y20),Z20)</f>
        <v>3230</v>
      </c>
      <c r="M20" s="28">
        <f t="shared" ref="M20" si="9">I20*J20*L20</f>
        <v>96900</v>
      </c>
      <c r="N20" s="28">
        <f t="array" ref="N20">-SUM((Trades!T$2:T$9999=Blotter!C20)*(Trades!U$2:U$9999=Blotter!B20)*(Trades!V$2:V$9999)*(Trades!W$2:W$9999))*J20+SUM((Trades!T$2:T$9999=Blotter!C20)*(Trades!U$2:U$9999=Blotter!B20)*(Trades!X$2:X$9999))+(L20*I20)*J20</f>
        <v>0</v>
      </c>
      <c r="O20" s="29">
        <f>VLOOKUP(D20,Multiplier!B:H,3,0)</f>
        <v>205</v>
      </c>
      <c r="P20" s="27">
        <v>300</v>
      </c>
      <c r="Q20" s="27"/>
      <c r="R20" s="28">
        <f t="shared" ref="R20" si="10">(1-Q20)*P20*J20*H20</f>
        <v>9000</v>
      </c>
      <c r="S20" s="29">
        <f>IF(OR(F20="Futures",F20="Spot"),IF(I20=0,0,IF(I20&gt;0,L20-O20,L20+O20)),0)</f>
        <v>3025</v>
      </c>
      <c r="T20" s="3">
        <f t="shared" ref="T20" si="11">IF(S20&gt;0,IF(ISNUMBER(S20/L20-1),S20/L20-1,0),0)</f>
        <v>-6.3467492260061875E-2</v>
      </c>
      <c r="U20" s="29">
        <f t="shared" ref="U20" si="12">IF(OR(F20="Futures",F20="Stocks"),IF(I20=0,0,IF(I20&gt;0,K20-P20,K20+P20)),0)</f>
        <v>2930</v>
      </c>
      <c r="V20" s="3">
        <f t="shared" ref="V20" si="13">IF(U20&gt;0,IF(ISNUMBER(U20/L20-1),U20/L20-1,0),0)</f>
        <v>-9.2879256965944235E-2</v>
      </c>
      <c r="X20" s="34">
        <f t="array" ref="X20">IF(ISNUMBER(SUM((Trades!T$2:T$9999=Blotter!C20)*(Trades!U$2:U$9999=Blotter!B20)*(Trades!W$2:W$9999)*(Trades!V$2:V$9999)*(Trades!V$2:V$9999&lt;0))/SUM((Trades!T$2:T$9999=Blotter!C20)*(Trades!U$2:U$9999=Blotter!B20)*(Trades!V$2:V$9999)*(Trades!V$2:V$9999&lt;0))),SUM((Trades!T$2:T$9999=Blotter!C20)*(Trades!U$2:U$9999=Blotter!B20)*(Trades!W$2:W$9999)*(Trades!V$2:V$9999)*(Trades!V$2:V$9999&lt;0))/SUM((Trades!T$2:T$9999=Blotter!C20)*(Trades!U$2:U$9999=Blotter!B20)*(Trades!V$2:V$9999)*(Trades!V$2:V$9999&lt;0)),0)</f>
        <v>0</v>
      </c>
      <c r="Y20" s="34">
        <f t="array" ref="Y20">IF(ISNUMBER(SUM((Trades!T$2:T$9999=Blotter!C20)*(Trades!U$2:U$9999=Blotter!B20)*(Trades!W$2:W$9999)*(Trades!V$2:V$9999)*(Trades!V$2:V$9999&gt;0))/SUM((Trades!T$2:T$9999=Blotter!C20)*(Trades!U$2:U$9999=Blotter!B20)*(Trades!V$2:V$9999)*(Trades!V$2:V$9999&gt;0))),SUM((Trades!T$2:T$9999=Blotter!C20)*(Trades!U$2:U$9999=Blotter!B20)*(Trades!W$2:W$9999)*(Trades!V$2:V$9999)*(Trades!V$2:V$9999&gt;0))/SUM((Trades!T$2:T$9999=Blotter!C20)*(Trades!U$2:U$9999=Blotter!B20)*(Trades!V$2:V$9999)*(Trades!V$2:V$9999&gt;0)),0)</f>
        <v>3230</v>
      </c>
      <c r="Z20" s="35">
        <f>IF(C$2="Last",IF(ISNUMBER(VLOOKUP(B20,Prices!A:L,8,0)),VLOOKUP(B20,Prices!A:L,8,0),0),IF(ISNUMBER(VLOOKUP(B20,Prices!A:L,12,0)),VLOOKUP(B20,Prices!A:L,12,0),0))</f>
        <v>3230</v>
      </c>
      <c r="AB20" s="29"/>
    </row>
    <row r="21" spans="2:28" x14ac:dyDescent="0.4">
      <c r="B21" s="9"/>
      <c r="C21" s="10"/>
      <c r="D21" s="10"/>
      <c r="E21" s="10"/>
      <c r="F21" s="10"/>
      <c r="G21" s="28"/>
      <c r="H21" s="11"/>
      <c r="I21" s="29"/>
      <c r="J21" s="28"/>
      <c r="K21" s="46"/>
      <c r="L21" s="46"/>
      <c r="M21" s="28"/>
      <c r="N21" s="28"/>
      <c r="O21" s="29"/>
      <c r="P21" s="27"/>
      <c r="Q21" s="27"/>
      <c r="R21" s="28"/>
      <c r="S21" s="29"/>
      <c r="T21" s="3"/>
      <c r="U21" s="29"/>
      <c r="V21" s="3"/>
      <c r="X21" s="34"/>
      <c r="Y21" s="34"/>
      <c r="Z21" s="35"/>
      <c r="AB21" s="29"/>
    </row>
    <row r="22" spans="2:28" x14ac:dyDescent="0.4">
      <c r="B22" s="9"/>
      <c r="C22" s="10"/>
      <c r="D22" s="10"/>
      <c r="E22" s="10"/>
      <c r="F22" s="10"/>
      <c r="G22" s="28"/>
      <c r="H22" s="11"/>
      <c r="I22" s="29"/>
      <c r="J22" s="28"/>
      <c r="K22" s="46"/>
      <c r="L22" s="46"/>
      <c r="M22" s="28"/>
      <c r="N22" s="28"/>
      <c r="O22" s="29"/>
      <c r="P22" s="27"/>
      <c r="Q22" s="27"/>
      <c r="R22" s="28"/>
      <c r="S22" s="29"/>
      <c r="T22" s="3"/>
      <c r="U22" s="29"/>
      <c r="V22" s="3"/>
      <c r="X22" s="34"/>
      <c r="Y22" s="34"/>
      <c r="Z22" s="35"/>
      <c r="AB22" s="29"/>
    </row>
    <row r="23" spans="2:28" x14ac:dyDescent="0.4">
      <c r="B23" s="9"/>
      <c r="C23" s="10"/>
      <c r="D23" s="10"/>
      <c r="E23" s="10"/>
      <c r="F23" s="10"/>
      <c r="G23" s="28"/>
      <c r="H23" s="11"/>
      <c r="I23" s="29"/>
      <c r="J23" s="28"/>
      <c r="K23" s="46"/>
      <c r="L23" s="46"/>
      <c r="M23" s="28"/>
      <c r="N23" s="28"/>
      <c r="O23" s="29"/>
      <c r="P23" s="27"/>
      <c r="Q23" s="27"/>
      <c r="R23" s="28"/>
      <c r="S23" s="29"/>
      <c r="T23" s="3"/>
      <c r="U23" s="29"/>
      <c r="V23" s="3"/>
      <c r="X23" s="34"/>
      <c r="Y23" s="34"/>
      <c r="Z23" s="35"/>
      <c r="AB23" s="29"/>
    </row>
    <row r="24" spans="2:28" x14ac:dyDescent="0.4">
      <c r="B24" s="9"/>
      <c r="C24" s="10"/>
      <c r="D24" s="10"/>
      <c r="E24" s="10"/>
      <c r="F24" s="10"/>
      <c r="G24" s="28"/>
      <c r="H24" s="11"/>
      <c r="I24" s="29"/>
      <c r="J24" s="28"/>
      <c r="K24" s="46"/>
      <c r="L24" s="46"/>
      <c r="M24" s="28"/>
      <c r="N24" s="28"/>
      <c r="O24" s="29"/>
      <c r="P24" s="27"/>
      <c r="Q24" s="27"/>
      <c r="R24" s="28"/>
      <c r="S24" s="29"/>
      <c r="T24" s="3"/>
      <c r="U24" s="29"/>
      <c r="V24" s="3"/>
      <c r="X24" s="34"/>
      <c r="Y24" s="34"/>
      <c r="Z24" s="35"/>
      <c r="AB24" s="29"/>
    </row>
    <row r="25" spans="2:28" x14ac:dyDescent="0.4">
      <c r="B25" s="9"/>
      <c r="C25" s="10"/>
      <c r="D25" s="10"/>
      <c r="E25" s="10"/>
      <c r="F25" s="10"/>
      <c r="G25" s="28"/>
      <c r="H25" s="11"/>
      <c r="I25" s="29"/>
      <c r="J25" s="28"/>
      <c r="K25" s="29"/>
      <c r="L25" s="29"/>
      <c r="M25" s="28"/>
      <c r="N25" s="28"/>
      <c r="O25" s="29"/>
      <c r="P25" s="27"/>
      <c r="Q25" s="27"/>
      <c r="R25" s="28"/>
      <c r="S25" s="29"/>
      <c r="T25" s="3"/>
      <c r="U25" s="29"/>
      <c r="V25" s="3"/>
      <c r="X25" s="34"/>
      <c r="Y25" s="34"/>
      <c r="Z25" s="35"/>
      <c r="AB25" s="29"/>
    </row>
    <row r="26" spans="2:28" x14ac:dyDescent="0.4">
      <c r="B26" s="9"/>
      <c r="C26" s="10"/>
      <c r="D26" s="10"/>
      <c r="E26" s="10"/>
      <c r="F26" s="10"/>
      <c r="G26" s="28"/>
      <c r="H26" s="11"/>
      <c r="I26" s="29"/>
      <c r="J26" s="28"/>
      <c r="K26" s="29"/>
      <c r="L26" s="29"/>
      <c r="M26" s="28"/>
      <c r="N26" s="28"/>
      <c r="O26" s="29"/>
      <c r="P26" s="27"/>
      <c r="Q26" s="27"/>
      <c r="R26" s="28"/>
      <c r="S26" s="29"/>
      <c r="T26" s="3"/>
      <c r="U26" s="29"/>
      <c r="V26" s="3"/>
      <c r="X26" s="34"/>
      <c r="Y26" s="34"/>
      <c r="Z26" s="35"/>
      <c r="AB26" s="29"/>
    </row>
    <row r="27" spans="2:28" x14ac:dyDescent="0.4">
      <c r="B27" s="9"/>
      <c r="C27" s="10"/>
      <c r="D27" s="10"/>
      <c r="E27" s="10"/>
      <c r="F27" s="10"/>
      <c r="G27" s="28"/>
      <c r="H27" s="11"/>
      <c r="I27" s="29"/>
      <c r="J27" s="28"/>
      <c r="K27" s="46"/>
      <c r="L27" s="46"/>
      <c r="M27" s="28"/>
      <c r="N27" s="28"/>
      <c r="O27" s="29"/>
      <c r="P27" s="27"/>
      <c r="Q27" s="27"/>
      <c r="R27" s="28"/>
      <c r="S27" s="29"/>
      <c r="T27" s="3"/>
      <c r="U27" s="29"/>
      <c r="V27" s="3"/>
      <c r="X27" s="34"/>
      <c r="Y27" s="34"/>
      <c r="Z27" s="35"/>
      <c r="AB27" s="29"/>
    </row>
    <row r="28" spans="2:28" x14ac:dyDescent="0.4">
      <c r="B28" s="9"/>
      <c r="C28" s="10"/>
      <c r="D28" s="10"/>
      <c r="E28" s="10"/>
      <c r="F28" s="10"/>
      <c r="G28" s="28"/>
      <c r="H28" s="11"/>
      <c r="I28" s="29"/>
      <c r="J28" s="28"/>
      <c r="K28" s="46"/>
      <c r="L28" s="46"/>
      <c r="M28" s="28"/>
      <c r="N28" s="28"/>
      <c r="O28" s="29"/>
      <c r="P28" s="27"/>
      <c r="Q28" s="27"/>
      <c r="R28" s="28"/>
      <c r="S28" s="29"/>
      <c r="T28" s="3"/>
      <c r="U28" s="29"/>
      <c r="V28" s="3"/>
      <c r="X28" s="34"/>
      <c r="Y28" s="34"/>
      <c r="Z28" s="35"/>
      <c r="AB28" s="29"/>
    </row>
    <row r="29" spans="2:28" x14ac:dyDescent="0.4">
      <c r="B29" s="9"/>
      <c r="C29" s="10"/>
      <c r="D29" s="10"/>
      <c r="E29" s="10"/>
      <c r="F29" s="10"/>
      <c r="G29" s="28"/>
      <c r="H29" s="11"/>
      <c r="I29" s="29"/>
      <c r="J29" s="28"/>
      <c r="K29" s="46"/>
      <c r="L29" s="46"/>
      <c r="M29" s="28"/>
      <c r="N29" s="28"/>
      <c r="O29" s="29"/>
      <c r="P29" s="27"/>
      <c r="Q29" s="27"/>
      <c r="R29" s="28"/>
      <c r="S29" s="29"/>
      <c r="T29" s="3"/>
      <c r="U29" s="29"/>
      <c r="V29" s="3"/>
      <c r="X29" s="34"/>
      <c r="Y29" s="34"/>
      <c r="Z29" s="35"/>
      <c r="AB29" s="29"/>
    </row>
    <row r="30" spans="2:28" x14ac:dyDescent="0.4">
      <c r="B30" s="9"/>
      <c r="C30" s="10"/>
      <c r="D30" s="10"/>
      <c r="E30" s="10"/>
      <c r="F30" s="10"/>
      <c r="G30" s="28"/>
      <c r="H30" s="11"/>
      <c r="I30" s="29"/>
      <c r="J30" s="28"/>
      <c r="K30" s="46"/>
      <c r="L30" s="46"/>
      <c r="M30" s="28"/>
      <c r="N30" s="28"/>
      <c r="O30" s="29"/>
      <c r="P30" s="27"/>
      <c r="Q30" s="27"/>
      <c r="R30" s="28"/>
      <c r="S30" s="29"/>
      <c r="T30" s="3"/>
      <c r="U30" s="29"/>
      <c r="V30" s="3"/>
      <c r="X30" s="34"/>
      <c r="Y30" s="34"/>
      <c r="Z30" s="35"/>
      <c r="AB30" s="29"/>
    </row>
    <row r="31" spans="2:28" x14ac:dyDescent="0.4">
      <c r="B31" s="9"/>
      <c r="C31" s="10"/>
      <c r="D31" s="10"/>
      <c r="E31" s="10"/>
      <c r="F31" s="10"/>
      <c r="G31" s="28"/>
      <c r="H31" s="11"/>
      <c r="I31" s="29"/>
      <c r="J31" s="28"/>
      <c r="K31" s="46"/>
      <c r="L31" s="46"/>
      <c r="M31" s="28"/>
      <c r="N31" s="28"/>
      <c r="O31" s="29"/>
      <c r="P31" s="27"/>
      <c r="Q31" s="27"/>
      <c r="R31" s="28"/>
      <c r="S31" s="29"/>
      <c r="T31" s="3"/>
      <c r="U31" s="29"/>
      <c r="V31" s="3"/>
      <c r="X31" s="34"/>
      <c r="Y31" s="34"/>
      <c r="Z31" s="35"/>
      <c r="AB31" s="29"/>
    </row>
    <row r="32" spans="2:28" x14ac:dyDescent="0.4">
      <c r="B32" s="9"/>
      <c r="C32" s="10"/>
      <c r="D32" s="10"/>
      <c r="E32" s="10"/>
      <c r="F32" s="10"/>
      <c r="G32" s="28"/>
      <c r="H32" s="11"/>
      <c r="I32" s="29"/>
      <c r="J32" s="28"/>
      <c r="K32" s="46"/>
      <c r="L32" s="46"/>
      <c r="M32" s="28"/>
      <c r="N32" s="28"/>
      <c r="O32" s="29"/>
      <c r="P32" s="27"/>
      <c r="Q32" s="27"/>
      <c r="R32" s="28"/>
      <c r="S32" s="29"/>
      <c r="T32" s="3"/>
      <c r="U32" s="29"/>
      <c r="V32" s="3"/>
      <c r="X32" s="34"/>
      <c r="Y32" s="34"/>
      <c r="Z32" s="35"/>
      <c r="AB32" s="29"/>
    </row>
    <row r="33" spans="2:28" x14ac:dyDescent="0.4">
      <c r="B33" s="9"/>
      <c r="C33" s="10"/>
      <c r="D33" s="10"/>
      <c r="E33" s="10"/>
      <c r="F33" s="10"/>
      <c r="G33" s="28"/>
      <c r="H33" s="11"/>
      <c r="I33" s="29"/>
      <c r="J33" s="28"/>
      <c r="K33" s="46"/>
      <c r="L33" s="46"/>
      <c r="M33" s="28"/>
      <c r="N33" s="28"/>
      <c r="O33" s="29"/>
      <c r="P33" s="27"/>
      <c r="Q33" s="27"/>
      <c r="R33" s="28"/>
      <c r="S33" s="29"/>
      <c r="T33" s="3"/>
      <c r="U33" s="29"/>
      <c r="V33" s="3"/>
      <c r="X33" s="34"/>
      <c r="Y33" s="34"/>
      <c r="Z33" s="35"/>
      <c r="AB33" s="29"/>
    </row>
    <row r="34" spans="2:28" x14ac:dyDescent="0.4">
      <c r="B34" s="9"/>
      <c r="C34" s="10"/>
      <c r="D34" s="10"/>
      <c r="E34" s="10"/>
      <c r="F34" s="10"/>
      <c r="G34" s="28"/>
      <c r="H34" s="11"/>
      <c r="I34" s="29"/>
      <c r="J34" s="28"/>
      <c r="K34" s="46"/>
      <c r="L34" s="46"/>
      <c r="M34" s="28"/>
      <c r="N34" s="28"/>
      <c r="O34" s="29"/>
      <c r="P34" s="27"/>
      <c r="Q34" s="27"/>
      <c r="R34" s="28"/>
      <c r="S34" s="29"/>
      <c r="T34" s="3"/>
      <c r="U34" s="29"/>
      <c r="V34" s="3"/>
      <c r="X34" s="34"/>
      <c r="Y34" s="34"/>
      <c r="Z34" s="35"/>
      <c r="AB34" s="29"/>
    </row>
    <row r="35" spans="2:28" x14ac:dyDescent="0.4">
      <c r="B35" s="9"/>
      <c r="C35" s="10"/>
      <c r="D35" s="10"/>
      <c r="E35" s="10"/>
      <c r="F35" s="10"/>
      <c r="G35" s="28"/>
      <c r="H35" s="11"/>
      <c r="I35" s="29"/>
      <c r="J35" s="28"/>
      <c r="K35" s="46"/>
      <c r="L35" s="46"/>
      <c r="M35" s="28"/>
      <c r="N35" s="28"/>
      <c r="O35" s="29"/>
      <c r="P35" s="27"/>
      <c r="Q35" s="27"/>
      <c r="R35" s="28"/>
      <c r="S35" s="29"/>
      <c r="T35" s="3"/>
      <c r="U35" s="29"/>
      <c r="V35" s="3"/>
      <c r="X35" s="34"/>
      <c r="Y35" s="34"/>
      <c r="Z35" s="35"/>
      <c r="AB35" s="78"/>
    </row>
    <row r="36" spans="2:28" x14ac:dyDescent="0.4">
      <c r="B36" s="9"/>
      <c r="C36" s="10"/>
      <c r="D36" s="10"/>
      <c r="E36" s="10"/>
      <c r="F36" s="10"/>
      <c r="G36" s="28"/>
      <c r="H36" s="11"/>
      <c r="I36" s="29"/>
      <c r="J36" s="28"/>
      <c r="K36" s="46"/>
      <c r="L36" s="29"/>
      <c r="M36" s="28"/>
      <c r="N36" s="28"/>
      <c r="O36" s="29"/>
      <c r="P36" s="27"/>
      <c r="Q36" s="27"/>
      <c r="R36" s="28"/>
      <c r="S36" s="29"/>
      <c r="T36" s="3"/>
      <c r="U36" s="29"/>
      <c r="V36" s="3"/>
      <c r="X36" s="34"/>
      <c r="Y36" s="34"/>
      <c r="Z36" s="35"/>
      <c r="AB36" s="29"/>
    </row>
    <row r="37" spans="2:28" x14ac:dyDescent="0.4">
      <c r="B37" s="9"/>
      <c r="C37" s="10"/>
      <c r="D37" s="10"/>
      <c r="E37" s="10"/>
      <c r="F37" s="10"/>
      <c r="G37" s="28"/>
      <c r="H37" s="11"/>
      <c r="I37" s="29"/>
      <c r="J37" s="28"/>
      <c r="K37" s="46"/>
      <c r="L37" s="29"/>
      <c r="M37" s="28"/>
      <c r="N37" s="28"/>
      <c r="O37" s="29"/>
      <c r="P37" s="27"/>
      <c r="Q37" s="27"/>
      <c r="R37" s="28"/>
      <c r="S37" s="29"/>
      <c r="T37" s="3"/>
      <c r="U37" s="29"/>
      <c r="V37" s="3"/>
      <c r="X37" s="34"/>
      <c r="Y37" s="34"/>
      <c r="Z37" s="35"/>
      <c r="AB37" s="29"/>
    </row>
    <row r="38" spans="2:28" x14ac:dyDescent="0.4">
      <c r="B38" s="9"/>
      <c r="C38" s="10"/>
      <c r="D38" s="10"/>
      <c r="E38" s="10"/>
      <c r="F38" s="10"/>
      <c r="G38" s="28"/>
      <c r="H38" s="11"/>
      <c r="I38" s="29"/>
      <c r="J38" s="28"/>
      <c r="K38" s="46"/>
      <c r="L38" s="29"/>
      <c r="M38" s="28"/>
      <c r="N38" s="28"/>
      <c r="O38" s="29"/>
      <c r="P38" s="27"/>
      <c r="Q38" s="27"/>
      <c r="R38" s="28"/>
      <c r="S38" s="29"/>
      <c r="T38" s="3"/>
      <c r="U38" s="29"/>
      <c r="V38" s="3"/>
      <c r="X38" s="34"/>
      <c r="Y38" s="34"/>
      <c r="Z38" s="35"/>
      <c r="AB38" s="29"/>
    </row>
    <row r="39" spans="2:28" x14ac:dyDescent="0.4">
      <c r="B39" s="9"/>
      <c r="C39" s="10"/>
      <c r="D39" s="10"/>
      <c r="E39" s="10"/>
      <c r="F39" s="10"/>
      <c r="G39" s="28"/>
      <c r="H39" s="11"/>
      <c r="I39" s="29"/>
      <c r="J39" s="28"/>
      <c r="K39" s="29"/>
      <c r="L39" s="29"/>
      <c r="M39" s="28"/>
      <c r="N39" s="28"/>
      <c r="O39" s="29"/>
      <c r="P39" s="27"/>
      <c r="Q39" s="27"/>
      <c r="R39" s="28"/>
      <c r="S39" s="29"/>
      <c r="T39" s="3"/>
      <c r="U39" s="29"/>
      <c r="V39" s="3"/>
      <c r="X39" s="34"/>
      <c r="Y39" s="34"/>
      <c r="Z39" s="35"/>
      <c r="AB39" s="29"/>
    </row>
    <row r="40" spans="2:28" x14ac:dyDescent="0.4">
      <c r="B40" s="9"/>
      <c r="C40" s="10"/>
      <c r="D40" s="10"/>
      <c r="E40" s="10"/>
      <c r="F40" s="10"/>
      <c r="G40" s="28"/>
      <c r="H40" s="11"/>
      <c r="I40" s="29"/>
      <c r="J40" s="28"/>
      <c r="K40" s="29"/>
      <c r="L40" s="29"/>
      <c r="M40" s="28"/>
      <c r="N40" s="28"/>
      <c r="O40" s="29"/>
      <c r="P40" s="27"/>
      <c r="Q40" s="27"/>
      <c r="R40" s="28"/>
      <c r="S40" s="29"/>
      <c r="T40" s="3"/>
      <c r="U40" s="29"/>
      <c r="V40" s="3"/>
      <c r="X40" s="34"/>
      <c r="Y40" s="34"/>
      <c r="Z40" s="35"/>
    </row>
    <row r="41" spans="2:28" x14ac:dyDescent="0.4">
      <c r="B41" s="9"/>
      <c r="C41" s="10"/>
      <c r="D41" s="10"/>
      <c r="E41" s="10"/>
      <c r="F41" s="10"/>
      <c r="G41" s="28"/>
      <c r="H41" s="11"/>
      <c r="I41" s="29"/>
      <c r="J41" s="28"/>
      <c r="K41" s="29"/>
      <c r="L41" s="29"/>
      <c r="M41" s="28"/>
      <c r="N41" s="28"/>
      <c r="O41" s="29"/>
      <c r="P41" s="27"/>
      <c r="Q41" s="27"/>
      <c r="R41" s="28"/>
      <c r="S41" s="29"/>
      <c r="T41" s="3"/>
      <c r="U41" s="29"/>
      <c r="V41" s="3"/>
      <c r="X41" s="34"/>
      <c r="Y41" s="34"/>
      <c r="Z41" s="35"/>
    </row>
    <row r="42" spans="2:28" x14ac:dyDescent="0.4">
      <c r="B42" s="9"/>
      <c r="C42" s="10"/>
      <c r="D42" s="10"/>
      <c r="E42" s="10"/>
      <c r="F42" s="10"/>
      <c r="G42" s="28"/>
      <c r="H42" s="11"/>
      <c r="I42" s="29"/>
      <c r="J42" s="28"/>
      <c r="K42" s="29"/>
      <c r="L42" s="29"/>
      <c r="M42" s="28"/>
      <c r="N42" s="28"/>
      <c r="O42" s="29"/>
      <c r="P42" s="27"/>
      <c r="Q42" s="27"/>
      <c r="R42" s="28"/>
      <c r="S42" s="29"/>
      <c r="T42" s="3"/>
      <c r="U42" s="29"/>
      <c r="V42" s="3"/>
      <c r="X42" s="34"/>
      <c r="Y42" s="34"/>
      <c r="Z42" s="35"/>
    </row>
    <row r="43" spans="2:28" x14ac:dyDescent="0.4">
      <c r="B43" s="9"/>
      <c r="C43" s="10"/>
      <c r="D43" s="10"/>
      <c r="E43" s="10"/>
      <c r="F43" s="10"/>
      <c r="G43" s="28"/>
      <c r="H43" s="11"/>
      <c r="I43" s="29"/>
      <c r="J43" s="28"/>
      <c r="K43" s="29"/>
      <c r="L43" s="29"/>
      <c r="M43" s="28"/>
      <c r="N43" s="28"/>
      <c r="O43" s="29"/>
      <c r="P43" s="27"/>
      <c r="Q43" s="27"/>
      <c r="R43" s="28"/>
      <c r="S43" s="29"/>
      <c r="T43" s="3"/>
      <c r="U43" s="29"/>
      <c r="V43" s="3"/>
      <c r="X43" s="34"/>
      <c r="Y43" s="34"/>
      <c r="Z43" s="35"/>
    </row>
    <row r="44" spans="2:28" x14ac:dyDescent="0.4">
      <c r="B44" s="9"/>
      <c r="C44" s="10"/>
      <c r="D44" s="10"/>
      <c r="E44" s="10"/>
      <c r="F44" s="10"/>
      <c r="G44" s="28"/>
      <c r="H44" s="11"/>
      <c r="I44" s="29"/>
      <c r="J44" s="28"/>
      <c r="K44" s="29"/>
      <c r="L44" s="29"/>
      <c r="M44" s="28"/>
      <c r="N44" s="28"/>
      <c r="O44" s="29"/>
      <c r="P44" s="27"/>
      <c r="Q44" s="27"/>
      <c r="R44" s="28"/>
      <c r="S44" s="29"/>
      <c r="T44" s="3"/>
      <c r="U44" s="29"/>
      <c r="V44" s="3"/>
      <c r="X44" s="34"/>
      <c r="Y44" s="34"/>
      <c r="Z44" s="35"/>
    </row>
    <row r="45" spans="2:28" x14ac:dyDescent="0.4">
      <c r="B45" s="9"/>
      <c r="C45" s="10"/>
      <c r="D45" s="10"/>
      <c r="E45" s="10"/>
      <c r="F45" s="10"/>
      <c r="G45" s="28"/>
      <c r="H45" s="11"/>
      <c r="I45" s="29"/>
      <c r="J45" s="28"/>
      <c r="K45" s="29"/>
      <c r="L45" s="29"/>
      <c r="M45" s="28"/>
      <c r="N45" s="28"/>
      <c r="O45" s="29"/>
      <c r="P45" s="27"/>
      <c r="Q45" s="27"/>
      <c r="R45" s="28"/>
      <c r="S45" s="29"/>
      <c r="T45" s="3"/>
      <c r="U45" s="29"/>
      <c r="V45" s="3"/>
      <c r="X45" s="34"/>
      <c r="Y45" s="34"/>
      <c r="Z45" s="35"/>
    </row>
    <row r="46" spans="2:28" x14ac:dyDescent="0.4">
      <c r="B46" s="9"/>
      <c r="C46" s="10"/>
      <c r="D46" s="10"/>
      <c r="E46" s="10"/>
      <c r="F46" s="10"/>
      <c r="G46" s="28"/>
      <c r="H46" s="11"/>
      <c r="I46" s="29"/>
      <c r="J46" s="28"/>
      <c r="K46" s="29"/>
      <c r="L46" s="29"/>
      <c r="M46" s="28"/>
      <c r="N46" s="28"/>
      <c r="O46" s="29"/>
      <c r="P46" s="27"/>
      <c r="Q46" s="27"/>
      <c r="R46" s="28"/>
      <c r="S46" s="29"/>
      <c r="T46" s="3"/>
      <c r="U46" s="29"/>
      <c r="V46" s="3"/>
      <c r="X46" s="34"/>
      <c r="Y46" s="34"/>
      <c r="Z46" s="35"/>
    </row>
    <row r="47" spans="2:28" x14ac:dyDescent="0.4">
      <c r="B47" s="9"/>
      <c r="C47" s="10"/>
      <c r="D47" s="10"/>
      <c r="E47" s="10"/>
      <c r="F47" s="10"/>
      <c r="G47" s="28"/>
      <c r="H47" s="11"/>
      <c r="I47" s="29"/>
      <c r="J47" s="28"/>
      <c r="K47" s="29"/>
      <c r="L47" s="29"/>
      <c r="M47" s="28"/>
      <c r="N47" s="28"/>
      <c r="O47" s="29"/>
      <c r="P47" s="27"/>
      <c r="Q47" s="27"/>
      <c r="R47" s="28"/>
      <c r="S47" s="29"/>
      <c r="T47" s="3"/>
      <c r="U47" s="29"/>
      <c r="V47" s="3"/>
      <c r="X47" s="34"/>
      <c r="Y47" s="34"/>
      <c r="Z47" s="35"/>
      <c r="AB47" s="78"/>
    </row>
    <row r="48" spans="2:28" x14ac:dyDescent="0.4">
      <c r="B48" s="9"/>
      <c r="C48" s="10"/>
      <c r="D48" s="10"/>
      <c r="E48" s="10"/>
      <c r="F48" s="10"/>
      <c r="G48" s="28"/>
      <c r="H48" s="11"/>
      <c r="I48" s="29"/>
      <c r="J48" s="28"/>
      <c r="K48" s="29"/>
      <c r="L48" s="29"/>
      <c r="M48" s="28"/>
      <c r="N48" s="28"/>
      <c r="O48" s="29"/>
      <c r="P48" s="27"/>
      <c r="Q48" s="27"/>
      <c r="R48" s="28"/>
      <c r="S48" s="29"/>
      <c r="T48" s="3"/>
      <c r="U48" s="29"/>
      <c r="V48" s="3"/>
      <c r="X48" s="34"/>
      <c r="Y48" s="34"/>
      <c r="Z48" s="35"/>
    </row>
    <row r="49" spans="2:28" x14ac:dyDescent="0.4">
      <c r="B49" s="9"/>
      <c r="C49" s="10"/>
      <c r="D49" s="10"/>
      <c r="E49" s="10"/>
      <c r="F49" s="10"/>
      <c r="G49" s="28"/>
      <c r="H49" s="11"/>
      <c r="I49" s="29"/>
      <c r="J49" s="28"/>
      <c r="K49" s="29"/>
      <c r="L49" s="29"/>
      <c r="M49" s="28"/>
      <c r="N49" s="28"/>
      <c r="O49" s="29"/>
      <c r="P49" s="27"/>
      <c r="Q49" s="27"/>
      <c r="R49" s="28"/>
      <c r="S49" s="29"/>
      <c r="T49" s="3"/>
      <c r="U49" s="29"/>
      <c r="V49" s="3"/>
      <c r="X49" s="34"/>
      <c r="Y49" s="34"/>
      <c r="Z49" s="35"/>
    </row>
    <row r="50" spans="2:28" x14ac:dyDescent="0.4">
      <c r="B50" s="9"/>
      <c r="C50" s="10"/>
      <c r="D50" s="10"/>
      <c r="E50" s="10"/>
      <c r="F50" s="10"/>
      <c r="G50" s="28"/>
      <c r="H50" s="11"/>
      <c r="I50" s="29"/>
      <c r="J50" s="28"/>
      <c r="K50" s="29"/>
      <c r="L50" s="29"/>
      <c r="M50" s="28"/>
      <c r="N50" s="28"/>
      <c r="O50" s="29"/>
      <c r="P50" s="27"/>
      <c r="Q50" s="27"/>
      <c r="R50" s="28"/>
      <c r="S50" s="29"/>
      <c r="T50" s="3"/>
      <c r="U50" s="29"/>
      <c r="V50" s="3"/>
      <c r="X50" s="34"/>
      <c r="Y50" s="34"/>
      <c r="Z50" s="35"/>
    </row>
    <row r="51" spans="2:28" x14ac:dyDescent="0.4">
      <c r="B51" s="9"/>
      <c r="C51" s="10"/>
      <c r="D51" s="10"/>
      <c r="E51" s="10"/>
      <c r="F51" s="10"/>
      <c r="G51" s="28"/>
      <c r="H51" s="11"/>
      <c r="I51" s="29"/>
      <c r="J51" s="28"/>
      <c r="K51" s="29"/>
      <c r="L51" s="29"/>
      <c r="M51" s="28"/>
      <c r="N51" s="28"/>
      <c r="O51" s="29"/>
      <c r="P51" s="27"/>
      <c r="Q51" s="27"/>
      <c r="R51" s="28"/>
      <c r="S51" s="29"/>
      <c r="T51" s="3"/>
      <c r="U51" s="29"/>
      <c r="V51" s="3"/>
      <c r="X51" s="34"/>
      <c r="Y51" s="34"/>
      <c r="Z51" s="35"/>
    </row>
    <row r="52" spans="2:28" x14ac:dyDescent="0.4">
      <c r="B52" s="9"/>
      <c r="C52" s="10"/>
      <c r="D52" s="10"/>
      <c r="E52" s="10"/>
      <c r="F52" s="10"/>
      <c r="G52" s="28"/>
      <c r="H52" s="11"/>
      <c r="I52" s="29"/>
      <c r="J52" s="28"/>
      <c r="K52" s="29"/>
      <c r="L52" s="29"/>
      <c r="M52" s="28"/>
      <c r="N52" s="28"/>
      <c r="O52" s="29"/>
      <c r="P52" s="27"/>
      <c r="Q52" s="27"/>
      <c r="R52" s="28"/>
      <c r="S52" s="29"/>
      <c r="T52" s="3"/>
      <c r="U52" s="29"/>
      <c r="V52" s="3"/>
      <c r="X52" s="34"/>
      <c r="Y52" s="34"/>
      <c r="Z52" s="35"/>
    </row>
    <row r="53" spans="2:28" x14ac:dyDescent="0.4">
      <c r="B53" s="9"/>
      <c r="C53" s="10"/>
      <c r="D53" s="10"/>
      <c r="E53" s="10"/>
      <c r="F53" s="10"/>
      <c r="G53" s="28"/>
      <c r="H53" s="11"/>
      <c r="I53" s="29"/>
      <c r="J53" s="28"/>
      <c r="K53" s="29"/>
      <c r="L53" s="29"/>
      <c r="M53" s="28"/>
      <c r="N53" s="28"/>
      <c r="O53" s="29"/>
      <c r="P53" s="27"/>
      <c r="Q53" s="27"/>
      <c r="R53" s="28"/>
      <c r="S53" s="29"/>
      <c r="T53" s="3"/>
      <c r="U53" s="29"/>
      <c r="V53" s="3"/>
      <c r="X53" s="34"/>
      <c r="Y53" s="34"/>
      <c r="Z53" s="35"/>
    </row>
    <row r="54" spans="2:28" x14ac:dyDescent="0.4">
      <c r="B54" s="9"/>
      <c r="C54" s="10"/>
      <c r="D54" s="10"/>
      <c r="E54" s="10"/>
      <c r="F54" s="10"/>
      <c r="G54" s="28"/>
      <c r="H54" s="11"/>
      <c r="I54" s="29"/>
      <c r="J54" s="28"/>
      <c r="K54" s="29"/>
      <c r="L54" s="29"/>
      <c r="M54" s="28"/>
      <c r="N54" s="28"/>
      <c r="O54" s="29"/>
      <c r="P54" s="27"/>
      <c r="Q54" s="27"/>
      <c r="R54" s="28"/>
      <c r="S54" s="29"/>
      <c r="T54" s="3"/>
      <c r="U54" s="29"/>
      <c r="V54" s="3"/>
      <c r="X54" s="34"/>
      <c r="Y54" s="34"/>
      <c r="Z54" s="35"/>
    </row>
    <row r="55" spans="2:28" x14ac:dyDescent="0.4">
      <c r="B55" s="9"/>
      <c r="C55" s="10"/>
      <c r="D55" s="10"/>
      <c r="E55" s="10"/>
      <c r="F55" s="10"/>
      <c r="G55" s="28"/>
      <c r="H55" s="11"/>
      <c r="I55" s="29"/>
      <c r="J55" s="28"/>
      <c r="K55" s="29"/>
      <c r="L55" s="29"/>
      <c r="M55" s="28"/>
      <c r="N55" s="28"/>
      <c r="O55" s="29"/>
      <c r="P55" s="27"/>
      <c r="Q55" s="27"/>
      <c r="R55" s="28"/>
      <c r="S55" s="29"/>
      <c r="T55" s="3"/>
      <c r="U55" s="29"/>
      <c r="V55" s="3"/>
      <c r="X55" s="34"/>
      <c r="Y55" s="34"/>
      <c r="Z55" s="35"/>
    </row>
    <row r="56" spans="2:28" x14ac:dyDescent="0.4">
      <c r="B56" s="9"/>
      <c r="C56" s="10"/>
      <c r="D56" s="10"/>
      <c r="E56" s="10"/>
      <c r="F56" s="10"/>
      <c r="G56" s="28"/>
      <c r="H56" s="11"/>
      <c r="I56" s="29"/>
      <c r="J56" s="28"/>
      <c r="K56" s="29"/>
      <c r="L56" s="29"/>
      <c r="M56" s="28"/>
      <c r="N56" s="28"/>
      <c r="O56" s="29"/>
      <c r="P56" s="27"/>
      <c r="Q56" s="27"/>
      <c r="R56" s="28"/>
      <c r="S56" s="29"/>
      <c r="T56" s="3"/>
      <c r="U56" s="29"/>
      <c r="V56" s="3"/>
      <c r="X56" s="34"/>
      <c r="Y56" s="34"/>
      <c r="Z56" s="35"/>
    </row>
    <row r="57" spans="2:28" x14ac:dyDescent="0.4">
      <c r="B57" s="9"/>
      <c r="C57" s="10"/>
      <c r="D57" s="10"/>
      <c r="E57" s="10"/>
      <c r="F57" s="10"/>
      <c r="G57" s="28"/>
      <c r="H57" s="11"/>
      <c r="I57" s="29"/>
      <c r="J57" s="28"/>
      <c r="K57" s="29"/>
      <c r="L57" s="29"/>
      <c r="M57" s="28"/>
      <c r="N57" s="28"/>
      <c r="O57" s="29"/>
      <c r="P57" s="27"/>
      <c r="Q57" s="27"/>
      <c r="R57" s="28"/>
      <c r="S57" s="29"/>
      <c r="T57" s="3"/>
      <c r="U57" s="29"/>
      <c r="V57" s="3"/>
      <c r="X57" s="34"/>
      <c r="Y57" s="34"/>
      <c r="Z57" s="35"/>
    </row>
    <row r="58" spans="2:28" x14ac:dyDescent="0.4">
      <c r="B58" s="9"/>
      <c r="C58" s="10"/>
      <c r="D58" s="10"/>
      <c r="E58" s="10"/>
      <c r="F58" s="10"/>
      <c r="G58" s="28"/>
      <c r="H58" s="11"/>
      <c r="I58" s="29"/>
      <c r="J58" s="28"/>
      <c r="K58" s="29"/>
      <c r="L58" s="29"/>
      <c r="M58" s="28"/>
      <c r="N58" s="28"/>
      <c r="O58" s="29"/>
      <c r="P58" s="27"/>
      <c r="Q58" s="27"/>
      <c r="R58" s="28"/>
      <c r="S58" s="29"/>
      <c r="T58" s="3"/>
      <c r="U58" s="29"/>
      <c r="V58" s="3"/>
      <c r="X58" s="34"/>
      <c r="Y58" s="34"/>
      <c r="Z58" s="35"/>
    </row>
    <row r="59" spans="2:28" x14ac:dyDescent="0.4">
      <c r="B59" s="9"/>
      <c r="C59" s="10"/>
      <c r="D59" s="10"/>
      <c r="E59" s="10"/>
      <c r="F59" s="10"/>
      <c r="G59" s="28"/>
      <c r="H59" s="11"/>
      <c r="I59" s="29"/>
      <c r="J59" s="28"/>
      <c r="K59" s="29"/>
      <c r="L59" s="29"/>
      <c r="M59" s="28"/>
      <c r="N59" s="28"/>
      <c r="O59" s="29"/>
      <c r="P59" s="27"/>
      <c r="Q59" s="27"/>
      <c r="R59" s="28"/>
      <c r="S59" s="29"/>
      <c r="T59" s="3"/>
      <c r="U59" s="29"/>
      <c r="V59" s="3"/>
      <c r="X59" s="34"/>
      <c r="Y59" s="34"/>
      <c r="Z59" s="35"/>
    </row>
    <row r="60" spans="2:28" x14ac:dyDescent="0.4">
      <c r="B60" s="9"/>
      <c r="C60" s="10"/>
      <c r="D60" s="10"/>
      <c r="E60" s="10"/>
      <c r="F60" s="10"/>
      <c r="G60" s="28"/>
      <c r="H60" s="11"/>
      <c r="I60" s="29"/>
      <c r="J60" s="28"/>
      <c r="K60" s="29"/>
      <c r="L60" s="29"/>
      <c r="M60" s="28"/>
      <c r="N60" s="28"/>
      <c r="O60" s="29"/>
      <c r="P60" s="27"/>
      <c r="Q60" s="27"/>
      <c r="R60" s="28"/>
      <c r="S60" s="29"/>
      <c r="T60" s="3"/>
      <c r="U60" s="29"/>
      <c r="V60" s="3"/>
      <c r="X60" s="34"/>
      <c r="Y60" s="34"/>
      <c r="Z60" s="35"/>
    </row>
    <row r="61" spans="2:28" x14ac:dyDescent="0.4">
      <c r="B61" s="9"/>
      <c r="C61" s="10"/>
      <c r="D61" s="10"/>
      <c r="E61" s="10"/>
      <c r="F61" s="10"/>
      <c r="G61" s="28"/>
      <c r="H61" s="11"/>
      <c r="I61" s="29"/>
      <c r="J61" s="28"/>
      <c r="K61" s="29"/>
      <c r="L61" s="29"/>
      <c r="M61" s="28"/>
      <c r="N61" s="28"/>
      <c r="O61" s="29"/>
      <c r="P61" s="27"/>
      <c r="Q61" s="27"/>
      <c r="R61" s="28"/>
      <c r="S61" s="29"/>
      <c r="T61" s="3"/>
      <c r="U61" s="29"/>
      <c r="V61" s="3"/>
      <c r="X61" s="34"/>
      <c r="Y61" s="34"/>
      <c r="Z61" s="35"/>
    </row>
    <row r="62" spans="2:28" x14ac:dyDescent="0.4">
      <c r="B62" s="9"/>
      <c r="C62" s="10"/>
      <c r="D62" s="10"/>
      <c r="E62" s="10"/>
      <c r="F62" s="10"/>
      <c r="G62" s="28"/>
      <c r="H62" s="11"/>
      <c r="I62" s="29"/>
      <c r="J62" s="28"/>
      <c r="K62" s="29"/>
      <c r="L62" s="29"/>
      <c r="M62" s="28"/>
      <c r="N62" s="28"/>
      <c r="O62" s="29"/>
      <c r="P62" s="27"/>
      <c r="Q62" s="27"/>
      <c r="R62" s="28"/>
      <c r="S62" s="29"/>
      <c r="T62" s="3"/>
      <c r="U62" s="29"/>
      <c r="V62" s="3"/>
      <c r="X62" s="34"/>
      <c r="Y62" s="34"/>
      <c r="Z62" s="35"/>
    </row>
    <row r="63" spans="2:28" x14ac:dyDescent="0.4">
      <c r="B63" s="9"/>
      <c r="C63" s="10"/>
      <c r="D63" s="10"/>
      <c r="E63" s="10"/>
      <c r="F63" s="10"/>
      <c r="G63" s="28"/>
      <c r="H63" s="11"/>
      <c r="I63" s="29"/>
      <c r="J63" s="28"/>
      <c r="K63" s="29"/>
      <c r="L63" s="29"/>
      <c r="M63" s="28"/>
      <c r="N63" s="28"/>
      <c r="O63" s="29"/>
      <c r="P63" s="27"/>
      <c r="Q63" s="27"/>
      <c r="R63" s="28"/>
      <c r="S63" s="46"/>
      <c r="T63" s="3"/>
      <c r="U63" s="46"/>
      <c r="V63" s="3"/>
      <c r="X63" s="34"/>
      <c r="Y63" s="34"/>
      <c r="Z63" s="35"/>
    </row>
    <row r="64" spans="2:28" x14ac:dyDescent="0.4">
      <c r="B64" s="9"/>
      <c r="C64" s="10"/>
      <c r="D64" s="10"/>
      <c r="E64" s="10"/>
      <c r="F64" s="10"/>
      <c r="G64" s="28"/>
      <c r="H64" s="11"/>
      <c r="I64" s="29"/>
      <c r="J64" s="28"/>
      <c r="K64" s="46"/>
      <c r="L64" s="46"/>
      <c r="M64" s="28"/>
      <c r="N64" s="28"/>
      <c r="O64" s="29"/>
      <c r="P64" s="27"/>
      <c r="Q64" s="27"/>
      <c r="R64" s="28"/>
      <c r="S64" s="46"/>
      <c r="T64" s="3"/>
      <c r="U64" s="46"/>
      <c r="V64" s="3"/>
      <c r="X64" s="34"/>
      <c r="Y64" s="34"/>
      <c r="Z64" s="35"/>
      <c r="AB64" s="78"/>
    </row>
    <row r="65" spans="2:28" x14ac:dyDescent="0.4">
      <c r="B65" s="9"/>
      <c r="C65" s="10"/>
      <c r="D65" s="10"/>
      <c r="E65" s="10"/>
      <c r="F65" s="10"/>
      <c r="G65" s="28"/>
      <c r="H65" s="11"/>
      <c r="I65" s="29"/>
      <c r="J65" s="28"/>
      <c r="K65" s="46"/>
      <c r="L65" s="46"/>
      <c r="M65" s="28"/>
      <c r="N65" s="28"/>
      <c r="O65" s="29"/>
      <c r="P65" s="27"/>
      <c r="Q65" s="27"/>
      <c r="R65" s="28"/>
      <c r="S65" s="46"/>
      <c r="T65" s="3"/>
      <c r="U65" s="46"/>
      <c r="V65" s="3"/>
      <c r="X65" s="34"/>
      <c r="Y65" s="34"/>
      <c r="Z65" s="35"/>
      <c r="AB65" s="78"/>
    </row>
    <row r="66" spans="2:28" x14ac:dyDescent="0.4">
      <c r="B66" s="9"/>
      <c r="C66" s="10"/>
      <c r="D66" s="10"/>
      <c r="E66" s="10"/>
      <c r="F66" s="10"/>
      <c r="G66" s="28"/>
      <c r="H66" s="11"/>
      <c r="I66" s="29"/>
      <c r="J66" s="28"/>
      <c r="K66" s="46"/>
      <c r="L66" s="46"/>
      <c r="M66" s="28"/>
      <c r="N66" s="28"/>
      <c r="O66" s="29"/>
      <c r="P66" s="27"/>
      <c r="Q66" s="27"/>
      <c r="R66" s="28"/>
      <c r="S66" s="46"/>
      <c r="T66" s="3"/>
      <c r="U66" s="46"/>
      <c r="V66" s="3"/>
      <c r="X66" s="34"/>
      <c r="Y66" s="34"/>
      <c r="Z66" s="35"/>
      <c r="AB66" s="78"/>
    </row>
    <row r="67" spans="2:28" x14ac:dyDescent="0.4">
      <c r="B67" s="9"/>
      <c r="C67" s="10"/>
      <c r="D67" s="10"/>
      <c r="E67" s="10"/>
      <c r="F67" s="10"/>
      <c r="G67" s="28"/>
      <c r="H67" s="11"/>
      <c r="I67" s="29"/>
      <c r="J67" s="28"/>
      <c r="K67" s="46"/>
      <c r="L67" s="46"/>
      <c r="M67" s="28"/>
      <c r="N67" s="28"/>
      <c r="O67" s="29"/>
      <c r="P67" s="27"/>
      <c r="Q67" s="27"/>
      <c r="R67" s="28"/>
      <c r="S67" s="29"/>
      <c r="T67" s="3"/>
      <c r="U67" s="46"/>
      <c r="V67" s="3"/>
      <c r="X67" s="34"/>
      <c r="Y67" s="34"/>
      <c r="Z67" s="35"/>
    </row>
    <row r="68" spans="2:28" x14ac:dyDescent="0.4">
      <c r="B68" s="9"/>
      <c r="C68" s="10"/>
      <c r="D68" s="10"/>
      <c r="E68" s="10"/>
      <c r="F68" s="10"/>
      <c r="G68" s="28"/>
      <c r="H68" s="11"/>
      <c r="I68" s="28"/>
      <c r="J68" s="28"/>
      <c r="K68" s="29"/>
      <c r="L68" s="29"/>
      <c r="M68" s="28"/>
      <c r="N68" s="28"/>
      <c r="O68" s="29"/>
      <c r="P68" s="27"/>
      <c r="Q68" s="27"/>
      <c r="R68" s="28"/>
      <c r="S68" s="29"/>
      <c r="T68" s="3"/>
      <c r="U68" s="29"/>
      <c r="V68" s="3"/>
      <c r="X68" s="34"/>
      <c r="Y68" s="34"/>
      <c r="Z68" s="35"/>
    </row>
    <row r="69" spans="2:28" x14ac:dyDescent="0.4">
      <c r="B69" s="9"/>
      <c r="C69" s="10"/>
      <c r="D69" s="10"/>
      <c r="E69" s="10"/>
      <c r="F69" s="10"/>
      <c r="G69" s="28"/>
      <c r="H69" s="11"/>
      <c r="I69" s="28"/>
      <c r="J69" s="28"/>
      <c r="K69" s="29"/>
      <c r="L69" s="29"/>
      <c r="M69" s="28"/>
      <c r="N69" s="28"/>
      <c r="O69" s="29"/>
      <c r="P69" s="27"/>
      <c r="Q69" s="27"/>
      <c r="R69" s="28"/>
      <c r="S69" s="29"/>
      <c r="T69" s="3"/>
      <c r="U69" s="29"/>
      <c r="V69" s="3"/>
      <c r="X69" s="34"/>
      <c r="Y69" s="34"/>
      <c r="Z69" s="35"/>
    </row>
    <row r="70" spans="2:28" x14ac:dyDescent="0.4">
      <c r="B70" s="9"/>
      <c r="C70" s="10"/>
      <c r="D70" s="10"/>
      <c r="E70" s="10"/>
      <c r="F70" s="10"/>
      <c r="G70" s="28"/>
      <c r="H70" s="11"/>
      <c r="I70" s="28"/>
      <c r="J70" s="28"/>
      <c r="K70" s="29"/>
      <c r="L70" s="29"/>
      <c r="M70" s="28"/>
      <c r="N70" s="28"/>
      <c r="O70" s="29"/>
      <c r="P70" s="27"/>
      <c r="Q70" s="27"/>
      <c r="R70" s="28"/>
      <c r="S70" s="29"/>
      <c r="T70" s="3"/>
      <c r="U70" s="29"/>
      <c r="V70" s="3"/>
      <c r="X70" s="34"/>
      <c r="Y70" s="34"/>
      <c r="Z70" s="35"/>
    </row>
    <row r="71" spans="2:28" x14ac:dyDescent="0.4">
      <c r="B71" s="9"/>
      <c r="C71" s="10"/>
      <c r="D71" s="10"/>
      <c r="E71" s="10"/>
      <c r="F71" s="10"/>
      <c r="G71" s="28"/>
      <c r="H71" s="11"/>
      <c r="I71" s="28"/>
      <c r="J71" s="28"/>
      <c r="K71" s="29"/>
      <c r="L71" s="29"/>
      <c r="M71" s="28"/>
      <c r="N71" s="28"/>
      <c r="O71" s="29"/>
      <c r="P71" s="27"/>
      <c r="Q71" s="27"/>
      <c r="R71" s="28"/>
      <c r="S71" s="29"/>
      <c r="T71" s="3"/>
      <c r="U71" s="29"/>
      <c r="V71" s="3"/>
      <c r="X71" s="34"/>
      <c r="Y71" s="34"/>
      <c r="Z71" s="35"/>
    </row>
    <row r="72" spans="2:28" x14ac:dyDescent="0.4">
      <c r="B72" s="9"/>
      <c r="C72" s="10"/>
      <c r="D72" s="10"/>
      <c r="E72" s="10"/>
      <c r="F72" s="10"/>
      <c r="G72" s="28"/>
      <c r="H72" s="11"/>
      <c r="I72" s="28"/>
      <c r="J72" s="28"/>
      <c r="K72" s="29"/>
      <c r="L72" s="29"/>
      <c r="M72" s="28"/>
      <c r="N72" s="28"/>
      <c r="O72" s="29"/>
      <c r="P72" s="27"/>
      <c r="Q72" s="27"/>
      <c r="R72" s="28"/>
      <c r="S72" s="29"/>
      <c r="T72" s="3"/>
      <c r="U72" s="29"/>
      <c r="V72" s="3"/>
      <c r="X72" s="34"/>
      <c r="Y72" s="34"/>
      <c r="Z72" s="35"/>
    </row>
    <row r="73" spans="2:28" x14ac:dyDescent="0.4">
      <c r="B73" s="9"/>
      <c r="C73" s="10"/>
      <c r="D73" s="10"/>
      <c r="E73" s="10"/>
      <c r="F73" s="10"/>
      <c r="G73" s="28"/>
      <c r="H73" s="11"/>
      <c r="I73" s="28"/>
      <c r="J73" s="28"/>
      <c r="K73" s="29"/>
      <c r="L73" s="29"/>
      <c r="M73" s="28"/>
      <c r="N73" s="28"/>
      <c r="O73" s="29"/>
      <c r="P73" s="27"/>
      <c r="Q73" s="27"/>
      <c r="R73" s="28"/>
      <c r="S73" s="29"/>
      <c r="T73" s="3"/>
      <c r="U73" s="29"/>
      <c r="V73" s="3"/>
      <c r="X73" s="34"/>
      <c r="Y73" s="34"/>
      <c r="Z73" s="35"/>
      <c r="AB73" s="78"/>
    </row>
    <row r="74" spans="2:28" x14ac:dyDescent="0.4">
      <c r="B74" s="9"/>
      <c r="C74" s="10"/>
      <c r="D74" s="10"/>
      <c r="E74" s="10"/>
      <c r="F74" s="10"/>
      <c r="G74" s="28"/>
      <c r="H74" s="11"/>
      <c r="I74" s="28"/>
      <c r="J74" s="28"/>
      <c r="K74" s="29"/>
      <c r="L74" s="29"/>
      <c r="M74" s="28"/>
      <c r="N74" s="28"/>
      <c r="O74" s="29"/>
      <c r="P74" s="27"/>
      <c r="Q74" s="27"/>
      <c r="R74" s="28"/>
      <c r="S74" s="29"/>
      <c r="T74" s="3"/>
      <c r="U74" s="29"/>
      <c r="V74" s="3"/>
      <c r="X74" s="34"/>
      <c r="Y74" s="34"/>
      <c r="Z74" s="35"/>
    </row>
    <row r="75" spans="2:28" x14ac:dyDescent="0.4">
      <c r="B75" s="9"/>
      <c r="C75" s="10"/>
      <c r="D75" s="10"/>
      <c r="E75" s="10"/>
      <c r="F75" s="10"/>
      <c r="G75" s="28"/>
      <c r="H75" s="11"/>
      <c r="I75" s="28"/>
      <c r="J75" s="28"/>
      <c r="K75" s="29"/>
      <c r="L75" s="29"/>
      <c r="M75" s="28"/>
      <c r="N75" s="28"/>
      <c r="O75" s="29"/>
      <c r="P75" s="27"/>
      <c r="Q75" s="27"/>
      <c r="R75" s="28"/>
      <c r="S75" s="29"/>
      <c r="T75" s="3"/>
      <c r="U75" s="29"/>
      <c r="V75" s="3"/>
      <c r="X75" s="34"/>
      <c r="Y75" s="34"/>
      <c r="Z75" s="35"/>
    </row>
    <row r="76" spans="2:28" x14ac:dyDescent="0.4">
      <c r="B76" s="9"/>
      <c r="C76" s="10"/>
      <c r="D76" s="10"/>
      <c r="E76" s="10"/>
      <c r="F76" s="10"/>
      <c r="G76" s="28"/>
      <c r="H76" s="11"/>
      <c r="I76" s="28"/>
      <c r="J76" s="28"/>
      <c r="K76" s="29"/>
      <c r="L76" s="29"/>
      <c r="M76" s="28"/>
      <c r="N76" s="28"/>
      <c r="O76" s="29"/>
      <c r="P76" s="27"/>
      <c r="Q76" s="27"/>
      <c r="R76" s="28"/>
      <c r="S76" s="29"/>
      <c r="T76" s="3"/>
      <c r="U76" s="29"/>
      <c r="V76" s="3"/>
      <c r="X76" s="34"/>
      <c r="Y76" s="34"/>
      <c r="Z76" s="35"/>
    </row>
    <row r="77" spans="2:28" x14ac:dyDescent="0.4">
      <c r="B77" s="9"/>
      <c r="C77" s="10"/>
      <c r="D77" s="10"/>
      <c r="E77" s="10"/>
      <c r="F77" s="10"/>
      <c r="G77" s="28"/>
      <c r="H77" s="11"/>
      <c r="I77" s="28"/>
      <c r="J77" s="28"/>
      <c r="K77" s="29"/>
      <c r="L77" s="29"/>
      <c r="M77" s="28"/>
      <c r="N77" s="28"/>
      <c r="O77" s="29"/>
      <c r="P77" s="27"/>
      <c r="Q77" s="27"/>
      <c r="R77" s="28"/>
      <c r="S77" s="29"/>
      <c r="T77" s="3"/>
      <c r="U77" s="29"/>
      <c r="V77" s="3"/>
      <c r="X77" s="34"/>
      <c r="Y77" s="34"/>
      <c r="Z77" s="35"/>
    </row>
    <row r="78" spans="2:28" x14ac:dyDescent="0.4">
      <c r="B78" s="9"/>
      <c r="C78" s="10"/>
      <c r="D78" s="10"/>
      <c r="E78" s="10"/>
      <c r="F78" s="10"/>
      <c r="G78" s="28"/>
      <c r="H78" s="11"/>
      <c r="I78" s="28"/>
      <c r="J78" s="28"/>
      <c r="K78" s="29"/>
      <c r="L78" s="29"/>
      <c r="M78" s="28"/>
      <c r="N78" s="28"/>
      <c r="O78" s="29"/>
      <c r="P78" s="27"/>
      <c r="Q78" s="27"/>
      <c r="R78" s="28"/>
      <c r="S78" s="29"/>
      <c r="T78" s="3"/>
      <c r="U78" s="29"/>
      <c r="V78" s="3"/>
      <c r="X78" s="34"/>
      <c r="Y78" s="34"/>
      <c r="Z78" s="35"/>
    </row>
    <row r="79" spans="2:28" x14ac:dyDescent="0.4">
      <c r="B79" s="9"/>
      <c r="C79" s="10"/>
      <c r="D79" s="10"/>
      <c r="E79" s="10"/>
      <c r="F79" s="10"/>
      <c r="G79" s="28"/>
      <c r="H79" s="11"/>
      <c r="I79" s="28"/>
      <c r="J79" s="28"/>
      <c r="K79" s="29"/>
      <c r="L79" s="29"/>
      <c r="M79" s="28"/>
      <c r="N79" s="28"/>
      <c r="O79" s="29"/>
      <c r="P79" s="27"/>
      <c r="Q79" s="27"/>
      <c r="R79" s="28"/>
      <c r="S79" s="29"/>
      <c r="T79" s="3"/>
      <c r="U79" s="29"/>
      <c r="V79" s="3"/>
      <c r="X79" s="34"/>
      <c r="Y79" s="34"/>
      <c r="Z79" s="35"/>
    </row>
    <row r="80" spans="2:28" x14ac:dyDescent="0.4">
      <c r="B80" s="9"/>
      <c r="C80" s="10"/>
      <c r="D80" s="10"/>
      <c r="E80" s="10"/>
      <c r="F80" s="10"/>
      <c r="G80" s="28"/>
      <c r="H80" s="11"/>
      <c r="I80" s="28"/>
      <c r="J80" s="28"/>
      <c r="K80" s="29"/>
      <c r="L80" s="29"/>
      <c r="M80" s="28"/>
      <c r="N80" s="28"/>
      <c r="O80" s="29"/>
      <c r="P80" s="27"/>
      <c r="R80" s="28"/>
      <c r="S80" s="29"/>
      <c r="T80" s="3"/>
      <c r="U80" s="29"/>
      <c r="V80" s="3"/>
      <c r="X80" s="34"/>
      <c r="Y80" s="34"/>
      <c r="Z80" s="35"/>
    </row>
    <row r="81" spans="2:26" x14ac:dyDescent="0.4">
      <c r="B81" s="9"/>
      <c r="C81" s="10"/>
      <c r="D81" s="10"/>
      <c r="E81" s="10"/>
      <c r="F81" s="10"/>
      <c r="G81" s="28"/>
      <c r="H81" s="11"/>
      <c r="I81" s="28"/>
      <c r="J81" s="28"/>
      <c r="K81" s="29"/>
      <c r="L81" s="29"/>
      <c r="M81" s="28"/>
      <c r="N81" s="28"/>
      <c r="O81" s="29"/>
      <c r="P81" s="27"/>
      <c r="Q81" s="27"/>
      <c r="R81" s="28"/>
      <c r="S81" s="29"/>
      <c r="T81" s="3"/>
      <c r="U81" s="29"/>
      <c r="V81" s="3"/>
      <c r="X81" s="34"/>
      <c r="Y81" s="34"/>
      <c r="Z81" s="35"/>
    </row>
  </sheetData>
  <conditionalFormatting sqref="I19:I81">
    <cfRule type="expression" dxfId="11" priority="3">
      <formula>$I19&lt;0</formula>
    </cfRule>
    <cfRule type="expression" dxfId="10" priority="4">
      <formula>$I19&gt;0</formula>
    </cfRule>
  </conditionalFormatting>
  <conditionalFormatting sqref="L19:L81">
    <cfRule type="expression" dxfId="9" priority="11">
      <formula>$I19&lt;0</formula>
    </cfRule>
    <cfRule type="expression" dxfId="8" priority="12">
      <formula>$I19&gt;0</formula>
    </cfRule>
  </conditionalFormatting>
  <conditionalFormatting sqref="R19:R81">
    <cfRule type="expression" dxfId="7" priority="5">
      <formula>$I19&lt;0</formula>
    </cfRule>
    <cfRule type="expression" dxfId="6" priority="6">
      <formula>$I19&gt;0</formula>
    </cfRule>
  </conditionalFormatting>
  <conditionalFormatting sqref="U19:U81">
    <cfRule type="expression" dxfId="5" priority="1">
      <formula>$I19&lt;0</formula>
    </cfRule>
    <cfRule type="expression" dxfId="4" priority="2">
      <formula>$I19&gt;0</formula>
    </cfRule>
  </conditionalFormatting>
  <dataValidations count="2">
    <dataValidation type="list" allowBlank="1" showInputMessage="1" showErrorMessage="1" sqref="E18:E81" xr:uid="{AC88AEA5-902E-420C-9C45-273DF27D0711}">
      <formula1>$E$2:$E$9</formula1>
    </dataValidation>
    <dataValidation type="list" allowBlank="1" showInputMessage="1" showErrorMessage="1" sqref="F19:F81" xr:uid="{E3A4A9BD-B1D5-49ED-8995-40642753B7C9}">
      <formula1>$F$2:$F$9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8962-D2B9-445E-A455-77BA6B09F720}">
  <dimension ref="B2:H13"/>
  <sheetViews>
    <sheetView showGridLines="0" zoomScale="90" zoomScaleNormal="90" workbookViewId="0">
      <selection activeCell="A2" sqref="A2"/>
    </sheetView>
  </sheetViews>
  <sheetFormatPr defaultRowHeight="13.15" x14ac:dyDescent="0.4"/>
  <cols>
    <col min="1" max="1" width="3.33203125" style="1" customWidth="1"/>
    <col min="2" max="2" width="15.73046875" style="1" bestFit="1" customWidth="1"/>
    <col min="3" max="6" width="12.9296875" style="1" customWidth="1"/>
    <col min="7" max="7" width="9.59765625" style="1" bestFit="1" customWidth="1"/>
    <col min="8" max="8" width="11.1328125" style="1" bestFit="1" customWidth="1"/>
    <col min="9" max="16384" width="9.06640625" style="1"/>
  </cols>
  <sheetData>
    <row r="2" spans="2:8" x14ac:dyDescent="0.4">
      <c r="B2" s="56"/>
      <c r="C2" s="4" t="s">
        <v>145</v>
      </c>
      <c r="D2" s="4" t="s">
        <v>51</v>
      </c>
      <c r="E2" s="4" t="s">
        <v>10</v>
      </c>
      <c r="F2" s="4" t="s">
        <v>52</v>
      </c>
      <c r="G2" s="4" t="s">
        <v>136</v>
      </c>
      <c r="H2" s="2" t="s">
        <v>144</v>
      </c>
    </row>
    <row r="3" spans="2:8" x14ac:dyDescent="0.4">
      <c r="B3" s="17" t="s">
        <v>137</v>
      </c>
      <c r="C3" s="17"/>
      <c r="D3" s="10"/>
      <c r="E3" s="10"/>
      <c r="F3" s="10"/>
      <c r="G3" s="15">
        <v>0</v>
      </c>
      <c r="H3" s="51"/>
    </row>
    <row r="4" spans="2:8" x14ac:dyDescent="0.4">
      <c r="B4" s="17" t="s">
        <v>138</v>
      </c>
      <c r="C4" s="17"/>
      <c r="D4" s="10"/>
      <c r="E4" s="10"/>
      <c r="F4" s="10"/>
      <c r="G4" s="15"/>
      <c r="H4" s="6">
        <f>-G4</f>
        <v>0</v>
      </c>
    </row>
    <row r="5" spans="2:8" x14ac:dyDescent="0.4">
      <c r="B5" s="17" t="s">
        <v>194</v>
      </c>
      <c r="C5" s="17"/>
      <c r="D5" s="10"/>
      <c r="E5" s="10"/>
      <c r="F5" s="10"/>
      <c r="G5" s="15"/>
      <c r="H5" s="6">
        <f>(C9*E9*100)</f>
        <v>0</v>
      </c>
    </row>
    <row r="6" spans="2:8" x14ac:dyDescent="0.4">
      <c r="B6" s="17" t="s">
        <v>159</v>
      </c>
      <c r="C6" s="17"/>
      <c r="D6" s="10"/>
      <c r="E6" s="10"/>
      <c r="F6" s="10"/>
      <c r="G6" s="15"/>
      <c r="H6" s="6">
        <f>(C10*E10*100)</f>
        <v>0</v>
      </c>
    </row>
    <row r="7" spans="2:8" x14ac:dyDescent="0.4">
      <c r="B7" s="17" t="s">
        <v>154</v>
      </c>
      <c r="C7" s="17"/>
      <c r="D7" s="10"/>
      <c r="E7" s="10"/>
      <c r="F7" s="10"/>
      <c r="G7" s="15"/>
      <c r="H7" s="6">
        <f>(C11*E11*100)</f>
        <v>0</v>
      </c>
    </row>
    <row r="8" spans="2:8" x14ac:dyDescent="0.4">
      <c r="B8" s="17" t="s">
        <v>155</v>
      </c>
      <c r="C8" s="17"/>
      <c r="D8" s="10"/>
      <c r="E8" s="10"/>
      <c r="F8" s="10"/>
      <c r="G8" s="15"/>
      <c r="H8" s="6"/>
    </row>
    <row r="9" spans="2:8" x14ac:dyDescent="0.4">
      <c r="B9" s="17" t="s">
        <v>193</v>
      </c>
      <c r="C9" s="62"/>
      <c r="D9" s="27"/>
      <c r="E9" s="11"/>
      <c r="F9" s="29"/>
      <c r="G9" s="6"/>
      <c r="H9" s="6"/>
    </row>
    <row r="10" spans="2:8" x14ac:dyDescent="0.4">
      <c r="B10" s="17" t="s">
        <v>158</v>
      </c>
      <c r="C10" s="62"/>
      <c r="D10" s="27"/>
      <c r="E10" s="10"/>
      <c r="F10" s="29"/>
      <c r="G10" s="6"/>
      <c r="H10" s="6"/>
    </row>
    <row r="11" spans="2:8" x14ac:dyDescent="0.4">
      <c r="B11" s="17" t="s">
        <v>153</v>
      </c>
      <c r="C11" s="62"/>
      <c r="D11" s="27"/>
      <c r="E11" s="11"/>
      <c r="F11" s="29"/>
      <c r="G11" s="6"/>
      <c r="H11" s="6"/>
    </row>
    <row r="12" spans="2:8" x14ac:dyDescent="0.4">
      <c r="B12" s="52" t="s">
        <v>135</v>
      </c>
      <c r="C12" s="58"/>
      <c r="D12" s="54"/>
      <c r="E12" s="55"/>
      <c r="F12" s="54"/>
      <c r="G12" s="65"/>
      <c r="H12" s="65"/>
    </row>
    <row r="13" spans="2:8" x14ac:dyDescent="0.4">
      <c r="B13" s="17" t="s">
        <v>134</v>
      </c>
      <c r="C13" s="17"/>
      <c r="D13" s="10"/>
      <c r="E13" s="10"/>
      <c r="F13" s="10"/>
      <c r="G13" s="6">
        <f>SUM(G3:G12)</f>
        <v>0</v>
      </c>
      <c r="H13" s="6">
        <f>SUM(H3:H12)</f>
        <v>0</v>
      </c>
    </row>
  </sheetData>
  <conditionalFormatting sqref="G13:H13">
    <cfRule type="expression" dxfId="3" priority="3">
      <formula>$L13&lt;0</formula>
    </cfRule>
    <cfRule type="expression" dxfId="2" priority="4">
      <formula>$L13&gt;0</formula>
    </cfRule>
  </conditionalFormatting>
  <conditionalFormatting sqref="H4:H12">
    <cfRule type="expression" dxfId="1" priority="1">
      <formula>$L4&lt;0</formula>
    </cfRule>
    <cfRule type="expression" dxfId="0" priority="2">
      <formula>$L4&gt;0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287B-BC01-44DF-9EC0-2DAB8E756613}">
  <sheetPr>
    <pageSetUpPr fitToPage="1"/>
  </sheetPr>
  <dimension ref="B2:R24"/>
  <sheetViews>
    <sheetView showGridLines="0" zoomScale="90" zoomScaleNormal="90" workbookViewId="0"/>
  </sheetViews>
  <sheetFormatPr defaultRowHeight="13.15" x14ac:dyDescent="0.4"/>
  <cols>
    <col min="1" max="1" width="4.53125" style="1" customWidth="1"/>
    <col min="2" max="2" width="9.53125" style="1" bestFit="1" customWidth="1"/>
    <col min="3" max="3" width="7.59765625" style="1" bestFit="1" customWidth="1"/>
    <col min="4" max="4" width="8.73046875" style="1" bestFit="1" customWidth="1"/>
    <col min="5" max="5" width="14.73046875" style="1" bestFit="1" customWidth="1"/>
    <col min="6" max="6" width="15.19921875" style="1" bestFit="1" customWidth="1"/>
    <col min="7" max="7" width="14.9296875" style="1" bestFit="1" customWidth="1"/>
    <col min="8" max="8" width="7.86328125" style="1" bestFit="1" customWidth="1"/>
    <col min="9" max="9" width="10.06640625" style="1" bestFit="1" customWidth="1"/>
    <col min="10" max="10" width="14.59765625" style="1" bestFit="1" customWidth="1"/>
    <col min="11" max="11" width="6.1328125" style="1" bestFit="1" customWidth="1"/>
    <col min="12" max="12" width="8.19921875" style="1" customWidth="1"/>
    <col min="13" max="13" width="8.796875" style="1" customWidth="1"/>
    <col min="14" max="14" width="10.33203125" style="1" customWidth="1"/>
    <col min="15" max="15" width="8.265625" style="1" customWidth="1"/>
    <col min="16" max="16384" width="9.06640625" style="1"/>
  </cols>
  <sheetData>
    <row r="2" spans="2:18" x14ac:dyDescent="0.4">
      <c r="B2" s="38" t="s">
        <v>170</v>
      </c>
      <c r="C2" s="4" t="s">
        <v>171</v>
      </c>
      <c r="D2" s="4" t="s">
        <v>172</v>
      </c>
      <c r="E2" s="4" t="s">
        <v>177</v>
      </c>
      <c r="F2" s="4" t="s">
        <v>173</v>
      </c>
      <c r="G2" s="4" t="s">
        <v>179</v>
      </c>
      <c r="H2" s="4" t="s">
        <v>174</v>
      </c>
      <c r="I2" s="4" t="s">
        <v>55</v>
      </c>
      <c r="J2" s="4" t="s">
        <v>178</v>
      </c>
      <c r="K2" s="4" t="s">
        <v>175</v>
      </c>
      <c r="L2" s="4" t="s">
        <v>152</v>
      </c>
      <c r="M2" s="4" t="s">
        <v>182</v>
      </c>
      <c r="N2" s="4" t="s">
        <v>183</v>
      </c>
      <c r="O2" s="4" t="s">
        <v>176</v>
      </c>
    </row>
    <row r="3" spans="2:18" x14ac:dyDescent="0.4">
      <c r="B3" s="76">
        <v>46053</v>
      </c>
      <c r="C3" s="17"/>
      <c r="E3" s="66"/>
      <c r="F3" s="66"/>
      <c r="G3" s="17"/>
      <c r="H3" s="17"/>
      <c r="I3" s="17"/>
      <c r="J3" s="70">
        <f>L3*K3</f>
        <v>1000000</v>
      </c>
      <c r="K3" s="67">
        <v>1000</v>
      </c>
      <c r="L3" s="68">
        <v>1000</v>
      </c>
      <c r="M3" s="68">
        <v>0</v>
      </c>
      <c r="N3" s="68">
        <v>0</v>
      </c>
      <c r="O3" s="69"/>
    </row>
    <row r="4" spans="2:18" x14ac:dyDescent="0.4">
      <c r="B4" s="76">
        <v>46081</v>
      </c>
      <c r="C4" s="67"/>
      <c r="D4" s="70">
        <f t="shared" ref="D4:D5" si="0">C4*L3</f>
        <v>0</v>
      </c>
      <c r="E4" s="70">
        <f t="shared" ref="E4:E5" si="1">J3+D4</f>
        <v>1000000</v>
      </c>
      <c r="F4" s="67"/>
      <c r="G4" s="67"/>
      <c r="H4" s="67"/>
      <c r="I4" s="67">
        <v>0</v>
      </c>
      <c r="J4" s="70">
        <f t="shared" ref="J4:J5" si="2">E4-F4-G4-H4+I4</f>
        <v>1000000</v>
      </c>
      <c r="K4" s="70">
        <f t="shared" ref="K4:K5" si="3">K3+C4</f>
        <v>1000</v>
      </c>
      <c r="L4" s="71">
        <f t="shared" ref="L4:L5" si="4">J4/K4</f>
        <v>1000</v>
      </c>
      <c r="M4" s="72">
        <f t="shared" ref="M4:M5" si="5">L4/$L$3-1</f>
        <v>0</v>
      </c>
      <c r="N4" s="73">
        <f>L4/L3-1</f>
        <v>0</v>
      </c>
      <c r="O4" s="73"/>
    </row>
    <row r="5" spans="2:18" ht="14.25" x14ac:dyDescent="0.4">
      <c r="B5" s="76">
        <v>46112</v>
      </c>
      <c r="C5" s="67"/>
      <c r="D5" s="70">
        <f t="shared" si="0"/>
        <v>0</v>
      </c>
      <c r="E5" s="70">
        <f t="shared" si="1"/>
        <v>1000000</v>
      </c>
      <c r="F5" s="67"/>
      <c r="G5" s="67"/>
      <c r="H5" s="67"/>
      <c r="I5" s="70">
        <f>Blotter!C$4-SUM(NAV!I$4:I4)</f>
        <v>-117.87469392600178</v>
      </c>
      <c r="J5" s="70">
        <f t="shared" si="2"/>
        <v>999882.12530607404</v>
      </c>
      <c r="K5" s="70">
        <f t="shared" si="3"/>
        <v>1000</v>
      </c>
      <c r="L5" s="71">
        <f t="shared" si="4"/>
        <v>999.88212530607404</v>
      </c>
      <c r="M5" s="72">
        <f t="shared" si="5"/>
        <v>-1.1787469392599004E-4</v>
      </c>
      <c r="N5" s="73">
        <f t="shared" ref="N5" si="6">L5/L4-1</f>
        <v>-1.1787469392599004E-4</v>
      </c>
      <c r="O5" s="75">
        <f>STDEVP(N$4:N5)*SQRT(12)</f>
        <v>2.0416495880644527E-4</v>
      </c>
    </row>
    <row r="6" spans="2:18" ht="14.25" x14ac:dyDescent="0.4">
      <c r="B6" s="76"/>
      <c r="C6" s="67"/>
      <c r="D6" s="70"/>
      <c r="E6" s="70"/>
      <c r="F6" s="67"/>
      <c r="G6" s="67"/>
      <c r="H6" s="67"/>
      <c r="I6" s="67"/>
      <c r="J6" s="70"/>
      <c r="K6" s="70"/>
      <c r="L6" s="71"/>
      <c r="M6" s="72"/>
      <c r="N6" s="73"/>
      <c r="O6" s="75"/>
    </row>
    <row r="7" spans="2:18" ht="14.25" x14ac:dyDescent="0.4">
      <c r="B7" s="76"/>
      <c r="C7" s="67"/>
      <c r="D7" s="70"/>
      <c r="E7" s="70"/>
      <c r="F7" s="67"/>
      <c r="G7" s="67"/>
      <c r="H7" s="67"/>
      <c r="I7" s="67"/>
      <c r="J7" s="70"/>
      <c r="K7" s="70"/>
      <c r="L7" s="71"/>
      <c r="M7" s="72"/>
      <c r="N7" s="73"/>
      <c r="O7" s="75"/>
    </row>
    <row r="8" spans="2:18" ht="14.25" x14ac:dyDescent="0.4">
      <c r="B8" s="76"/>
      <c r="C8" s="67"/>
      <c r="D8" s="70"/>
      <c r="E8" s="70"/>
      <c r="F8" s="67"/>
      <c r="G8" s="67"/>
      <c r="H8" s="67"/>
      <c r="I8" s="67"/>
      <c r="J8" s="70"/>
      <c r="K8" s="70"/>
      <c r="L8" s="71"/>
      <c r="M8" s="72"/>
      <c r="N8" s="73"/>
      <c r="O8" s="75"/>
    </row>
    <row r="9" spans="2:18" ht="14.25" x14ac:dyDescent="0.4">
      <c r="B9" s="76"/>
      <c r="C9" s="67"/>
      <c r="D9" s="70"/>
      <c r="E9" s="70"/>
      <c r="F9" s="67"/>
      <c r="G9" s="67"/>
      <c r="H9" s="67"/>
      <c r="I9" s="67"/>
      <c r="J9" s="70"/>
      <c r="K9" s="70"/>
      <c r="L9" s="71"/>
      <c r="M9" s="72"/>
      <c r="N9" s="73"/>
      <c r="O9" s="75"/>
      <c r="Q9" s="74"/>
      <c r="R9" s="74"/>
    </row>
    <row r="10" spans="2:18" ht="14.25" x14ac:dyDescent="0.4">
      <c r="B10" s="76"/>
      <c r="C10" s="67"/>
      <c r="D10" s="70"/>
      <c r="E10" s="70"/>
      <c r="F10" s="67"/>
      <c r="G10" s="67"/>
      <c r="H10" s="67"/>
      <c r="I10" s="67"/>
      <c r="J10" s="70"/>
      <c r="K10" s="70"/>
      <c r="L10" s="71"/>
      <c r="M10" s="72"/>
      <c r="N10" s="73"/>
      <c r="O10" s="75"/>
      <c r="Q10" s="74"/>
    </row>
    <row r="11" spans="2:18" ht="14.25" x14ac:dyDescent="0.4">
      <c r="B11" s="76"/>
      <c r="C11" s="67"/>
      <c r="D11" s="70"/>
      <c r="E11" s="70"/>
      <c r="F11" s="67"/>
      <c r="G11" s="67"/>
      <c r="H11" s="67"/>
      <c r="I11" s="67"/>
      <c r="J11" s="70"/>
      <c r="K11" s="70"/>
      <c r="L11" s="71"/>
      <c r="M11" s="72"/>
      <c r="N11" s="73"/>
      <c r="O11" s="75"/>
      <c r="Q11" s="74"/>
    </row>
    <row r="12" spans="2:18" ht="14.25" x14ac:dyDescent="0.4">
      <c r="B12" s="76"/>
      <c r="E12" s="70"/>
      <c r="F12" s="67"/>
      <c r="G12" s="67"/>
      <c r="H12" s="67"/>
      <c r="I12" s="67"/>
      <c r="J12" s="70"/>
      <c r="K12" s="70"/>
      <c r="L12" s="71"/>
      <c r="M12" s="72"/>
      <c r="N12" s="73"/>
      <c r="O12" s="75"/>
      <c r="Q12" s="74"/>
    </row>
    <row r="13" spans="2:18" ht="14.25" x14ac:dyDescent="0.4">
      <c r="B13" s="76"/>
      <c r="E13" s="70"/>
      <c r="F13" s="67"/>
      <c r="G13" s="67"/>
      <c r="H13" s="67"/>
      <c r="I13" s="67"/>
      <c r="J13" s="70"/>
      <c r="K13" s="70"/>
      <c r="L13" s="71"/>
      <c r="M13" s="72"/>
      <c r="N13" s="73"/>
      <c r="O13" s="75"/>
      <c r="Q13" s="74"/>
    </row>
    <row r="14" spans="2:18" ht="14.25" x14ac:dyDescent="0.4">
      <c r="B14" s="76"/>
      <c r="E14" s="70"/>
      <c r="I14" s="67"/>
      <c r="J14" s="70"/>
      <c r="K14" s="70"/>
      <c r="L14" s="71"/>
      <c r="M14" s="72"/>
      <c r="N14" s="73"/>
      <c r="O14" s="75"/>
      <c r="Q14" s="74"/>
    </row>
    <row r="15" spans="2:18" ht="14.25" x14ac:dyDescent="0.4">
      <c r="B15" s="76"/>
      <c r="E15" s="70"/>
      <c r="I15" s="67"/>
      <c r="J15" s="70"/>
      <c r="K15" s="70"/>
      <c r="L15" s="71"/>
      <c r="M15" s="72"/>
      <c r="N15" s="73"/>
      <c r="O15" s="75"/>
      <c r="Q15" s="74"/>
    </row>
    <row r="16" spans="2:18" ht="14.25" x14ac:dyDescent="0.4">
      <c r="B16" s="76"/>
      <c r="E16" s="70"/>
      <c r="I16" s="67"/>
      <c r="J16" s="70"/>
      <c r="K16" s="70"/>
      <c r="L16" s="71"/>
      <c r="M16" s="72"/>
      <c r="N16" s="73"/>
      <c r="O16" s="75"/>
      <c r="Q16" s="74"/>
    </row>
    <row r="17" spans="2:17" ht="14.25" x14ac:dyDescent="0.4">
      <c r="B17" s="76"/>
      <c r="E17" s="70"/>
      <c r="I17" s="70"/>
      <c r="J17" s="70"/>
      <c r="K17" s="70"/>
      <c r="L17" s="71"/>
      <c r="M17" s="72"/>
      <c r="N17" s="73"/>
      <c r="O17" s="75"/>
      <c r="Q17" s="74"/>
    </row>
    <row r="18" spans="2:17" x14ac:dyDescent="0.4">
      <c r="B18" s="76"/>
    </row>
    <row r="19" spans="2:17" x14ac:dyDescent="0.4">
      <c r="B19" s="76"/>
    </row>
    <row r="20" spans="2:17" x14ac:dyDescent="0.4">
      <c r="B20" s="76"/>
    </row>
    <row r="21" spans="2:17" x14ac:dyDescent="0.4">
      <c r="B21" s="76"/>
    </row>
    <row r="22" spans="2:17" x14ac:dyDescent="0.4">
      <c r="B22" s="76"/>
    </row>
    <row r="23" spans="2:17" x14ac:dyDescent="0.4">
      <c r="B23" s="76"/>
    </row>
    <row r="24" spans="2:17" x14ac:dyDescent="0.4">
      <c r="B24" s="77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</row>
  </sheetData>
  <pageMargins left="0.25" right="0.25" top="0.75" bottom="0.75" header="0.3" footer="0.3"/>
  <pageSetup paperSize="9"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5EF5-3196-4E3B-836F-F2C66D0D0F9E}">
  <sheetPr codeName="Sheet2"/>
  <dimension ref="B1:AB60"/>
  <sheetViews>
    <sheetView showGridLines="0" zoomScale="90" zoomScaleNormal="90" workbookViewId="0"/>
  </sheetViews>
  <sheetFormatPr defaultRowHeight="13.15" x14ac:dyDescent="0.4"/>
  <cols>
    <col min="1" max="1" width="3.06640625" style="1" customWidth="1"/>
    <col min="2" max="2" width="8.73046875" style="1" bestFit="1" customWidth="1"/>
    <col min="3" max="3" width="5.06640625" style="1" bestFit="1" customWidth="1"/>
    <col min="4" max="4" width="7.33203125" style="1" bestFit="1" customWidth="1"/>
    <col min="5" max="5" width="6.3984375" style="1" bestFit="1" customWidth="1"/>
    <col min="6" max="6" width="10.73046875" style="1" bestFit="1" customWidth="1"/>
    <col min="7" max="7" width="10.33203125" style="1" bestFit="1" customWidth="1"/>
    <col min="8" max="8" width="8.73046875" style="1" bestFit="1" customWidth="1"/>
    <col min="9" max="10" width="8.19921875" style="1" customWidth="1"/>
    <col min="11" max="11" width="9.06640625" style="1" bestFit="1" customWidth="1"/>
    <col min="12" max="12" width="7.3984375" style="1" bestFit="1" customWidth="1"/>
    <col min="13" max="13" width="12.3984375" style="1" bestFit="1" customWidth="1"/>
    <col min="14" max="14" width="8.19921875" style="1" bestFit="1" customWidth="1"/>
    <col min="15" max="15" width="12.265625" style="1" bestFit="1" customWidth="1"/>
    <col min="16" max="16" width="8.1328125" style="1" bestFit="1" customWidth="1"/>
    <col min="17" max="17" width="6.86328125" style="1" bestFit="1" customWidth="1"/>
    <col min="18" max="18" width="9.796875" style="1" bestFit="1" customWidth="1"/>
    <col min="19" max="19" width="5.796875" style="1" customWidth="1"/>
    <col min="20" max="20" width="8.73046875" style="1" bestFit="1" customWidth="1"/>
    <col min="21" max="21" width="5.19921875" style="1" bestFit="1" customWidth="1"/>
    <col min="22" max="22" width="37.46484375" style="1" bestFit="1" customWidth="1"/>
    <col min="23" max="23" width="104.59765625" style="1" bestFit="1" customWidth="1"/>
    <col min="24" max="24" width="78" style="1" bestFit="1" customWidth="1"/>
    <col min="25" max="25" width="9.06640625" style="1"/>
    <col min="26" max="26" width="15.19921875" style="1" bestFit="1" customWidth="1"/>
    <col min="27" max="27" width="104.59765625" style="1" bestFit="1" customWidth="1"/>
    <col min="28" max="28" width="41.6640625" style="1" bestFit="1" customWidth="1"/>
    <col min="29" max="16384" width="9.06640625" style="1"/>
  </cols>
  <sheetData>
    <row r="1" spans="2:28" x14ac:dyDescent="0.4">
      <c r="D1" s="51"/>
      <c r="E1" s="51"/>
    </row>
    <row r="2" spans="2:28" x14ac:dyDescent="0.4">
      <c r="B2" s="38" t="s">
        <v>8</v>
      </c>
      <c r="C2" s="4" t="s">
        <v>0</v>
      </c>
      <c r="D2" s="7" t="s">
        <v>55</v>
      </c>
      <c r="E2" s="7" t="s">
        <v>3</v>
      </c>
      <c r="F2" s="7" t="s">
        <v>54</v>
      </c>
      <c r="G2" s="8" t="s">
        <v>7</v>
      </c>
      <c r="H2" s="8" t="s">
        <v>161</v>
      </c>
      <c r="I2" s="8" t="s">
        <v>165</v>
      </c>
      <c r="J2" s="8" t="s">
        <v>162</v>
      </c>
      <c r="K2" s="8" t="s">
        <v>166</v>
      </c>
      <c r="L2" s="8" t="s">
        <v>167</v>
      </c>
      <c r="M2" s="4" t="s">
        <v>163</v>
      </c>
      <c r="N2" s="8" t="s">
        <v>165</v>
      </c>
      <c r="O2" s="4" t="s">
        <v>164</v>
      </c>
      <c r="P2" s="4" t="s">
        <v>168</v>
      </c>
      <c r="Q2" s="4" t="s">
        <v>56</v>
      </c>
      <c r="R2" s="4" t="s">
        <v>90</v>
      </c>
      <c r="T2" s="38" t="s">
        <v>8</v>
      </c>
      <c r="U2" s="4" t="s">
        <v>0</v>
      </c>
      <c r="V2" s="38" t="s">
        <v>2</v>
      </c>
      <c r="W2" s="38" t="s">
        <v>131</v>
      </c>
      <c r="X2" s="38" t="s">
        <v>132</v>
      </c>
      <c r="Y2" s="12"/>
      <c r="Z2" s="38" t="s">
        <v>2</v>
      </c>
      <c r="AA2" s="38" t="s">
        <v>131</v>
      </c>
      <c r="AB2" s="38" t="s">
        <v>132</v>
      </c>
    </row>
    <row r="3" spans="2:28" x14ac:dyDescent="0.4">
      <c r="B3" s="40">
        <v>46081</v>
      </c>
      <c r="C3" s="5">
        <v>0</v>
      </c>
      <c r="D3" s="13"/>
      <c r="E3" s="13"/>
      <c r="F3" s="13"/>
      <c r="G3" s="14"/>
      <c r="H3" s="15">
        <v>0</v>
      </c>
      <c r="I3" s="15">
        <v>1000000</v>
      </c>
      <c r="J3" s="16">
        <f>H3+I3</f>
        <v>1000000</v>
      </c>
      <c r="K3" s="16"/>
      <c r="L3" s="94">
        <v>0</v>
      </c>
      <c r="M3" s="15">
        <f>H3</f>
        <v>0</v>
      </c>
      <c r="N3" s="15">
        <v>1000000</v>
      </c>
      <c r="O3" s="6">
        <f>M3+N3</f>
        <v>1000000</v>
      </c>
      <c r="P3" s="15"/>
      <c r="Q3" s="94">
        <v>0</v>
      </c>
      <c r="R3" s="94">
        <v>0</v>
      </c>
      <c r="T3" s="39"/>
      <c r="U3" s="5"/>
    </row>
    <row r="4" spans="2:28" x14ac:dyDescent="0.4">
      <c r="B4" s="40">
        <v>46088</v>
      </c>
      <c r="C4" s="5">
        <f>C3+1</f>
        <v>1</v>
      </c>
      <c r="D4" s="6">
        <f t="array" ref="D4">SUM((Blotter!C$19:C$1013=C4)*(Blotter!N$19:N$1013)*1)</f>
        <v>-117.87469392600178</v>
      </c>
      <c r="E4" s="6">
        <f t="array" ref="E4">SUM((Blotter!B$19:C$1013=C4)*(Blotter!R$19:R$1013)*1)</f>
        <v>10500</v>
      </c>
      <c r="F4" s="30">
        <f t="shared" ref="F4" si="0">IF(ISNUMBER(D4/E4),D4/E4,0)</f>
        <v>-1.1226161326285884E-2</v>
      </c>
      <c r="G4" s="36" t="str">
        <f t="array" ref="G4">IF(SUM((Blotter!C$19:C$1013=PLB!C4)*(Blotter!M$19:M$1013))=0,"C","O")</f>
        <v>O</v>
      </c>
      <c r="H4" s="16">
        <f>J3+D4</f>
        <v>999882.12530607404</v>
      </c>
      <c r="I4" s="16"/>
      <c r="J4" s="16">
        <f>H4+I4</f>
        <v>999882.12530607404</v>
      </c>
      <c r="K4" s="3">
        <f>H4/J3-1</f>
        <v>-1.1787469392599004E-4</v>
      </c>
      <c r="L4" s="3">
        <f>(1+K4)*(1+L3)-1</f>
        <v>-1.1787469392599004E-4</v>
      </c>
      <c r="M4" s="6">
        <f>O3-IF(G4="O",O3*1%,-D4)</f>
        <v>990000</v>
      </c>
      <c r="N4" s="16">
        <f>I4</f>
        <v>0</v>
      </c>
      <c r="O4" s="6">
        <f>M4+N4</f>
        <v>990000</v>
      </c>
      <c r="P4" s="3">
        <f>M4/O3-1</f>
        <v>-1.0000000000000009E-2</v>
      </c>
      <c r="Q4" s="3">
        <f>(1+P4)*(1+Q3)-1</f>
        <v>-1.0000000000000009E-2</v>
      </c>
      <c r="R4" s="3">
        <f>(1-1%)*(1+R3)-1</f>
        <v>-1.0000000000000009E-2</v>
      </c>
      <c r="T4" s="40">
        <f>B4</f>
        <v>46088</v>
      </c>
      <c r="U4" s="5">
        <f>C4</f>
        <v>1</v>
      </c>
      <c r="V4" s="1" t="s">
        <v>203</v>
      </c>
    </row>
    <row r="5" spans="2:28" x14ac:dyDescent="0.4">
      <c r="B5" s="40">
        <f>B4+7</f>
        <v>46095</v>
      </c>
      <c r="C5" s="5">
        <f>C4+1</f>
        <v>2</v>
      </c>
      <c r="D5" s="6">
        <f t="array" ref="D5">SUM((Blotter!C$19:C$1013=C5)*(Blotter!N$19:N$1013)*1)</f>
        <v>0</v>
      </c>
      <c r="E5" s="6">
        <f t="array" ref="E5">SUM((Blotter!B$19:C$1013=C5)*(Blotter!R$19:R$1013)*1)</f>
        <v>9000</v>
      </c>
      <c r="F5" s="30">
        <f t="shared" ref="F5" si="1">IF(ISNUMBER(D5/E5),D5/E5,0)</f>
        <v>0</v>
      </c>
      <c r="G5" s="36" t="str">
        <f t="array" ref="G5">IF(SUM((Blotter!C$19:C$1013=PLB!C5)*(Blotter!M$19:M$1013))=0,"C","O")</f>
        <v>O</v>
      </c>
      <c r="H5" s="16">
        <f>J4+D5</f>
        <v>999882.12530607404</v>
      </c>
      <c r="I5" s="16"/>
      <c r="J5" s="16">
        <f>H5+I5</f>
        <v>999882.12530607404</v>
      </c>
      <c r="K5" s="3">
        <f>H5/J4-1</f>
        <v>0</v>
      </c>
      <c r="L5" s="3">
        <f>(1+K5)*(1+L4)-1</f>
        <v>-1.1787469392599004E-4</v>
      </c>
      <c r="M5" s="6">
        <f>O4-IF(G5="O",O4*1%,-D5)</f>
        <v>980100</v>
      </c>
      <c r="N5" s="16">
        <f>I5</f>
        <v>0</v>
      </c>
      <c r="O5" s="6">
        <f>M5+N5</f>
        <v>980100</v>
      </c>
      <c r="P5" s="3">
        <f>M5/O4-1</f>
        <v>-1.0000000000000009E-2</v>
      </c>
      <c r="Q5" s="3">
        <f>(1+P5)*(1+Q4)-1</f>
        <v>-1.9900000000000029E-2</v>
      </c>
      <c r="R5" s="3">
        <f>(1-1%)*(1+R4)-1</f>
        <v>-1.9900000000000029E-2</v>
      </c>
      <c r="T5" s="40">
        <f t="shared" ref="T5" si="2">B5</f>
        <v>46095</v>
      </c>
      <c r="U5" s="5">
        <f t="shared" ref="U5" si="3">C5</f>
        <v>2</v>
      </c>
      <c r="V5" s="1" t="s">
        <v>320</v>
      </c>
    </row>
    <row r="6" spans="2:28" x14ac:dyDescent="0.4">
      <c r="B6" s="40"/>
      <c r="C6" s="5"/>
      <c r="D6" s="6"/>
      <c r="E6" s="6"/>
      <c r="F6" s="30"/>
      <c r="G6" s="36"/>
      <c r="H6" s="16"/>
      <c r="I6" s="16"/>
      <c r="J6" s="16"/>
      <c r="K6" s="3"/>
      <c r="L6" s="3"/>
      <c r="M6" s="6"/>
      <c r="N6" s="16"/>
      <c r="O6" s="6"/>
      <c r="P6" s="3"/>
      <c r="Q6" s="3"/>
      <c r="R6" s="3"/>
      <c r="T6" s="40"/>
      <c r="U6" s="5"/>
      <c r="W6" s="49"/>
    </row>
    <row r="7" spans="2:28" x14ac:dyDescent="0.4">
      <c r="B7" s="40"/>
      <c r="C7" s="5"/>
      <c r="D7" s="6"/>
      <c r="E7" s="6"/>
      <c r="F7" s="30"/>
      <c r="G7" s="36"/>
      <c r="H7" s="16"/>
      <c r="I7" s="16"/>
      <c r="J7" s="16"/>
      <c r="K7" s="3"/>
      <c r="L7" s="3"/>
      <c r="M7" s="6"/>
      <c r="N7" s="16"/>
      <c r="O7" s="6"/>
      <c r="P7" s="3"/>
      <c r="Q7" s="3"/>
      <c r="R7" s="3"/>
      <c r="T7" s="40"/>
      <c r="U7" s="5"/>
    </row>
    <row r="8" spans="2:28" x14ac:dyDescent="0.4">
      <c r="B8" s="40"/>
      <c r="C8" s="5"/>
      <c r="D8" s="6"/>
      <c r="E8" s="6"/>
      <c r="F8" s="30"/>
      <c r="G8" s="36"/>
      <c r="H8" s="16"/>
      <c r="I8" s="16"/>
      <c r="J8" s="16"/>
      <c r="K8" s="3"/>
      <c r="L8" s="3"/>
      <c r="M8" s="6"/>
      <c r="N8" s="16"/>
      <c r="O8" s="6"/>
      <c r="P8" s="3"/>
      <c r="Q8" s="3"/>
      <c r="R8" s="3"/>
      <c r="T8" s="40"/>
      <c r="U8" s="5"/>
      <c r="W8" s="49"/>
    </row>
    <row r="9" spans="2:28" x14ac:dyDescent="0.4">
      <c r="B9" s="40"/>
      <c r="C9" s="5"/>
      <c r="D9" s="6"/>
      <c r="E9" s="6"/>
      <c r="F9" s="30"/>
      <c r="G9" s="36"/>
      <c r="H9" s="16"/>
      <c r="I9" s="16"/>
      <c r="J9" s="16"/>
      <c r="K9" s="3"/>
      <c r="L9" s="3"/>
      <c r="M9" s="6"/>
      <c r="N9" s="16"/>
      <c r="O9" s="6"/>
      <c r="P9" s="3"/>
      <c r="Q9" s="3"/>
      <c r="R9" s="3"/>
      <c r="T9" s="40"/>
      <c r="U9" s="5"/>
      <c r="W9" s="49"/>
    </row>
    <row r="10" spans="2:28" x14ac:dyDescent="0.4">
      <c r="B10" s="40"/>
      <c r="C10" s="5"/>
      <c r="D10" s="6"/>
      <c r="E10" s="6"/>
      <c r="F10" s="30"/>
      <c r="G10" s="36"/>
      <c r="H10" s="16"/>
      <c r="I10" s="16"/>
      <c r="J10" s="16"/>
      <c r="K10" s="3"/>
      <c r="L10" s="3"/>
      <c r="M10" s="6"/>
      <c r="N10" s="16"/>
      <c r="O10" s="6"/>
      <c r="P10" s="3"/>
      <c r="Q10" s="3"/>
      <c r="R10" s="3"/>
      <c r="T10" s="40"/>
      <c r="U10" s="5"/>
    </row>
    <row r="11" spans="2:28" x14ac:dyDescent="0.4">
      <c r="B11" s="40"/>
      <c r="C11" s="5"/>
      <c r="D11" s="6"/>
      <c r="E11" s="6"/>
      <c r="F11" s="30"/>
      <c r="G11" s="36"/>
      <c r="H11" s="16"/>
      <c r="I11" s="16"/>
      <c r="J11" s="16"/>
      <c r="K11" s="3"/>
      <c r="L11" s="3"/>
      <c r="M11" s="6"/>
      <c r="N11" s="16"/>
      <c r="O11" s="6"/>
      <c r="P11" s="3"/>
      <c r="Q11" s="3"/>
      <c r="R11" s="3"/>
      <c r="T11" s="40"/>
      <c r="U11" s="5"/>
      <c r="W11" s="49"/>
    </row>
    <row r="12" spans="2:28" x14ac:dyDescent="0.4">
      <c r="B12" s="40"/>
      <c r="C12" s="5"/>
      <c r="D12" s="6"/>
      <c r="E12" s="6"/>
      <c r="F12" s="30"/>
      <c r="G12" s="36"/>
      <c r="H12" s="16"/>
      <c r="I12" s="16"/>
      <c r="J12" s="16"/>
      <c r="K12" s="3"/>
      <c r="L12" s="3"/>
      <c r="M12" s="6"/>
      <c r="N12" s="16"/>
      <c r="O12" s="6"/>
      <c r="P12" s="3"/>
      <c r="Q12" s="3"/>
      <c r="R12" s="3"/>
      <c r="T12" s="40"/>
      <c r="U12" s="5"/>
      <c r="W12" s="49"/>
    </row>
    <row r="13" spans="2:28" x14ac:dyDescent="0.4">
      <c r="B13" s="40"/>
      <c r="C13" s="5"/>
      <c r="D13" s="6"/>
      <c r="E13" s="6"/>
      <c r="F13" s="30"/>
      <c r="G13" s="36"/>
      <c r="H13" s="16"/>
      <c r="I13" s="16"/>
      <c r="J13" s="16"/>
      <c r="K13" s="3"/>
      <c r="L13" s="3"/>
      <c r="M13" s="6"/>
      <c r="N13" s="16"/>
      <c r="O13" s="6"/>
      <c r="P13" s="3"/>
      <c r="Q13" s="3"/>
      <c r="R13" s="3"/>
      <c r="S13" s="51"/>
      <c r="T13" s="40"/>
      <c r="U13" s="5"/>
    </row>
    <row r="14" spans="2:28" x14ac:dyDescent="0.4">
      <c r="B14" s="40"/>
      <c r="C14" s="5"/>
      <c r="D14" s="6"/>
      <c r="E14" s="6"/>
      <c r="F14" s="30"/>
      <c r="G14" s="36"/>
      <c r="H14" s="16"/>
      <c r="I14" s="16"/>
      <c r="J14" s="16"/>
      <c r="K14" s="3"/>
      <c r="L14" s="3"/>
      <c r="M14" s="6"/>
      <c r="N14" s="16"/>
      <c r="O14" s="6"/>
      <c r="P14" s="3"/>
      <c r="Q14" s="3"/>
      <c r="R14" s="3"/>
      <c r="T14" s="40"/>
      <c r="U14" s="5"/>
    </row>
    <row r="15" spans="2:28" x14ac:dyDescent="0.4">
      <c r="B15" s="40"/>
      <c r="C15" s="5"/>
      <c r="D15" s="6"/>
      <c r="E15" s="6"/>
      <c r="F15" s="30"/>
      <c r="G15" s="36"/>
      <c r="H15" s="16"/>
      <c r="I15" s="16"/>
      <c r="J15" s="16"/>
      <c r="K15" s="3"/>
      <c r="L15" s="3"/>
      <c r="M15" s="6"/>
      <c r="N15" s="16"/>
      <c r="O15" s="6"/>
      <c r="P15" s="3"/>
      <c r="Q15" s="3"/>
      <c r="R15" s="3"/>
      <c r="T15" s="40"/>
      <c r="U15" s="5"/>
    </row>
    <row r="16" spans="2:28" x14ac:dyDescent="0.4">
      <c r="B16" s="40"/>
      <c r="C16" s="5"/>
      <c r="D16" s="6"/>
      <c r="E16" s="6"/>
      <c r="F16" s="30"/>
      <c r="G16" s="36"/>
      <c r="H16" s="16"/>
      <c r="I16" s="16"/>
      <c r="J16" s="16"/>
      <c r="K16" s="3"/>
      <c r="L16" s="3"/>
      <c r="M16" s="6"/>
      <c r="N16" s="16"/>
      <c r="O16" s="6"/>
      <c r="P16" s="3"/>
      <c r="Q16" s="3"/>
      <c r="R16" s="3"/>
      <c r="T16" s="40"/>
      <c r="U16" s="5"/>
    </row>
    <row r="17" spans="2:23" x14ac:dyDescent="0.4">
      <c r="B17" s="40"/>
      <c r="C17" s="5"/>
      <c r="D17" s="6"/>
      <c r="E17" s="6"/>
      <c r="F17" s="30"/>
      <c r="G17" s="36"/>
      <c r="H17" s="16"/>
      <c r="I17" s="16"/>
      <c r="J17" s="16"/>
      <c r="K17" s="3"/>
      <c r="L17" s="3"/>
      <c r="M17" s="6"/>
      <c r="N17" s="16"/>
      <c r="O17" s="6"/>
      <c r="P17" s="3"/>
      <c r="Q17" s="3"/>
      <c r="R17" s="3"/>
      <c r="T17" s="40"/>
      <c r="U17" s="5"/>
      <c r="W17" s="49"/>
    </row>
    <row r="18" spans="2:23" x14ac:dyDescent="0.4">
      <c r="B18" s="40"/>
      <c r="C18" s="5"/>
      <c r="D18" s="6"/>
      <c r="E18" s="6"/>
      <c r="F18" s="30"/>
      <c r="G18" s="36"/>
      <c r="H18" s="16"/>
      <c r="I18" s="16"/>
      <c r="J18" s="16"/>
      <c r="K18" s="3"/>
      <c r="L18" s="3"/>
      <c r="M18" s="6"/>
      <c r="N18" s="16"/>
      <c r="O18" s="6"/>
      <c r="P18" s="3"/>
      <c r="Q18" s="3"/>
      <c r="R18" s="3"/>
      <c r="T18" s="40"/>
      <c r="U18" s="5"/>
    </row>
    <row r="19" spans="2:23" ht="13.25" customHeight="1" x14ac:dyDescent="0.4">
      <c r="B19" s="40"/>
      <c r="C19" s="5"/>
      <c r="D19" s="6"/>
      <c r="E19" s="6"/>
      <c r="F19" s="30"/>
      <c r="G19" s="36"/>
      <c r="H19" s="16"/>
      <c r="I19" s="16"/>
      <c r="J19" s="16"/>
      <c r="K19" s="3"/>
      <c r="L19" s="3"/>
      <c r="M19" s="6"/>
      <c r="N19" s="16"/>
      <c r="O19" s="6"/>
      <c r="P19" s="3"/>
      <c r="Q19" s="3"/>
      <c r="R19" s="3"/>
      <c r="T19" s="40"/>
      <c r="U19" s="5"/>
      <c r="W19" s="57"/>
    </row>
    <row r="20" spans="2:23" ht="14.25" x14ac:dyDescent="0.45">
      <c r="B20" s="40"/>
      <c r="C20" s="5"/>
      <c r="D20" s="6"/>
      <c r="E20" s="6"/>
      <c r="F20" s="30"/>
      <c r="G20" s="36"/>
      <c r="H20" s="16"/>
      <c r="I20" s="16"/>
      <c r="J20" s="16"/>
      <c r="K20" s="3"/>
      <c r="L20" s="3"/>
      <c r="M20" s="6"/>
      <c r="N20" s="16"/>
      <c r="O20" s="6"/>
      <c r="P20" s="3"/>
      <c r="Q20" s="3"/>
      <c r="R20" s="3"/>
      <c r="T20" s="40"/>
      <c r="U20" s="5"/>
      <c r="W20"/>
    </row>
    <row r="21" spans="2:23" x14ac:dyDescent="0.4">
      <c r="B21" s="40"/>
      <c r="C21" s="5"/>
      <c r="D21" s="6"/>
      <c r="E21" s="6"/>
      <c r="F21" s="30"/>
      <c r="G21" s="36"/>
      <c r="H21" s="16"/>
      <c r="I21" s="16"/>
      <c r="J21" s="16"/>
      <c r="K21" s="3"/>
      <c r="L21" s="3"/>
      <c r="M21" s="6"/>
      <c r="N21" s="16"/>
      <c r="O21" s="6"/>
      <c r="P21" s="3"/>
      <c r="Q21" s="3"/>
      <c r="R21" s="3"/>
      <c r="T21" s="40"/>
      <c r="U21" s="5"/>
    </row>
    <row r="22" spans="2:23" x14ac:dyDescent="0.4">
      <c r="B22" s="40"/>
      <c r="C22" s="5"/>
      <c r="D22" s="6"/>
      <c r="E22" s="6"/>
      <c r="F22" s="30"/>
      <c r="G22" s="36"/>
      <c r="H22" s="16"/>
      <c r="I22" s="16"/>
      <c r="J22" s="16"/>
      <c r="K22" s="3"/>
      <c r="L22" s="3"/>
      <c r="M22" s="6"/>
      <c r="N22" s="16"/>
      <c r="O22" s="6"/>
      <c r="P22" s="3"/>
      <c r="Q22" s="3"/>
      <c r="R22" s="3"/>
      <c r="T22" s="40"/>
      <c r="U22" s="5"/>
    </row>
    <row r="23" spans="2:23" x14ac:dyDescent="0.4">
      <c r="B23" s="40"/>
      <c r="C23" s="5"/>
      <c r="D23" s="6"/>
      <c r="E23" s="6"/>
      <c r="F23" s="30"/>
      <c r="G23" s="36"/>
      <c r="H23" s="16"/>
      <c r="I23" s="16"/>
      <c r="J23" s="16"/>
      <c r="K23" s="3"/>
      <c r="L23" s="3"/>
      <c r="M23" s="6"/>
      <c r="N23" s="16"/>
      <c r="O23" s="6"/>
      <c r="P23" s="3"/>
      <c r="Q23" s="3"/>
      <c r="R23" s="3"/>
      <c r="T23" s="40"/>
      <c r="U23" s="5"/>
    </row>
    <row r="24" spans="2:23" x14ac:dyDescent="0.4">
      <c r="B24" s="40"/>
      <c r="C24" s="5"/>
      <c r="D24" s="6"/>
      <c r="E24" s="6"/>
      <c r="F24" s="30"/>
      <c r="G24" s="36"/>
      <c r="H24" s="16"/>
      <c r="I24" s="16"/>
      <c r="J24" s="16"/>
      <c r="K24" s="3"/>
      <c r="L24" s="3"/>
      <c r="M24" s="6"/>
      <c r="N24" s="16"/>
      <c r="O24" s="6"/>
      <c r="P24" s="3"/>
      <c r="Q24" s="3"/>
      <c r="R24" s="3"/>
      <c r="T24" s="40"/>
      <c r="U24" s="5"/>
      <c r="W24" s="60"/>
    </row>
    <row r="25" spans="2:23" x14ac:dyDescent="0.4">
      <c r="B25" s="40"/>
      <c r="C25" s="5"/>
      <c r="D25" s="6"/>
      <c r="E25" s="6"/>
      <c r="F25" s="30"/>
      <c r="G25" s="36"/>
      <c r="H25" s="16"/>
      <c r="I25" s="16"/>
      <c r="J25" s="16"/>
      <c r="K25" s="3"/>
      <c r="L25" s="3"/>
      <c r="M25" s="6"/>
      <c r="N25" s="16"/>
      <c r="O25" s="6"/>
      <c r="P25" s="3"/>
      <c r="Q25" s="3"/>
      <c r="R25" s="3"/>
      <c r="T25" s="40"/>
      <c r="U25" s="5"/>
    </row>
    <row r="26" spans="2:23" x14ac:dyDescent="0.4">
      <c r="B26" s="40"/>
      <c r="C26" s="5"/>
      <c r="D26" s="6"/>
      <c r="E26" s="6"/>
      <c r="F26" s="30"/>
      <c r="G26" s="36"/>
      <c r="H26" s="16"/>
      <c r="I26" s="16"/>
      <c r="J26" s="16"/>
      <c r="K26" s="3"/>
      <c r="L26" s="3"/>
      <c r="M26" s="6"/>
      <c r="N26" s="16"/>
      <c r="O26" s="6"/>
      <c r="P26" s="3"/>
      <c r="Q26" s="3"/>
      <c r="R26" s="3"/>
      <c r="T26" s="40"/>
      <c r="U26" s="5"/>
    </row>
    <row r="27" spans="2:23" x14ac:dyDescent="0.4">
      <c r="B27" s="40"/>
      <c r="C27" s="5"/>
      <c r="D27" s="6"/>
      <c r="E27" s="6"/>
      <c r="F27" s="30"/>
      <c r="G27" s="36"/>
      <c r="H27" s="16"/>
      <c r="I27" s="16"/>
      <c r="J27" s="16"/>
      <c r="K27" s="3"/>
      <c r="L27" s="3"/>
      <c r="M27" s="6"/>
      <c r="N27" s="16"/>
      <c r="O27" s="6"/>
      <c r="P27" s="3"/>
      <c r="Q27" s="3"/>
      <c r="R27" s="3"/>
      <c r="T27" s="40"/>
      <c r="U27" s="5"/>
    </row>
    <row r="28" spans="2:23" x14ac:dyDescent="0.4">
      <c r="B28" s="40"/>
      <c r="C28" s="5"/>
      <c r="D28" s="6"/>
      <c r="E28" s="6"/>
      <c r="F28" s="30"/>
      <c r="G28" s="36"/>
      <c r="H28" s="16"/>
      <c r="I28" s="64"/>
      <c r="J28" s="16"/>
      <c r="K28" s="3"/>
      <c r="L28" s="3"/>
      <c r="M28" s="6"/>
      <c r="N28" s="16"/>
      <c r="O28" s="6"/>
      <c r="P28" s="3"/>
      <c r="Q28" s="3"/>
      <c r="R28" s="3"/>
      <c r="T28" s="40"/>
      <c r="U28" s="5"/>
    </row>
    <row r="29" spans="2:23" x14ac:dyDescent="0.4">
      <c r="B29" s="40"/>
      <c r="C29" s="5"/>
      <c r="D29" s="6"/>
      <c r="E29" s="6"/>
      <c r="F29" s="30"/>
      <c r="G29" s="36"/>
      <c r="H29" s="16"/>
      <c r="I29" s="64"/>
      <c r="J29" s="16"/>
      <c r="K29" s="3"/>
      <c r="L29" s="3"/>
      <c r="M29" s="6"/>
      <c r="N29" s="16"/>
      <c r="O29" s="6"/>
      <c r="P29" s="3"/>
      <c r="Q29" s="3"/>
      <c r="R29" s="3"/>
      <c r="T29" s="40"/>
      <c r="U29" s="5"/>
    </row>
    <row r="30" spans="2:23" x14ac:dyDescent="0.4">
      <c r="B30" s="40"/>
      <c r="C30" s="5"/>
      <c r="D30" s="6"/>
      <c r="E30" s="6"/>
      <c r="F30" s="30"/>
      <c r="G30" s="36"/>
      <c r="H30" s="16"/>
      <c r="I30" s="16"/>
      <c r="J30" s="16"/>
      <c r="K30" s="3"/>
      <c r="L30" s="3"/>
      <c r="M30" s="6"/>
      <c r="N30" s="16"/>
      <c r="O30" s="6"/>
      <c r="P30" s="3"/>
      <c r="Q30" s="3"/>
      <c r="R30" s="3"/>
      <c r="T30" s="40"/>
      <c r="U30" s="5"/>
      <c r="W30" s="60"/>
    </row>
    <row r="31" spans="2:23" x14ac:dyDescent="0.4">
      <c r="B31" s="40"/>
      <c r="C31" s="5"/>
      <c r="D31" s="6"/>
      <c r="E31" s="6"/>
      <c r="F31" s="30"/>
      <c r="G31" s="36"/>
      <c r="H31" s="16"/>
      <c r="I31" s="16"/>
      <c r="J31" s="16"/>
      <c r="K31" s="3"/>
      <c r="L31" s="3"/>
      <c r="M31" s="6"/>
      <c r="N31" s="16"/>
      <c r="O31" s="6"/>
      <c r="P31" s="3"/>
      <c r="Q31" s="3"/>
      <c r="R31" s="3"/>
      <c r="T31" s="40"/>
      <c r="U31" s="5"/>
    </row>
    <row r="32" spans="2:23" x14ac:dyDescent="0.4">
      <c r="B32" s="40"/>
      <c r="C32" s="5"/>
      <c r="D32" s="6"/>
      <c r="E32" s="6"/>
      <c r="F32" s="30"/>
      <c r="G32" s="36"/>
      <c r="H32" s="16"/>
      <c r="I32" s="64"/>
      <c r="J32" s="16"/>
      <c r="K32" s="3"/>
      <c r="L32" s="3"/>
      <c r="M32" s="6"/>
      <c r="N32" s="16"/>
      <c r="O32" s="6"/>
      <c r="P32" s="3"/>
      <c r="Q32" s="3"/>
      <c r="R32" s="3"/>
      <c r="T32" s="40"/>
      <c r="U32" s="5"/>
    </row>
    <row r="33" spans="2:23" x14ac:dyDescent="0.4">
      <c r="B33" s="40"/>
      <c r="C33" s="5"/>
      <c r="D33" s="6"/>
      <c r="E33" s="6"/>
      <c r="F33" s="30"/>
      <c r="G33" s="36"/>
      <c r="H33" s="16"/>
      <c r="I33" s="16"/>
      <c r="J33" s="16"/>
      <c r="K33" s="3"/>
      <c r="L33" s="3"/>
      <c r="M33" s="6"/>
      <c r="N33" s="16"/>
      <c r="O33" s="6"/>
      <c r="P33" s="3"/>
      <c r="Q33" s="3"/>
      <c r="R33" s="3"/>
      <c r="T33" s="40"/>
      <c r="U33" s="5"/>
    </row>
    <row r="34" spans="2:23" x14ac:dyDescent="0.4">
      <c r="B34" s="40"/>
      <c r="C34" s="5"/>
      <c r="D34" s="6"/>
      <c r="E34" s="6"/>
      <c r="F34" s="30"/>
      <c r="G34" s="36"/>
      <c r="H34" s="16"/>
      <c r="I34" s="16"/>
      <c r="J34" s="16"/>
      <c r="K34" s="3"/>
      <c r="L34" s="3"/>
      <c r="M34" s="6"/>
      <c r="N34" s="16"/>
      <c r="O34" s="6"/>
      <c r="P34" s="3"/>
      <c r="Q34" s="3"/>
      <c r="R34" s="3"/>
      <c r="T34" s="40"/>
      <c r="U34" s="5"/>
    </row>
    <row r="35" spans="2:23" x14ac:dyDescent="0.4">
      <c r="B35" s="40"/>
      <c r="C35" s="5"/>
      <c r="D35" s="6"/>
      <c r="E35" s="6"/>
      <c r="F35" s="30"/>
      <c r="G35" s="36"/>
      <c r="H35" s="16"/>
      <c r="I35" s="16"/>
      <c r="J35" s="16"/>
      <c r="K35" s="3"/>
      <c r="L35" s="3"/>
      <c r="M35" s="6"/>
      <c r="N35" s="16"/>
      <c r="O35" s="6"/>
      <c r="P35" s="3"/>
      <c r="Q35" s="3"/>
      <c r="R35" s="3"/>
      <c r="T35" s="40"/>
      <c r="U35" s="5"/>
    </row>
    <row r="36" spans="2:23" x14ac:dyDescent="0.4">
      <c r="B36" s="40"/>
      <c r="C36" s="5"/>
      <c r="D36" s="6"/>
      <c r="E36" s="6"/>
      <c r="F36" s="30"/>
      <c r="G36" s="36"/>
      <c r="H36" s="16"/>
      <c r="I36" s="16"/>
      <c r="J36" s="16"/>
      <c r="K36" s="3"/>
      <c r="L36" s="3"/>
      <c r="M36" s="6"/>
      <c r="N36" s="16"/>
      <c r="O36" s="6"/>
      <c r="P36" s="3"/>
      <c r="Q36" s="3"/>
      <c r="R36" s="3"/>
      <c r="T36" s="40"/>
      <c r="U36" s="5"/>
    </row>
    <row r="37" spans="2:23" x14ac:dyDescent="0.4">
      <c r="B37" s="40"/>
      <c r="C37" s="5"/>
      <c r="D37" s="6"/>
      <c r="E37" s="6"/>
      <c r="F37" s="30"/>
      <c r="G37" s="36"/>
      <c r="H37" s="16"/>
      <c r="I37" s="16"/>
      <c r="J37" s="16"/>
      <c r="K37" s="3"/>
      <c r="L37" s="3"/>
      <c r="M37" s="6"/>
      <c r="N37" s="16"/>
      <c r="O37" s="6"/>
      <c r="P37" s="3"/>
      <c r="Q37" s="3"/>
      <c r="R37" s="3"/>
      <c r="T37" s="40"/>
      <c r="U37" s="5"/>
    </row>
    <row r="38" spans="2:23" x14ac:dyDescent="0.4">
      <c r="B38" s="40"/>
      <c r="C38" s="5"/>
      <c r="D38" s="6"/>
      <c r="E38" s="6"/>
      <c r="F38" s="30"/>
      <c r="G38" s="36"/>
      <c r="H38" s="16"/>
      <c r="I38" s="16"/>
      <c r="J38" s="16"/>
      <c r="K38" s="3"/>
      <c r="L38" s="3"/>
      <c r="M38" s="6"/>
      <c r="N38" s="16"/>
      <c r="O38" s="6"/>
      <c r="P38" s="3"/>
      <c r="Q38" s="3"/>
      <c r="R38" s="3"/>
      <c r="T38" s="40"/>
      <c r="U38" s="5"/>
    </row>
    <row r="39" spans="2:23" x14ac:dyDescent="0.4">
      <c r="B39" s="40"/>
      <c r="C39" s="5"/>
      <c r="D39" s="6"/>
      <c r="E39" s="6"/>
      <c r="F39" s="30"/>
      <c r="G39" s="36"/>
      <c r="H39" s="16"/>
      <c r="I39" s="16"/>
      <c r="J39" s="16"/>
      <c r="K39" s="3"/>
      <c r="L39" s="3"/>
      <c r="M39" s="6"/>
      <c r="N39" s="16"/>
      <c r="O39" s="6"/>
      <c r="P39" s="3"/>
      <c r="Q39" s="3"/>
      <c r="R39" s="3"/>
      <c r="T39" s="40"/>
      <c r="U39" s="5"/>
    </row>
    <row r="40" spans="2:23" x14ac:dyDescent="0.4">
      <c r="B40" s="40"/>
      <c r="C40" s="5"/>
      <c r="D40" s="6"/>
      <c r="E40" s="6"/>
      <c r="F40" s="30"/>
      <c r="G40" s="36"/>
      <c r="H40" s="16"/>
      <c r="I40" s="16"/>
      <c r="J40" s="16"/>
      <c r="K40" s="3"/>
      <c r="L40" s="3"/>
      <c r="M40" s="6"/>
      <c r="N40" s="16"/>
      <c r="O40" s="6"/>
      <c r="P40" s="3"/>
      <c r="Q40" s="3"/>
      <c r="R40" s="3"/>
      <c r="T40" s="40"/>
      <c r="U40" s="5"/>
    </row>
    <row r="41" spans="2:23" x14ac:dyDescent="0.4">
      <c r="B41" s="40"/>
      <c r="C41" s="5"/>
      <c r="D41" s="6"/>
      <c r="E41" s="6"/>
      <c r="F41" s="30"/>
      <c r="G41" s="36"/>
      <c r="H41" s="16"/>
      <c r="I41" s="16"/>
      <c r="J41" s="16"/>
      <c r="K41" s="3"/>
      <c r="L41" s="3"/>
      <c r="M41" s="6"/>
      <c r="N41" s="16"/>
      <c r="O41" s="6"/>
      <c r="P41" s="3"/>
      <c r="Q41" s="3"/>
      <c r="R41" s="3"/>
      <c r="T41" s="40"/>
      <c r="U41" s="5"/>
    </row>
    <row r="42" spans="2:23" x14ac:dyDescent="0.4">
      <c r="B42" s="40"/>
      <c r="C42" s="5"/>
      <c r="D42" s="6"/>
      <c r="E42" s="6"/>
      <c r="F42" s="30"/>
      <c r="G42" s="36"/>
      <c r="H42" s="16"/>
      <c r="I42" s="16"/>
      <c r="J42" s="16"/>
      <c r="K42" s="3"/>
      <c r="L42" s="3"/>
      <c r="M42" s="6"/>
      <c r="N42" s="16"/>
      <c r="O42" s="6"/>
      <c r="P42" s="3"/>
      <c r="Q42" s="3"/>
      <c r="R42" s="3"/>
      <c r="T42" s="40"/>
      <c r="U42" s="5"/>
    </row>
    <row r="43" spans="2:23" x14ac:dyDescent="0.4">
      <c r="B43" s="40"/>
      <c r="C43" s="5"/>
      <c r="D43" s="6"/>
      <c r="E43" s="6"/>
      <c r="F43" s="30"/>
      <c r="G43" s="36"/>
      <c r="H43" s="16"/>
      <c r="I43" s="16"/>
      <c r="J43" s="16"/>
      <c r="K43" s="3"/>
      <c r="L43" s="3"/>
      <c r="M43" s="6"/>
      <c r="N43" s="16"/>
      <c r="O43" s="6"/>
      <c r="P43" s="3"/>
      <c r="Q43" s="3"/>
      <c r="R43" s="3"/>
      <c r="T43" s="40"/>
      <c r="U43" s="5"/>
      <c r="W43" s="57"/>
    </row>
    <row r="44" spans="2:23" x14ac:dyDescent="0.4">
      <c r="B44" s="40"/>
      <c r="C44" s="5"/>
      <c r="D44" s="6"/>
      <c r="E44" s="6"/>
      <c r="F44" s="30"/>
      <c r="G44" s="36"/>
      <c r="H44" s="16"/>
      <c r="I44" s="16"/>
      <c r="J44" s="16"/>
      <c r="K44" s="3"/>
      <c r="L44" s="3"/>
      <c r="M44" s="6"/>
      <c r="N44" s="16"/>
      <c r="O44" s="6"/>
      <c r="P44" s="3"/>
      <c r="Q44" s="3"/>
      <c r="R44" s="3"/>
      <c r="T44" s="40"/>
      <c r="U44" s="5"/>
    </row>
    <row r="45" spans="2:23" x14ac:dyDescent="0.4">
      <c r="B45" s="40"/>
      <c r="C45" s="5"/>
      <c r="D45" s="6"/>
      <c r="E45" s="6"/>
      <c r="F45" s="30"/>
      <c r="G45" s="36"/>
      <c r="H45" s="16"/>
      <c r="I45" s="16"/>
      <c r="J45" s="16"/>
      <c r="K45" s="3"/>
      <c r="L45" s="3"/>
      <c r="M45" s="6"/>
      <c r="N45" s="16"/>
      <c r="O45" s="6"/>
      <c r="P45" s="3"/>
      <c r="Q45" s="3"/>
      <c r="R45" s="3"/>
      <c r="T45" s="40"/>
      <c r="U45" s="5"/>
    </row>
    <row r="46" spans="2:23" x14ac:dyDescent="0.4">
      <c r="B46" s="40"/>
      <c r="C46" s="5"/>
      <c r="D46" s="6"/>
      <c r="E46" s="6"/>
      <c r="F46" s="30"/>
      <c r="G46" s="36"/>
      <c r="H46" s="16"/>
      <c r="I46" s="16"/>
      <c r="J46" s="16"/>
      <c r="K46" s="3"/>
      <c r="L46" s="3"/>
      <c r="M46" s="6"/>
      <c r="N46" s="16"/>
      <c r="O46" s="6"/>
      <c r="P46" s="3"/>
      <c r="Q46" s="3"/>
      <c r="R46" s="3"/>
      <c r="T46" s="40"/>
      <c r="U46" s="5"/>
    </row>
    <row r="47" spans="2:23" x14ac:dyDescent="0.4">
      <c r="B47" s="40"/>
      <c r="C47" s="5"/>
      <c r="D47" s="6"/>
      <c r="E47" s="6"/>
      <c r="F47" s="30"/>
      <c r="G47" s="36"/>
      <c r="H47" s="16"/>
      <c r="I47" s="16"/>
      <c r="J47" s="16"/>
      <c r="K47" s="3"/>
      <c r="L47" s="3"/>
      <c r="M47" s="6"/>
      <c r="N47" s="16"/>
      <c r="O47" s="6"/>
      <c r="P47" s="3"/>
      <c r="Q47" s="3"/>
      <c r="R47" s="3"/>
      <c r="T47" s="40"/>
      <c r="U47" s="5"/>
    </row>
    <row r="48" spans="2:23" x14ac:dyDescent="0.4">
      <c r="B48" s="40"/>
      <c r="C48" s="5"/>
      <c r="D48" s="6"/>
      <c r="E48" s="6"/>
      <c r="F48" s="30"/>
      <c r="G48" s="36"/>
      <c r="H48" s="16"/>
      <c r="I48" s="16"/>
      <c r="J48" s="16"/>
      <c r="K48" s="3"/>
      <c r="L48" s="3"/>
      <c r="M48" s="6"/>
      <c r="N48" s="16"/>
      <c r="O48" s="6"/>
      <c r="P48" s="3"/>
      <c r="Q48" s="3"/>
      <c r="R48" s="3"/>
      <c r="T48" s="40"/>
      <c r="U48" s="5"/>
    </row>
    <row r="49" spans="2:21" x14ac:dyDescent="0.4">
      <c r="B49" s="40"/>
      <c r="C49" s="5"/>
      <c r="D49" s="6"/>
      <c r="E49" s="6"/>
      <c r="F49" s="30"/>
      <c r="G49" s="36"/>
      <c r="H49" s="16"/>
      <c r="I49" s="16"/>
      <c r="J49" s="16"/>
      <c r="K49" s="3"/>
      <c r="L49" s="3"/>
      <c r="M49" s="6"/>
      <c r="N49" s="16"/>
      <c r="O49" s="6"/>
      <c r="P49" s="3"/>
      <c r="Q49" s="3"/>
      <c r="R49" s="3"/>
      <c r="T49" s="40"/>
      <c r="U49" s="5"/>
    </row>
    <row r="50" spans="2:21" x14ac:dyDescent="0.4">
      <c r="B50" s="40"/>
      <c r="C50" s="5"/>
      <c r="D50" s="6"/>
      <c r="E50" s="6"/>
      <c r="F50" s="30"/>
      <c r="G50" s="36"/>
      <c r="H50" s="16"/>
      <c r="I50" s="16"/>
      <c r="J50" s="16"/>
      <c r="K50" s="3"/>
      <c r="L50" s="3"/>
      <c r="M50" s="6"/>
      <c r="N50" s="16"/>
      <c r="O50" s="6"/>
      <c r="P50" s="3"/>
      <c r="Q50" s="3"/>
      <c r="R50" s="3"/>
      <c r="T50" s="40"/>
      <c r="U50" s="5"/>
    </row>
    <row r="51" spans="2:21" x14ac:dyDescent="0.4">
      <c r="B51" s="40"/>
      <c r="C51" s="5"/>
      <c r="D51" s="6"/>
      <c r="E51" s="6"/>
      <c r="F51" s="30"/>
      <c r="G51" s="36"/>
      <c r="H51" s="16"/>
      <c r="I51" s="16"/>
      <c r="J51" s="16"/>
      <c r="K51" s="3"/>
      <c r="L51" s="3"/>
      <c r="M51" s="6"/>
      <c r="N51" s="16"/>
      <c r="O51" s="6"/>
      <c r="P51" s="3"/>
      <c r="Q51" s="3"/>
      <c r="R51" s="3"/>
      <c r="T51" s="40"/>
      <c r="U51" s="5"/>
    </row>
    <row r="52" spans="2:21" x14ac:dyDescent="0.4">
      <c r="B52" s="40"/>
      <c r="C52" s="5"/>
      <c r="D52" s="6"/>
      <c r="E52" s="6"/>
      <c r="F52" s="30"/>
      <c r="G52" s="36"/>
      <c r="H52" s="16"/>
      <c r="I52" s="16"/>
      <c r="J52" s="16"/>
      <c r="K52" s="3"/>
      <c r="L52" s="3"/>
      <c r="M52" s="6"/>
      <c r="N52" s="16"/>
      <c r="O52" s="6"/>
      <c r="P52" s="3"/>
      <c r="Q52" s="3"/>
      <c r="R52" s="3"/>
      <c r="T52" s="40"/>
      <c r="U52" s="5"/>
    </row>
    <row r="53" spans="2:21" x14ac:dyDescent="0.4">
      <c r="B53" s="40"/>
      <c r="C53" s="5"/>
      <c r="D53" s="6"/>
      <c r="E53" s="6"/>
      <c r="F53" s="30"/>
      <c r="G53" s="36"/>
      <c r="H53" s="16"/>
      <c r="I53" s="16"/>
      <c r="J53" s="16"/>
      <c r="K53" s="3"/>
      <c r="L53" s="3"/>
      <c r="M53" s="6"/>
      <c r="N53" s="16"/>
      <c r="O53" s="6"/>
      <c r="P53" s="3"/>
      <c r="Q53" s="3"/>
      <c r="R53" s="3"/>
      <c r="T53" s="40"/>
      <c r="U53" s="5"/>
    </row>
    <row r="54" spans="2:21" x14ac:dyDescent="0.4">
      <c r="B54" s="40"/>
      <c r="C54" s="5"/>
      <c r="D54" s="6"/>
      <c r="E54" s="6"/>
      <c r="F54" s="30"/>
      <c r="G54" s="36"/>
      <c r="H54" s="16"/>
      <c r="I54" s="16"/>
      <c r="J54" s="16"/>
      <c r="K54" s="3"/>
      <c r="L54" s="3"/>
      <c r="M54" s="6"/>
      <c r="N54" s="16"/>
      <c r="O54" s="6"/>
      <c r="P54" s="3"/>
      <c r="Q54" s="3"/>
      <c r="R54" s="3"/>
      <c r="T54" s="40"/>
      <c r="U54" s="5"/>
    </row>
    <row r="55" spans="2:21" x14ac:dyDescent="0.4">
      <c r="B55" s="40"/>
      <c r="C55" s="5"/>
      <c r="D55" s="6"/>
      <c r="E55" s="6"/>
      <c r="F55" s="30"/>
      <c r="G55" s="36"/>
      <c r="H55" s="16"/>
      <c r="I55" s="16"/>
      <c r="J55" s="16"/>
      <c r="K55" s="3"/>
      <c r="L55" s="3"/>
      <c r="M55" s="6"/>
      <c r="N55" s="16"/>
      <c r="O55" s="6"/>
      <c r="P55" s="3"/>
      <c r="Q55" s="3"/>
      <c r="R55" s="3"/>
      <c r="T55" s="40"/>
      <c r="U55" s="5"/>
    </row>
    <row r="56" spans="2:21" x14ac:dyDescent="0.4">
      <c r="B56" s="40"/>
      <c r="C56" s="5"/>
      <c r="D56" s="6"/>
      <c r="E56" s="6"/>
      <c r="F56" s="30"/>
      <c r="G56" s="36"/>
      <c r="H56" s="16"/>
      <c r="I56" s="16"/>
      <c r="J56" s="16"/>
      <c r="K56" s="3"/>
      <c r="L56" s="3"/>
      <c r="M56" s="6"/>
      <c r="N56" s="16"/>
      <c r="O56" s="6"/>
      <c r="P56" s="3"/>
      <c r="Q56" s="3"/>
      <c r="R56" s="3"/>
      <c r="T56" s="40"/>
      <c r="U56" s="5"/>
    </row>
    <row r="57" spans="2:21" x14ac:dyDescent="0.4">
      <c r="B57" s="40"/>
      <c r="C57" s="5"/>
      <c r="D57" s="6"/>
      <c r="E57" s="6"/>
      <c r="F57" s="30"/>
      <c r="G57" s="36"/>
      <c r="H57" s="16"/>
      <c r="I57" s="16"/>
      <c r="J57" s="16"/>
      <c r="K57" s="3"/>
      <c r="L57" s="3"/>
      <c r="M57" s="6"/>
      <c r="N57" s="16"/>
      <c r="O57" s="6"/>
      <c r="P57" s="3"/>
      <c r="Q57" s="3"/>
      <c r="R57" s="3"/>
      <c r="T57" s="40"/>
      <c r="U57" s="5"/>
    </row>
    <row r="58" spans="2:21" x14ac:dyDescent="0.4">
      <c r="B58" s="40"/>
      <c r="C58" s="5"/>
      <c r="D58" s="6"/>
      <c r="E58" s="6"/>
      <c r="F58" s="30"/>
      <c r="G58" s="36"/>
      <c r="H58" s="16"/>
      <c r="I58" s="16"/>
      <c r="J58" s="16"/>
      <c r="K58" s="3"/>
      <c r="L58" s="3"/>
      <c r="M58" s="6"/>
      <c r="N58" s="16"/>
      <c r="O58" s="6"/>
      <c r="P58" s="3"/>
      <c r="Q58" s="3"/>
      <c r="R58" s="3"/>
      <c r="T58" s="40"/>
      <c r="U58" s="5"/>
    </row>
    <row r="59" spans="2:21" x14ac:dyDescent="0.4">
      <c r="B59" s="40"/>
      <c r="C59" s="5"/>
      <c r="D59" s="6"/>
      <c r="E59" s="6"/>
      <c r="F59" s="30"/>
      <c r="G59" s="36"/>
      <c r="H59" s="16"/>
      <c r="I59" s="16"/>
      <c r="J59" s="16"/>
      <c r="K59" s="3"/>
      <c r="L59" s="3"/>
      <c r="M59" s="6"/>
      <c r="N59" s="16"/>
      <c r="O59" s="6"/>
      <c r="P59" s="3"/>
      <c r="Q59" s="3"/>
      <c r="R59" s="3"/>
      <c r="T59" s="40"/>
      <c r="U59" s="5"/>
    </row>
    <row r="60" spans="2:21" x14ac:dyDescent="0.4">
      <c r="B60" s="40"/>
      <c r="C60" s="5"/>
      <c r="D60" s="6"/>
      <c r="E60" s="6"/>
      <c r="F60" s="30"/>
      <c r="G60" s="36"/>
      <c r="H60" s="16"/>
      <c r="I60" s="16"/>
      <c r="J60" s="16"/>
      <c r="K60" s="3"/>
      <c r="L60" s="3"/>
      <c r="M60" s="6"/>
      <c r="N60" s="16"/>
      <c r="O60" s="6"/>
      <c r="P60" s="3"/>
      <c r="Q60" s="3"/>
      <c r="R60" s="3"/>
      <c r="T60" s="40"/>
      <c r="U60" s="5"/>
    </row>
  </sheetData>
  <pageMargins left="0.23622047244094491" right="0.23622047244094491" top="0.74803149606299213" bottom="0.74803149606299213" header="0.31496062992125984" footer="0.31496062992125984"/>
  <pageSetup paperSize="9" scale="60" orientation="landscape" r:id="rId1"/>
  <colBreaks count="2" manualBreakCount="2">
    <brk id="19" max="54" man="1"/>
    <brk id="24" max="4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B25B-F7BD-43F1-9E75-AF200A7D853D}">
  <sheetPr>
    <pageSetUpPr fitToPage="1"/>
  </sheetPr>
  <dimension ref="A1"/>
  <sheetViews>
    <sheetView showGridLines="0" zoomScale="90" zoomScaleNormal="90" workbookViewId="0"/>
  </sheetViews>
  <sheetFormatPr defaultRowHeight="13.15" x14ac:dyDescent="0.4"/>
  <cols>
    <col min="1" max="16384" width="9.06640625" style="1"/>
  </cols>
  <sheetData/>
  <pageMargins left="0.23622047244094491" right="0.23622047244094491" top="0.74803149606299213" bottom="0.74803149606299213" header="0.31496062992125984" footer="0.31496062992125984"/>
  <pageSetup paperSize="9" scale="7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0B21-091C-4007-AD49-B9DC477FBC57}">
  <dimension ref="B2:R43"/>
  <sheetViews>
    <sheetView showGridLines="0" zoomScale="90" zoomScaleNormal="90" workbookViewId="0">
      <selection activeCell="B1" sqref="B1"/>
    </sheetView>
  </sheetViews>
  <sheetFormatPr defaultRowHeight="13.15" x14ac:dyDescent="0.4"/>
  <cols>
    <col min="1" max="1" width="5.6640625" style="1" customWidth="1"/>
    <col min="2" max="6" width="9.06640625" style="1"/>
    <col min="7" max="7" width="11.06640625" style="1" bestFit="1" customWidth="1"/>
    <col min="8" max="10" width="9.06640625" style="1"/>
    <col min="11" max="11" width="11.796875" style="1" bestFit="1" customWidth="1"/>
    <col min="12" max="12" width="15.53125" style="1" bestFit="1" customWidth="1"/>
    <col min="13" max="13" width="9.06640625" style="1"/>
    <col min="14" max="14" width="13.33203125" style="1" bestFit="1" customWidth="1"/>
    <col min="15" max="16384" width="9.06640625" style="1"/>
  </cols>
  <sheetData>
    <row r="2" spans="2:18" x14ac:dyDescent="0.4">
      <c r="B2" s="2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150</v>
      </c>
      <c r="H2" s="4" t="s">
        <v>18</v>
      </c>
      <c r="I2" s="4" t="s">
        <v>149</v>
      </c>
      <c r="J2" s="4" t="s">
        <v>95</v>
      </c>
      <c r="K2" s="4" t="s">
        <v>189</v>
      </c>
      <c r="L2" s="4" t="s">
        <v>190</v>
      </c>
      <c r="N2" s="4" t="s">
        <v>19</v>
      </c>
      <c r="O2" s="4" t="s">
        <v>20</v>
      </c>
      <c r="P2" s="4" t="s">
        <v>16</v>
      </c>
      <c r="Q2" s="4" t="s">
        <v>15</v>
      </c>
      <c r="R2" s="4" t="s">
        <v>17</v>
      </c>
    </row>
    <row r="3" spans="2:18" x14ac:dyDescent="0.4">
      <c r="B3" s="17" t="s">
        <v>4</v>
      </c>
      <c r="C3" s="18">
        <v>100</v>
      </c>
      <c r="D3" s="19">
        <v>42</v>
      </c>
      <c r="E3" s="20">
        <f>$Q$3</f>
        <v>1.5</v>
      </c>
      <c r="F3" s="21">
        <f>$P$3</f>
        <v>1000000</v>
      </c>
      <c r="G3" s="22">
        <f>$R$3</f>
        <v>0.01</v>
      </c>
      <c r="H3" s="23">
        <f t="shared" ref="H3:H36" si="0">(F3*G3)/(C3*D3*E3)</f>
        <v>1.5873015873015872</v>
      </c>
      <c r="I3" s="61">
        <f>ROUND(H3*1.33,0)</f>
        <v>2</v>
      </c>
      <c r="J3" s="61"/>
      <c r="K3" s="61"/>
      <c r="L3" s="61"/>
      <c r="N3" s="18">
        <v>1000000</v>
      </c>
      <c r="O3" s="19">
        <v>1</v>
      </c>
      <c r="P3" s="21">
        <f>N3*O3</f>
        <v>1000000</v>
      </c>
      <c r="Q3" s="24">
        <v>1.5</v>
      </c>
      <c r="R3" s="25">
        <v>0.01</v>
      </c>
    </row>
    <row r="4" spans="2:18" x14ac:dyDescent="0.4">
      <c r="B4" s="17" t="s">
        <v>21</v>
      </c>
      <c r="C4" s="18">
        <v>50</v>
      </c>
      <c r="D4" s="19">
        <v>50.57</v>
      </c>
      <c r="E4" s="20">
        <f t="shared" ref="E4:E43" si="1">$Q$3</f>
        <v>1.5</v>
      </c>
      <c r="F4" s="21">
        <f t="shared" ref="F4:F43" si="2">$P$3</f>
        <v>1000000</v>
      </c>
      <c r="G4" s="22">
        <f t="shared" ref="G4:G43" si="3">$R$3</f>
        <v>0.01</v>
      </c>
      <c r="H4" s="23">
        <f t="shared" si="0"/>
        <v>2.6366093204139478</v>
      </c>
      <c r="I4" s="61">
        <f t="shared" ref="I4:I43" si="4">ROUND(H4*1.33,0)</f>
        <v>4</v>
      </c>
      <c r="J4" s="18">
        <v>5237</v>
      </c>
      <c r="K4" s="3">
        <f>J4*H4*C4/$N$3</f>
        <v>0.69039615055039227</v>
      </c>
      <c r="L4" s="3">
        <f>J4*I4*C4/$N$3</f>
        <v>1.0474000000000001</v>
      </c>
    </row>
    <row r="5" spans="2:18" x14ac:dyDescent="0.4">
      <c r="B5" s="17" t="s">
        <v>22</v>
      </c>
      <c r="C5" s="18">
        <v>20</v>
      </c>
      <c r="D5" s="19">
        <v>248</v>
      </c>
      <c r="E5" s="20">
        <f t="shared" si="1"/>
        <v>1.5</v>
      </c>
      <c r="F5" s="21">
        <f t="shared" si="2"/>
        <v>1000000</v>
      </c>
      <c r="G5" s="22">
        <f t="shared" si="3"/>
        <v>0.01</v>
      </c>
      <c r="H5" s="23">
        <f t="shared" si="0"/>
        <v>1.3440860215053763</v>
      </c>
      <c r="I5" s="61">
        <f t="shared" si="4"/>
        <v>2</v>
      </c>
      <c r="J5" s="18">
        <v>18320</v>
      </c>
      <c r="K5" s="3">
        <f>J5*H5*C5/$N$3</f>
        <v>0.49247311827956985</v>
      </c>
      <c r="L5" s="3">
        <f>J5*I5*C5/$N$3</f>
        <v>0.73280000000000001</v>
      </c>
    </row>
    <row r="6" spans="2:18" x14ac:dyDescent="0.4">
      <c r="B6" s="17" t="s">
        <v>23</v>
      </c>
      <c r="C6" s="18">
        <v>50</v>
      </c>
      <c r="D6" s="19">
        <v>44.2</v>
      </c>
      <c r="E6" s="20">
        <f t="shared" si="1"/>
        <v>1.5</v>
      </c>
      <c r="F6" s="21">
        <f t="shared" si="2"/>
        <v>1000000</v>
      </c>
      <c r="G6" s="22">
        <f t="shared" si="3"/>
        <v>0.01</v>
      </c>
      <c r="H6" s="23">
        <f t="shared" si="0"/>
        <v>3.0165912518853695</v>
      </c>
      <c r="I6" s="61">
        <f t="shared" si="4"/>
        <v>4</v>
      </c>
      <c r="J6" s="61"/>
      <c r="K6" s="61"/>
      <c r="L6" s="61"/>
    </row>
    <row r="7" spans="2:18" x14ac:dyDescent="0.4">
      <c r="B7" s="17" t="s">
        <v>24</v>
      </c>
      <c r="C7" s="18">
        <v>1000</v>
      </c>
      <c r="D7" s="19">
        <v>2.41</v>
      </c>
      <c r="E7" s="20">
        <f t="shared" si="1"/>
        <v>1.5</v>
      </c>
      <c r="F7" s="21">
        <f t="shared" si="2"/>
        <v>1000000</v>
      </c>
      <c r="G7" s="22">
        <f t="shared" si="3"/>
        <v>0.01</v>
      </c>
      <c r="H7" s="23">
        <f t="shared" si="0"/>
        <v>2.7662517289073305</v>
      </c>
      <c r="I7" s="61">
        <f t="shared" si="4"/>
        <v>4</v>
      </c>
      <c r="J7" s="18">
        <v>82</v>
      </c>
      <c r="K7" s="3">
        <f>J7*H7*C7/$N$3</f>
        <v>0.22683264177040111</v>
      </c>
      <c r="L7" s="3">
        <f>J7*I7*C7/$N$3</f>
        <v>0.32800000000000001</v>
      </c>
    </row>
    <row r="8" spans="2:18" x14ac:dyDescent="0.4">
      <c r="B8" s="17" t="s">
        <v>9</v>
      </c>
      <c r="C8" s="18">
        <v>42000</v>
      </c>
      <c r="D8" s="26">
        <v>7.2499999999999995E-2</v>
      </c>
      <c r="E8" s="20">
        <f t="shared" si="1"/>
        <v>1.5</v>
      </c>
      <c r="F8" s="21">
        <f t="shared" si="2"/>
        <v>1000000</v>
      </c>
      <c r="G8" s="22">
        <f t="shared" si="3"/>
        <v>0.01</v>
      </c>
      <c r="H8" s="23">
        <f t="shared" si="0"/>
        <v>2.1893814997263275</v>
      </c>
      <c r="I8" s="61">
        <f t="shared" si="4"/>
        <v>3</v>
      </c>
      <c r="J8" s="61"/>
      <c r="K8" s="61"/>
      <c r="L8" s="61"/>
      <c r="N8" s="63"/>
    </row>
    <row r="9" spans="2:18" x14ac:dyDescent="0.4">
      <c r="B9" s="17" t="s">
        <v>5</v>
      </c>
      <c r="C9" s="18">
        <v>10000</v>
      </c>
      <c r="D9" s="19">
        <v>0.13200000000000001</v>
      </c>
      <c r="E9" s="20">
        <f t="shared" si="1"/>
        <v>1.5</v>
      </c>
      <c r="F9" s="21">
        <f t="shared" si="2"/>
        <v>1000000</v>
      </c>
      <c r="G9" s="22">
        <f t="shared" si="3"/>
        <v>0.01</v>
      </c>
      <c r="H9" s="23">
        <f t="shared" si="0"/>
        <v>5.0505050505050502</v>
      </c>
      <c r="I9" s="61">
        <f t="shared" si="4"/>
        <v>7</v>
      </c>
      <c r="J9" s="61"/>
      <c r="K9" s="61"/>
      <c r="L9" s="61"/>
    </row>
    <row r="10" spans="2:18" x14ac:dyDescent="0.4">
      <c r="B10" s="17" t="s">
        <v>25</v>
      </c>
      <c r="C10" s="18">
        <v>25000</v>
      </c>
      <c r="D10" s="19">
        <v>7.0800000000000002E-2</v>
      </c>
      <c r="E10" s="20">
        <f t="shared" si="1"/>
        <v>1.5</v>
      </c>
      <c r="F10" s="21">
        <f t="shared" si="2"/>
        <v>1000000</v>
      </c>
      <c r="G10" s="22">
        <f t="shared" si="3"/>
        <v>0.01</v>
      </c>
      <c r="H10" s="23">
        <f t="shared" si="0"/>
        <v>3.766478342749529</v>
      </c>
      <c r="I10" s="61">
        <f t="shared" si="4"/>
        <v>5</v>
      </c>
      <c r="J10" s="18">
        <v>4.03</v>
      </c>
      <c r="K10" s="3">
        <f>J10*H10*C10/$N$3</f>
        <v>0.37947269303201503</v>
      </c>
      <c r="L10" s="3">
        <f>J10*I10*C10/$N$3</f>
        <v>0.50375000000000003</v>
      </c>
    </row>
    <row r="11" spans="2:18" x14ac:dyDescent="0.4">
      <c r="B11" s="17" t="s">
        <v>26</v>
      </c>
      <c r="C11" s="18">
        <v>100</v>
      </c>
      <c r="D11" s="19">
        <v>28.4</v>
      </c>
      <c r="E11" s="20">
        <f t="shared" si="1"/>
        <v>1.5</v>
      </c>
      <c r="F11" s="21">
        <f t="shared" si="2"/>
        <v>1000000</v>
      </c>
      <c r="G11" s="22">
        <f t="shared" si="3"/>
        <v>0.01</v>
      </c>
      <c r="H11" s="23">
        <f t="shared" si="0"/>
        <v>2.347417840375587</v>
      </c>
      <c r="I11" s="61">
        <f t="shared" si="4"/>
        <v>3</v>
      </c>
      <c r="J11" s="61"/>
      <c r="K11" s="61"/>
      <c r="L11" s="61"/>
    </row>
    <row r="12" spans="2:18" x14ac:dyDescent="0.4">
      <c r="B12" s="17" t="s">
        <v>27</v>
      </c>
      <c r="C12" s="18">
        <v>5000</v>
      </c>
      <c r="D12" s="19">
        <v>0.82499999999999996</v>
      </c>
      <c r="E12" s="20">
        <f t="shared" si="1"/>
        <v>1.5</v>
      </c>
      <c r="F12" s="21">
        <f t="shared" si="2"/>
        <v>1000000</v>
      </c>
      <c r="G12" s="22">
        <f t="shared" si="3"/>
        <v>0.01</v>
      </c>
      <c r="H12" s="23">
        <f t="shared" si="0"/>
        <v>1.6161616161616161</v>
      </c>
      <c r="I12" s="61">
        <f t="shared" si="4"/>
        <v>2</v>
      </c>
      <c r="J12" s="18">
        <v>25</v>
      </c>
      <c r="K12" s="3">
        <f>J12*H12*C12/$N$3</f>
        <v>0.20202020202020202</v>
      </c>
      <c r="L12" s="3">
        <f>J12*I12*C12/$N$3</f>
        <v>0.25</v>
      </c>
    </row>
    <row r="13" spans="2:18" x14ac:dyDescent="0.4">
      <c r="B13" s="17" t="s">
        <v>28</v>
      </c>
      <c r="C13" s="18">
        <v>50</v>
      </c>
      <c r="D13" s="19">
        <v>8.25</v>
      </c>
      <c r="E13" s="20">
        <f t="shared" si="1"/>
        <v>1.5</v>
      </c>
      <c r="F13" s="21">
        <f t="shared" si="2"/>
        <v>1000000</v>
      </c>
      <c r="G13" s="22">
        <f t="shared" si="3"/>
        <v>0.01</v>
      </c>
      <c r="H13" s="23">
        <f t="shared" si="0"/>
        <v>16.161616161616163</v>
      </c>
      <c r="I13" s="61">
        <f t="shared" si="4"/>
        <v>21</v>
      </c>
      <c r="J13" s="61"/>
      <c r="K13" s="61"/>
      <c r="L13" s="61"/>
    </row>
    <row r="14" spans="2:18" x14ac:dyDescent="0.4">
      <c r="B14" s="17" t="s">
        <v>29</v>
      </c>
      <c r="C14" s="18">
        <v>50</v>
      </c>
      <c r="D14" s="19">
        <v>17.25</v>
      </c>
      <c r="E14" s="20">
        <f t="shared" si="1"/>
        <v>1.5</v>
      </c>
      <c r="F14" s="21">
        <f t="shared" si="2"/>
        <v>1000000</v>
      </c>
      <c r="G14" s="22">
        <f t="shared" si="3"/>
        <v>0.01</v>
      </c>
      <c r="H14" s="23">
        <f t="shared" si="0"/>
        <v>7.7294685990338161</v>
      </c>
      <c r="I14" s="61">
        <f t="shared" si="4"/>
        <v>10</v>
      </c>
      <c r="J14" s="18">
        <v>550</v>
      </c>
      <c r="K14" s="3">
        <f>J14*H14*C14/$N$3</f>
        <v>0.21256038647342995</v>
      </c>
      <c r="L14" s="3">
        <f>J14*I14*C14/$N$3</f>
        <v>0.27500000000000002</v>
      </c>
    </row>
    <row r="15" spans="2:18" x14ac:dyDescent="0.4">
      <c r="B15" s="17" t="s">
        <v>30</v>
      </c>
      <c r="C15" s="18">
        <v>50</v>
      </c>
      <c r="D15" s="19">
        <v>24.5</v>
      </c>
      <c r="E15" s="20">
        <f t="shared" si="1"/>
        <v>1.5</v>
      </c>
      <c r="F15" s="21">
        <f t="shared" si="2"/>
        <v>1000000</v>
      </c>
      <c r="G15" s="22">
        <f t="shared" si="3"/>
        <v>0.01</v>
      </c>
      <c r="H15" s="23">
        <f t="shared" si="0"/>
        <v>5.4421768707482991</v>
      </c>
      <c r="I15" s="61">
        <f t="shared" si="4"/>
        <v>7</v>
      </c>
      <c r="J15" s="61"/>
      <c r="K15" s="61"/>
      <c r="L15" s="61"/>
    </row>
    <row r="16" spans="2:18" x14ac:dyDescent="0.4">
      <c r="B16" s="17" t="s">
        <v>31</v>
      </c>
      <c r="C16" s="18">
        <v>50</v>
      </c>
      <c r="D16" s="19">
        <v>19.75</v>
      </c>
      <c r="E16" s="20">
        <f t="shared" si="1"/>
        <v>1.5</v>
      </c>
      <c r="F16" s="21">
        <f t="shared" si="2"/>
        <v>1000000</v>
      </c>
      <c r="G16" s="22">
        <f t="shared" si="3"/>
        <v>0.01</v>
      </c>
      <c r="H16" s="23">
        <f t="shared" si="0"/>
        <v>6.7510548523206753</v>
      </c>
      <c r="I16" s="61">
        <f t="shared" si="4"/>
        <v>9</v>
      </c>
      <c r="J16" s="18">
        <v>1187</v>
      </c>
      <c r="K16" s="3">
        <f>J16*H16*C16/$N$3</f>
        <v>0.40067510548523211</v>
      </c>
      <c r="L16" s="3">
        <f>J16*I16*C16/$N$3</f>
        <v>0.53415000000000001</v>
      </c>
    </row>
    <row r="17" spans="2:12" x14ac:dyDescent="0.4">
      <c r="B17" s="17" t="s">
        <v>32</v>
      </c>
      <c r="C17" s="18">
        <v>1120</v>
      </c>
      <c r="D17" s="19">
        <v>0.89</v>
      </c>
      <c r="E17" s="20">
        <f t="shared" si="1"/>
        <v>1.5</v>
      </c>
      <c r="F17" s="21">
        <f t="shared" si="2"/>
        <v>1000000</v>
      </c>
      <c r="G17" s="22">
        <f t="shared" si="3"/>
        <v>0.01</v>
      </c>
      <c r="H17" s="23">
        <f t="shared" si="0"/>
        <v>6.6880684858212947</v>
      </c>
      <c r="I17" s="61">
        <f t="shared" si="4"/>
        <v>9</v>
      </c>
      <c r="J17" s="61"/>
      <c r="K17" s="61"/>
      <c r="L17" s="61"/>
    </row>
    <row r="18" spans="2:12" x14ac:dyDescent="0.4">
      <c r="B18" s="17" t="s">
        <v>33</v>
      </c>
      <c r="C18" s="18">
        <v>375</v>
      </c>
      <c r="D18" s="19">
        <v>5.38</v>
      </c>
      <c r="E18" s="20">
        <f t="shared" si="1"/>
        <v>1.5</v>
      </c>
      <c r="F18" s="21">
        <f t="shared" si="2"/>
        <v>1000000</v>
      </c>
      <c r="G18" s="22">
        <f t="shared" si="3"/>
        <v>0.01</v>
      </c>
      <c r="H18" s="23">
        <f t="shared" si="0"/>
        <v>3.3044196612969845</v>
      </c>
      <c r="I18" s="61">
        <f t="shared" si="4"/>
        <v>4</v>
      </c>
      <c r="J18" s="18">
        <v>184</v>
      </c>
      <c r="K18" s="3">
        <f>J18*H18*C18/$N$3</f>
        <v>0.22800495662949191</v>
      </c>
      <c r="L18" s="3">
        <f>J18*I18*C18/$N$3</f>
        <v>0.27600000000000002</v>
      </c>
    </row>
    <row r="19" spans="2:12" x14ac:dyDescent="0.4">
      <c r="B19" s="17" t="s">
        <v>34</v>
      </c>
      <c r="C19" s="18">
        <v>10</v>
      </c>
      <c r="D19" s="19">
        <v>205</v>
      </c>
      <c r="E19" s="20">
        <f t="shared" si="1"/>
        <v>1.5</v>
      </c>
      <c r="F19" s="21">
        <f t="shared" si="2"/>
        <v>1000000</v>
      </c>
      <c r="G19" s="22">
        <f t="shared" si="3"/>
        <v>0.01</v>
      </c>
      <c r="H19" s="23">
        <f t="shared" si="0"/>
        <v>3.2520325203252032</v>
      </c>
      <c r="I19" s="61">
        <f t="shared" si="4"/>
        <v>4</v>
      </c>
      <c r="J19" s="18">
        <v>3230</v>
      </c>
      <c r="K19" s="3">
        <f>J19*H19*C19/$N$3</f>
        <v>0.10504065040650407</v>
      </c>
      <c r="L19" s="3">
        <f>J19*I19*C19/$N$3</f>
        <v>0.12920000000000001</v>
      </c>
    </row>
    <row r="20" spans="2:12" x14ac:dyDescent="0.4">
      <c r="B20" s="17" t="s">
        <v>70</v>
      </c>
      <c r="C20" s="18">
        <v>500</v>
      </c>
      <c r="D20" s="19">
        <v>3.01</v>
      </c>
      <c r="E20" s="20">
        <f t="shared" si="1"/>
        <v>1.5</v>
      </c>
      <c r="F20" s="21">
        <f t="shared" si="2"/>
        <v>1000000</v>
      </c>
      <c r="G20" s="22">
        <f t="shared" si="3"/>
        <v>0.01</v>
      </c>
      <c r="H20" s="23">
        <f t="shared" ref="H20" si="5">(F20*G20)/(C20*D20*E20)</f>
        <v>4.4296788482834994</v>
      </c>
      <c r="I20" s="61">
        <f t="shared" si="4"/>
        <v>6</v>
      </c>
      <c r="J20" s="18">
        <v>94</v>
      </c>
      <c r="K20" s="3">
        <f>J20*H20*C20/$N$3</f>
        <v>0.20819490586932449</v>
      </c>
      <c r="L20" s="3">
        <f>J20*I20*C20/$N$3</f>
        <v>0.28199999999999997</v>
      </c>
    </row>
    <row r="21" spans="2:12" x14ac:dyDescent="0.4">
      <c r="B21" s="17" t="s">
        <v>35</v>
      </c>
      <c r="C21" s="18">
        <v>400</v>
      </c>
      <c r="D21" s="19">
        <v>1.0549999999999999</v>
      </c>
      <c r="E21" s="20">
        <f t="shared" si="1"/>
        <v>1.5</v>
      </c>
      <c r="F21" s="21">
        <f t="shared" si="2"/>
        <v>1000000</v>
      </c>
      <c r="G21" s="22">
        <f t="shared" si="3"/>
        <v>0.01</v>
      </c>
      <c r="H21" s="23">
        <f t="shared" si="0"/>
        <v>15.797788309636651</v>
      </c>
      <c r="I21" s="61">
        <f t="shared" si="4"/>
        <v>21</v>
      </c>
      <c r="J21" s="61"/>
      <c r="K21" s="61"/>
      <c r="L21" s="61"/>
    </row>
    <row r="22" spans="2:12" x14ac:dyDescent="0.4">
      <c r="B22" s="17" t="s">
        <v>36</v>
      </c>
      <c r="C22" s="18">
        <v>500</v>
      </c>
      <c r="D22" s="19">
        <v>1.9390000000000001</v>
      </c>
      <c r="E22" s="20">
        <f t="shared" si="1"/>
        <v>1.5</v>
      </c>
      <c r="F22" s="21">
        <f t="shared" si="2"/>
        <v>1000000</v>
      </c>
      <c r="G22" s="22">
        <f t="shared" si="3"/>
        <v>0.01</v>
      </c>
      <c r="H22" s="23">
        <f t="shared" si="0"/>
        <v>6.8763967680935192</v>
      </c>
      <c r="I22" s="61">
        <f t="shared" si="4"/>
        <v>9</v>
      </c>
      <c r="J22" s="61"/>
      <c r="K22" s="61"/>
      <c r="L22" s="61"/>
    </row>
    <row r="23" spans="2:12" x14ac:dyDescent="0.4">
      <c r="B23" s="17" t="s">
        <v>37</v>
      </c>
      <c r="C23" s="18">
        <v>400</v>
      </c>
      <c r="D23" s="19">
        <v>1.579</v>
      </c>
      <c r="E23" s="20">
        <f t="shared" si="1"/>
        <v>1.5</v>
      </c>
      <c r="F23" s="21">
        <f t="shared" si="2"/>
        <v>1000000</v>
      </c>
      <c r="G23" s="22">
        <f t="shared" si="3"/>
        <v>0.01</v>
      </c>
      <c r="H23" s="23">
        <f t="shared" si="0"/>
        <v>10.555203715431707</v>
      </c>
      <c r="I23" s="61">
        <f t="shared" si="4"/>
        <v>14</v>
      </c>
      <c r="J23" s="61"/>
      <c r="K23" s="61"/>
      <c r="L23" s="61"/>
    </row>
    <row r="24" spans="2:12" x14ac:dyDescent="0.4">
      <c r="B24" s="17" t="s">
        <v>38</v>
      </c>
      <c r="C24" s="18">
        <v>1000</v>
      </c>
      <c r="D24" s="19">
        <v>0.84899999999999998</v>
      </c>
      <c r="E24" s="20">
        <f t="shared" si="1"/>
        <v>1.5</v>
      </c>
      <c r="F24" s="21">
        <f t="shared" si="2"/>
        <v>1000000</v>
      </c>
      <c r="G24" s="22">
        <f t="shared" si="3"/>
        <v>0.01</v>
      </c>
      <c r="H24" s="23">
        <f t="shared" si="0"/>
        <v>7.8523753435414214</v>
      </c>
      <c r="I24" s="61">
        <f t="shared" si="4"/>
        <v>10</v>
      </c>
      <c r="J24" s="61"/>
      <c r="K24" s="61"/>
      <c r="L24" s="61"/>
    </row>
    <row r="25" spans="2:12" x14ac:dyDescent="0.4">
      <c r="B25" s="17" t="s">
        <v>39</v>
      </c>
      <c r="C25" s="18">
        <v>100000</v>
      </c>
      <c r="D25" s="26">
        <v>9.1400000000000006E-3</v>
      </c>
      <c r="E25" s="20">
        <f t="shared" si="1"/>
        <v>1.5</v>
      </c>
      <c r="F25" s="21">
        <f t="shared" si="2"/>
        <v>1000000</v>
      </c>
      <c r="G25" s="22">
        <f t="shared" si="3"/>
        <v>0.01</v>
      </c>
      <c r="H25" s="23">
        <f t="shared" si="0"/>
        <v>7.2939460247994168</v>
      </c>
      <c r="I25" s="61">
        <f t="shared" si="4"/>
        <v>10</v>
      </c>
      <c r="J25" s="61"/>
      <c r="K25" s="61"/>
      <c r="L25" s="61"/>
    </row>
    <row r="26" spans="2:12" x14ac:dyDescent="0.4">
      <c r="B26" s="17" t="s">
        <v>40</v>
      </c>
      <c r="C26" s="18">
        <v>62500</v>
      </c>
      <c r="D26" s="26">
        <v>1.24E-2</v>
      </c>
      <c r="E26" s="20">
        <f t="shared" si="1"/>
        <v>1.5</v>
      </c>
      <c r="F26" s="21">
        <f t="shared" si="2"/>
        <v>1000000</v>
      </c>
      <c r="G26" s="22">
        <f t="shared" si="3"/>
        <v>0.01</v>
      </c>
      <c r="H26" s="23">
        <f t="shared" si="0"/>
        <v>8.6021505376344081</v>
      </c>
      <c r="I26" s="61">
        <f t="shared" si="4"/>
        <v>11</v>
      </c>
      <c r="J26" s="61"/>
      <c r="K26" s="61"/>
      <c r="L26" s="61"/>
    </row>
    <row r="27" spans="2:12" x14ac:dyDescent="0.4">
      <c r="B27" s="17" t="s">
        <v>41</v>
      </c>
      <c r="C27" s="18">
        <v>100000</v>
      </c>
      <c r="D27" s="26">
        <v>5.5900000000000004E-3</v>
      </c>
      <c r="E27" s="20">
        <f t="shared" si="1"/>
        <v>1.5</v>
      </c>
      <c r="F27" s="21">
        <f t="shared" si="2"/>
        <v>1000000</v>
      </c>
      <c r="G27" s="22">
        <f t="shared" si="3"/>
        <v>0.01</v>
      </c>
      <c r="H27" s="23">
        <f t="shared" si="0"/>
        <v>11.926058437686345</v>
      </c>
      <c r="I27" s="61">
        <f t="shared" si="4"/>
        <v>16</v>
      </c>
      <c r="J27" s="61"/>
      <c r="K27" s="61"/>
      <c r="L27" s="61"/>
    </row>
    <row r="28" spans="2:12" x14ac:dyDescent="0.4">
      <c r="B28" s="17" t="s">
        <v>42</v>
      </c>
      <c r="C28" s="18">
        <v>125000</v>
      </c>
      <c r="D28" s="26">
        <v>9.5600000000000008E-3</v>
      </c>
      <c r="E28" s="20">
        <f t="shared" si="1"/>
        <v>1.5</v>
      </c>
      <c r="F28" s="21">
        <f t="shared" si="2"/>
        <v>1000000</v>
      </c>
      <c r="G28" s="22">
        <f t="shared" si="3"/>
        <v>0.01</v>
      </c>
      <c r="H28" s="23">
        <f t="shared" si="0"/>
        <v>5.5788005578800561</v>
      </c>
      <c r="I28" s="61">
        <f t="shared" si="4"/>
        <v>7</v>
      </c>
      <c r="J28" s="61"/>
      <c r="K28" s="61"/>
      <c r="L28" s="61"/>
    </row>
    <row r="29" spans="2:12" x14ac:dyDescent="0.4">
      <c r="B29" s="17" t="s">
        <v>43</v>
      </c>
      <c r="C29" s="18">
        <v>12500000</v>
      </c>
      <c r="D29" s="26">
        <v>1.022E-4</v>
      </c>
      <c r="E29" s="20">
        <f t="shared" si="1"/>
        <v>1.5</v>
      </c>
      <c r="F29" s="21">
        <f t="shared" si="2"/>
        <v>1000000</v>
      </c>
      <c r="G29" s="22">
        <f t="shared" si="3"/>
        <v>0.01</v>
      </c>
      <c r="H29" s="23">
        <f t="shared" si="0"/>
        <v>5.2185257664709717</v>
      </c>
      <c r="I29" s="61">
        <f t="shared" si="4"/>
        <v>7</v>
      </c>
      <c r="J29" s="61"/>
      <c r="K29" s="61"/>
      <c r="L29" s="61"/>
    </row>
    <row r="30" spans="2:12" x14ac:dyDescent="0.4">
      <c r="B30" s="17" t="s">
        <v>44</v>
      </c>
      <c r="C30" s="18">
        <v>5</v>
      </c>
      <c r="D30" s="19">
        <v>908</v>
      </c>
      <c r="E30" s="20">
        <f t="shared" si="1"/>
        <v>1.5</v>
      </c>
      <c r="F30" s="21">
        <f t="shared" si="2"/>
        <v>1000000</v>
      </c>
      <c r="G30" s="22">
        <f t="shared" si="3"/>
        <v>0.01</v>
      </c>
      <c r="H30" s="23">
        <f t="shared" si="0"/>
        <v>1.4684287812041117</v>
      </c>
      <c r="I30" s="61">
        <f t="shared" si="4"/>
        <v>2</v>
      </c>
      <c r="J30" s="61"/>
      <c r="K30" s="61"/>
      <c r="L30" s="61"/>
    </row>
    <row r="31" spans="2:12" x14ac:dyDescent="0.4">
      <c r="B31" s="17" t="s">
        <v>45</v>
      </c>
      <c r="C31" s="18">
        <v>50</v>
      </c>
      <c r="D31" s="19">
        <v>61.74</v>
      </c>
      <c r="E31" s="20">
        <f t="shared" si="1"/>
        <v>1.5</v>
      </c>
      <c r="F31" s="21">
        <f t="shared" si="2"/>
        <v>1000000</v>
      </c>
      <c r="G31" s="22">
        <f t="shared" si="3"/>
        <v>0.01</v>
      </c>
      <c r="H31" s="23">
        <f t="shared" si="0"/>
        <v>2.1595939963286903</v>
      </c>
      <c r="I31" s="61">
        <f t="shared" si="4"/>
        <v>3</v>
      </c>
      <c r="J31" s="61"/>
      <c r="K31" s="61"/>
      <c r="L31" s="61"/>
    </row>
    <row r="32" spans="2:12" x14ac:dyDescent="0.4">
      <c r="B32" s="17" t="s">
        <v>46</v>
      </c>
      <c r="C32" s="18">
        <v>1000</v>
      </c>
      <c r="D32" s="19">
        <f>1+18/32</f>
        <v>1.5625</v>
      </c>
      <c r="E32" s="20">
        <f t="shared" si="1"/>
        <v>1.5</v>
      </c>
      <c r="F32" s="21">
        <f t="shared" si="2"/>
        <v>1000000</v>
      </c>
      <c r="G32" s="22">
        <f t="shared" si="3"/>
        <v>0.01</v>
      </c>
      <c r="H32" s="23">
        <f t="shared" si="0"/>
        <v>4.2666666666666666</v>
      </c>
      <c r="I32" s="61">
        <f t="shared" si="4"/>
        <v>6</v>
      </c>
      <c r="J32" s="61"/>
      <c r="K32" s="61"/>
      <c r="L32" s="61"/>
    </row>
    <row r="33" spans="2:12" x14ac:dyDescent="0.4">
      <c r="B33" s="17" t="s">
        <v>47</v>
      </c>
      <c r="C33" s="18">
        <v>1000</v>
      </c>
      <c r="D33" s="19">
        <v>1.57</v>
      </c>
      <c r="E33" s="20">
        <f t="shared" si="1"/>
        <v>1.5</v>
      </c>
      <c r="F33" s="21">
        <f t="shared" si="2"/>
        <v>1000000</v>
      </c>
      <c r="G33" s="22">
        <f t="shared" si="3"/>
        <v>0.01</v>
      </c>
      <c r="H33" s="23">
        <f t="shared" si="0"/>
        <v>4.2462845010615711</v>
      </c>
      <c r="I33" s="61">
        <f t="shared" si="4"/>
        <v>6</v>
      </c>
      <c r="J33" s="61"/>
      <c r="K33" s="61"/>
      <c r="L33" s="61"/>
    </row>
    <row r="34" spans="2:12" x14ac:dyDescent="0.4">
      <c r="B34" s="17" t="s">
        <v>48</v>
      </c>
      <c r="C34" s="18">
        <v>100</v>
      </c>
      <c r="D34" s="19">
        <v>4.1500000000000004</v>
      </c>
      <c r="E34" s="20">
        <f t="shared" si="1"/>
        <v>1.5</v>
      </c>
      <c r="F34" s="21">
        <f t="shared" si="2"/>
        <v>1000000</v>
      </c>
      <c r="G34" s="22">
        <f t="shared" si="3"/>
        <v>0.01</v>
      </c>
      <c r="H34" s="23">
        <f t="shared" si="0"/>
        <v>16.064257028112447</v>
      </c>
      <c r="I34" s="61">
        <f t="shared" si="4"/>
        <v>21</v>
      </c>
      <c r="J34" s="61"/>
      <c r="K34" s="61"/>
      <c r="L34" s="61"/>
    </row>
    <row r="35" spans="2:12" x14ac:dyDescent="0.4">
      <c r="B35" s="17" t="s">
        <v>49</v>
      </c>
      <c r="C35" s="18">
        <v>100</v>
      </c>
      <c r="D35" s="19">
        <v>9.2899999999999991</v>
      </c>
      <c r="E35" s="20">
        <f t="shared" si="1"/>
        <v>1.5</v>
      </c>
      <c r="F35" s="21">
        <f t="shared" si="2"/>
        <v>1000000</v>
      </c>
      <c r="G35" s="22">
        <f t="shared" si="3"/>
        <v>0.01</v>
      </c>
      <c r="H35" s="23">
        <f t="shared" si="0"/>
        <v>7.1761750986724087</v>
      </c>
      <c r="I35" s="61">
        <f t="shared" si="4"/>
        <v>10</v>
      </c>
      <c r="J35" s="61"/>
      <c r="K35" s="61"/>
      <c r="L35" s="61"/>
    </row>
    <row r="36" spans="2:12" x14ac:dyDescent="0.4">
      <c r="B36" s="17" t="s">
        <v>50</v>
      </c>
      <c r="C36" s="18">
        <v>100</v>
      </c>
      <c r="D36" s="19">
        <v>3.34</v>
      </c>
      <c r="E36" s="20">
        <f t="shared" si="1"/>
        <v>1.5</v>
      </c>
      <c r="F36" s="21">
        <f t="shared" si="2"/>
        <v>1000000</v>
      </c>
      <c r="G36" s="22">
        <f t="shared" si="3"/>
        <v>0.01</v>
      </c>
      <c r="H36" s="23">
        <f t="shared" si="0"/>
        <v>19.960079840319363</v>
      </c>
      <c r="I36" s="61">
        <f t="shared" si="4"/>
        <v>27</v>
      </c>
      <c r="J36" s="61"/>
      <c r="K36" s="61"/>
      <c r="L36" s="61"/>
    </row>
    <row r="37" spans="2:12" x14ac:dyDescent="0.4">
      <c r="B37" s="17" t="s">
        <v>127</v>
      </c>
      <c r="C37" s="18">
        <v>100</v>
      </c>
      <c r="D37" s="19">
        <v>0.3075</v>
      </c>
      <c r="E37" s="20">
        <f t="shared" si="1"/>
        <v>1.5</v>
      </c>
      <c r="F37" s="21">
        <f t="shared" si="2"/>
        <v>1000000</v>
      </c>
      <c r="G37" s="22">
        <f t="shared" si="3"/>
        <v>0.01</v>
      </c>
      <c r="H37" s="23">
        <f t="shared" ref="H37" si="6">(F37*G37)/(C37*D37*E37)</f>
        <v>216.80216802168022</v>
      </c>
      <c r="I37" s="61">
        <f t="shared" si="4"/>
        <v>288</v>
      </c>
      <c r="J37" s="61"/>
      <c r="K37" s="61"/>
      <c r="L37" s="61"/>
    </row>
    <row r="38" spans="2:12" x14ac:dyDescent="0.4">
      <c r="B38" s="17" t="s">
        <v>156</v>
      </c>
      <c r="C38" s="18">
        <v>100</v>
      </c>
      <c r="D38" s="19">
        <v>0.85</v>
      </c>
      <c r="E38" s="20">
        <f t="shared" si="1"/>
        <v>1.5</v>
      </c>
      <c r="F38" s="21">
        <f t="shared" si="2"/>
        <v>1000000</v>
      </c>
      <c r="G38" s="22">
        <f t="shared" si="3"/>
        <v>0.01</v>
      </c>
      <c r="H38" s="23">
        <f t="shared" ref="H38" si="7">(F38*G38)/(C38*D38*E38)</f>
        <v>78.431372549019613</v>
      </c>
      <c r="I38" s="61">
        <f t="shared" si="4"/>
        <v>104</v>
      </c>
      <c r="J38" s="61"/>
      <c r="K38" s="61"/>
      <c r="L38" s="61"/>
    </row>
    <row r="39" spans="2:12" x14ac:dyDescent="0.4">
      <c r="B39" s="17" t="s">
        <v>160</v>
      </c>
      <c r="C39" s="18">
        <v>100</v>
      </c>
      <c r="D39" s="19">
        <v>1.06</v>
      </c>
      <c r="E39" s="20">
        <f t="shared" si="1"/>
        <v>1.5</v>
      </c>
      <c r="F39" s="21">
        <f t="shared" si="2"/>
        <v>1000000</v>
      </c>
      <c r="G39" s="22">
        <f t="shared" si="3"/>
        <v>0.01</v>
      </c>
      <c r="H39" s="23">
        <f t="shared" ref="H39" si="8">(F39*G39)/(C39*D39*E39)</f>
        <v>62.893081761006286</v>
      </c>
      <c r="I39" s="61">
        <f t="shared" si="4"/>
        <v>84</v>
      </c>
      <c r="J39" s="61"/>
      <c r="K39" s="61"/>
      <c r="L39" s="61"/>
    </row>
    <row r="40" spans="2:12" x14ac:dyDescent="0.4">
      <c r="B40" s="17" t="s">
        <v>169</v>
      </c>
      <c r="C40" s="18">
        <v>1</v>
      </c>
      <c r="D40" s="19">
        <v>1.06</v>
      </c>
      <c r="E40" s="20">
        <f t="shared" si="1"/>
        <v>1.5</v>
      </c>
      <c r="F40" s="21">
        <f t="shared" si="2"/>
        <v>1000000</v>
      </c>
      <c r="G40" s="22">
        <f t="shared" si="3"/>
        <v>0.01</v>
      </c>
      <c r="H40" s="23">
        <f t="shared" ref="H40" si="9">(F40*G40)/(C40*D40*E40)</f>
        <v>6289.3081761006288</v>
      </c>
      <c r="I40" s="61">
        <f t="shared" si="4"/>
        <v>8365</v>
      </c>
      <c r="J40" s="61"/>
      <c r="K40" s="61"/>
      <c r="L40" s="61"/>
    </row>
    <row r="41" spans="2:12" x14ac:dyDescent="0.4">
      <c r="B41" s="17" t="s">
        <v>184</v>
      </c>
      <c r="C41" s="18">
        <v>1</v>
      </c>
      <c r="D41" s="19">
        <v>7.23</v>
      </c>
      <c r="E41" s="20">
        <f t="shared" si="1"/>
        <v>1.5</v>
      </c>
      <c r="F41" s="21">
        <f t="shared" si="2"/>
        <v>1000000</v>
      </c>
      <c r="G41" s="22">
        <f t="shared" si="3"/>
        <v>0.01</v>
      </c>
      <c r="H41" s="23">
        <f t="shared" ref="H41" si="10">(F41*G41)/(C41*D41*E41)</f>
        <v>922.08390963577676</v>
      </c>
      <c r="I41" s="61">
        <f t="shared" si="4"/>
        <v>1226</v>
      </c>
      <c r="J41" s="18">
        <v>68</v>
      </c>
      <c r="K41" s="3">
        <f>J41*H41*C41/$N$3</f>
        <v>6.2701705855232825E-2</v>
      </c>
      <c r="L41" s="3">
        <f>J41*I41*C41/$N$3</f>
        <v>8.3367999999999998E-2</v>
      </c>
    </row>
    <row r="42" spans="2:12" x14ac:dyDescent="0.4">
      <c r="B42" s="17" t="s">
        <v>186</v>
      </c>
      <c r="C42" s="18">
        <v>1</v>
      </c>
      <c r="D42" s="19">
        <v>2.0299999999999998</v>
      </c>
      <c r="E42" s="20">
        <f t="shared" si="1"/>
        <v>1.5</v>
      </c>
      <c r="F42" s="21">
        <f t="shared" si="2"/>
        <v>1000000</v>
      </c>
      <c r="G42" s="22">
        <f t="shared" si="3"/>
        <v>0.01</v>
      </c>
      <c r="H42" s="23">
        <f t="shared" ref="H42" si="11">(F42*G42)/(C42*D42*E42)</f>
        <v>3284.0722495894911</v>
      </c>
      <c r="I42" s="61">
        <f t="shared" si="4"/>
        <v>4368</v>
      </c>
      <c r="J42" s="61"/>
      <c r="K42" s="61"/>
      <c r="L42" s="61"/>
    </row>
    <row r="43" spans="2:12" x14ac:dyDescent="0.4">
      <c r="B43" s="9" t="s">
        <v>201</v>
      </c>
      <c r="C43" s="18">
        <v>1</v>
      </c>
      <c r="D43" s="19">
        <v>140</v>
      </c>
      <c r="E43" s="20">
        <f t="shared" si="1"/>
        <v>1.5</v>
      </c>
      <c r="F43" s="21">
        <f t="shared" si="2"/>
        <v>1000000</v>
      </c>
      <c r="G43" s="22">
        <f t="shared" si="3"/>
        <v>0.01</v>
      </c>
      <c r="H43" s="23">
        <f t="shared" ref="H43" si="12">(F43*G43)/(C43*D43*E43)</f>
        <v>47.61904761904762</v>
      </c>
      <c r="I43" s="61">
        <f t="shared" si="4"/>
        <v>63</v>
      </c>
      <c r="J43" s="18">
        <v>1986</v>
      </c>
      <c r="K43" s="3">
        <f>J43*H43*C43/$N$3</f>
        <v>9.4571428571428584E-2</v>
      </c>
      <c r="L43" s="3">
        <f>J43*I43*C43/$N$3</f>
        <v>0.12511800000000001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04DB-8B78-48A9-9909-F04369C18D94}">
  <dimension ref="A1:AE1084"/>
  <sheetViews>
    <sheetView showGridLines="0" zoomScale="90" zoomScaleNormal="90" workbookViewId="0">
      <selection activeCell="A6" sqref="A6"/>
    </sheetView>
  </sheetViews>
  <sheetFormatPr defaultRowHeight="13.15" x14ac:dyDescent="0.4"/>
  <cols>
    <col min="1" max="1" width="12.6640625" style="1" bestFit="1" customWidth="1"/>
    <col min="2" max="2" width="13.3984375" style="1" bestFit="1" customWidth="1"/>
    <col min="3" max="3" width="8.53125" style="1" bestFit="1" customWidth="1"/>
    <col min="4" max="4" width="18.73046875" style="1" bestFit="1" customWidth="1"/>
    <col min="5" max="5" width="16.53125" style="1" bestFit="1" customWidth="1"/>
    <col min="6" max="6" width="12.46484375" style="1" bestFit="1" customWidth="1"/>
    <col min="7" max="7" width="14.6640625" style="1" bestFit="1" customWidth="1"/>
    <col min="8" max="8" width="8.265625" style="1" bestFit="1" customWidth="1"/>
    <col min="9" max="9" width="5.3984375" style="1" bestFit="1" customWidth="1"/>
    <col min="10" max="10" width="9.53125" style="44" bestFit="1" customWidth="1"/>
    <col min="11" max="11" width="6.73046875" style="1" bestFit="1" customWidth="1"/>
    <col min="12" max="12" width="9.53125" style="44" bestFit="1" customWidth="1"/>
    <col min="13" max="13" width="7.06640625" style="1" bestFit="1" customWidth="1"/>
    <col min="14" max="14" width="7.265625" style="1" bestFit="1" customWidth="1"/>
    <col min="15" max="15" width="7.06640625" style="1" bestFit="1" customWidth="1"/>
    <col min="16" max="16" width="8.73046875" style="1" bestFit="1" customWidth="1"/>
    <col min="17" max="17" width="9.9296875" style="1" bestFit="1" customWidth="1"/>
    <col min="18" max="18" width="16.6640625" style="1" bestFit="1" customWidth="1"/>
    <col min="19" max="27" width="9.06640625" style="1"/>
    <col min="28" max="28" width="9.53125" style="1" bestFit="1" customWidth="1"/>
    <col min="29" max="29" width="12.796875" style="1" bestFit="1" customWidth="1"/>
    <col min="30" max="30" width="10.53125" style="1" bestFit="1" customWidth="1"/>
    <col min="31" max="16384" width="9.06640625" style="1"/>
  </cols>
  <sheetData>
    <row r="1" spans="1:31" x14ac:dyDescent="0.4">
      <c r="A1" s="2" t="s">
        <v>106</v>
      </c>
      <c r="B1" s="2" t="s">
        <v>105</v>
      </c>
      <c r="C1" s="2" t="s">
        <v>104</v>
      </c>
      <c r="D1" s="2" t="s">
        <v>57</v>
      </c>
      <c r="E1" s="2" t="s">
        <v>103</v>
      </c>
      <c r="F1" s="2" t="s">
        <v>102</v>
      </c>
      <c r="G1" s="2" t="s">
        <v>101</v>
      </c>
      <c r="H1" s="2" t="s">
        <v>13</v>
      </c>
      <c r="I1" s="2" t="s">
        <v>58</v>
      </c>
      <c r="J1" s="48" t="s">
        <v>100</v>
      </c>
      <c r="K1" s="2" t="s">
        <v>99</v>
      </c>
      <c r="L1" s="48" t="s">
        <v>98</v>
      </c>
      <c r="M1" s="2" t="s">
        <v>97</v>
      </c>
      <c r="N1" s="2" t="s">
        <v>96</v>
      </c>
      <c r="O1" s="2" t="s">
        <v>95</v>
      </c>
      <c r="P1" s="2" t="s">
        <v>94</v>
      </c>
      <c r="Q1" s="2" t="s">
        <v>93</v>
      </c>
      <c r="R1" s="2" t="s">
        <v>92</v>
      </c>
      <c r="T1" s="2" t="s">
        <v>108</v>
      </c>
      <c r="U1" s="2" t="s">
        <v>12</v>
      </c>
      <c r="V1" s="2" t="s">
        <v>96</v>
      </c>
      <c r="W1" s="2" t="s">
        <v>95</v>
      </c>
      <c r="X1" s="2" t="s">
        <v>93</v>
      </c>
      <c r="Z1" s="1" t="s">
        <v>124</v>
      </c>
    </row>
    <row r="2" spans="1:31" x14ac:dyDescent="0.4">
      <c r="A2" s="1" t="s">
        <v>197</v>
      </c>
      <c r="B2" s="1" t="s">
        <v>63</v>
      </c>
      <c r="C2" s="1" t="s">
        <v>198</v>
      </c>
      <c r="D2" s="1" t="s">
        <v>199</v>
      </c>
      <c r="E2" s="1" t="s">
        <v>200</v>
      </c>
      <c r="H2" s="1">
        <v>1</v>
      </c>
      <c r="L2" s="44">
        <v>46084</v>
      </c>
      <c r="M2" s="1" t="s">
        <v>91</v>
      </c>
      <c r="N2" s="1">
        <v>50</v>
      </c>
      <c r="O2" s="1">
        <v>1986.6</v>
      </c>
      <c r="P2" s="1">
        <v>12116.947392599999</v>
      </c>
      <c r="Q2" s="1">
        <v>-21.810505307</v>
      </c>
      <c r="R2" s="1" t="s">
        <v>63</v>
      </c>
      <c r="T2" s="43">
        <f>IF(ISNUMBER(VLOOKUP(U2,Blotter!B:C,2,0)),VLOOKUP(U2,Blotter!B:C,2,0),"")</f>
        <v>1</v>
      </c>
      <c r="U2" s="42" t="str">
        <f>D2</f>
        <v>ETH.USD-PAXOS</v>
      </c>
      <c r="V2" s="42">
        <f>N2</f>
        <v>50</v>
      </c>
      <c r="W2" s="42">
        <f>O2</f>
        <v>1986.6</v>
      </c>
      <c r="X2" s="42">
        <f>Q2</f>
        <v>-21.810505307</v>
      </c>
      <c r="Z2" s="1" t="s">
        <v>133</v>
      </c>
      <c r="AC2" s="44"/>
      <c r="AD2" s="45"/>
      <c r="AE2" s="41"/>
    </row>
    <row r="3" spans="1:31" x14ac:dyDescent="0.4">
      <c r="A3" s="1" t="s">
        <v>197</v>
      </c>
      <c r="B3" s="1" t="s">
        <v>63</v>
      </c>
      <c r="C3" s="1" t="s">
        <v>198</v>
      </c>
      <c r="D3" s="1" t="s">
        <v>199</v>
      </c>
      <c r="E3" s="1" t="s">
        <v>200</v>
      </c>
      <c r="H3" s="1">
        <v>1</v>
      </c>
      <c r="L3" s="44">
        <v>46087</v>
      </c>
      <c r="M3" s="1" t="s">
        <v>319</v>
      </c>
      <c r="N3" s="1">
        <v>-50</v>
      </c>
      <c r="O3" s="1">
        <v>2000</v>
      </c>
      <c r="P3" s="1">
        <v>-6000</v>
      </c>
      <c r="Q3" s="1">
        <v>-9.2536833119999997</v>
      </c>
      <c r="R3" s="1" t="s">
        <v>63</v>
      </c>
      <c r="T3" s="43">
        <f>IF(ISNUMBER(VLOOKUP(U3,Blotter!B:C,2,0)),VLOOKUP(U3,Blotter!B:C,2,0),"")</f>
        <v>1</v>
      </c>
      <c r="U3" s="42" t="str">
        <f t="shared" ref="U3:U17" si="0">D3</f>
        <v>ETH.USD-PAXOS</v>
      </c>
      <c r="V3" s="42">
        <f t="shared" ref="V3:V17" si="1">N3</f>
        <v>-50</v>
      </c>
      <c r="W3" s="42">
        <f t="shared" ref="W3:W17" si="2">O3</f>
        <v>2000</v>
      </c>
      <c r="X3" s="42">
        <f t="shared" ref="X3:X17" si="3">Q3</f>
        <v>-9.2536833119999997</v>
      </c>
      <c r="AC3" s="44"/>
      <c r="AD3" s="45"/>
      <c r="AE3" s="41"/>
    </row>
    <row r="4" spans="1:31" x14ac:dyDescent="0.4">
      <c r="A4" s="1" t="s">
        <v>197</v>
      </c>
      <c r="B4" s="1" t="s">
        <v>63</v>
      </c>
      <c r="C4" s="1" t="s">
        <v>198</v>
      </c>
      <c r="D4" s="1" t="s">
        <v>199</v>
      </c>
      <c r="E4" s="1" t="s">
        <v>200</v>
      </c>
      <c r="H4" s="1">
        <v>1</v>
      </c>
      <c r="L4" s="44">
        <v>46084</v>
      </c>
      <c r="M4" s="1" t="s">
        <v>91</v>
      </c>
      <c r="N4" s="1">
        <v>50</v>
      </c>
      <c r="O4" s="1">
        <v>1979</v>
      </c>
      <c r="P4" s="1">
        <v>12116.947392599999</v>
      </c>
      <c r="Q4" s="1">
        <v>-21.810505307</v>
      </c>
      <c r="R4" s="1" t="s">
        <v>63</v>
      </c>
      <c r="T4" s="43">
        <f>IF(ISNUMBER(VLOOKUP(U4,Blotter!B:C,2,0)),VLOOKUP(U4,Blotter!B:C,2,0),"")</f>
        <v>1</v>
      </c>
      <c r="U4" s="42" t="str">
        <f t="shared" si="0"/>
        <v>ETH.USD-PAXOS</v>
      </c>
      <c r="V4" s="42">
        <f t="shared" si="1"/>
        <v>50</v>
      </c>
      <c r="W4" s="42">
        <f t="shared" si="2"/>
        <v>1979</v>
      </c>
      <c r="X4" s="42">
        <f t="shared" si="3"/>
        <v>-21.810505307</v>
      </c>
      <c r="AC4" s="44"/>
      <c r="AD4" s="45"/>
      <c r="AE4" s="41"/>
    </row>
    <row r="5" spans="1:31" x14ac:dyDescent="0.4">
      <c r="D5" s="1" t="s">
        <v>305</v>
      </c>
      <c r="H5" s="1">
        <v>10</v>
      </c>
      <c r="L5" s="44">
        <v>46090</v>
      </c>
      <c r="M5" s="1" t="s">
        <v>91</v>
      </c>
      <c r="N5" s="1">
        <v>3</v>
      </c>
      <c r="O5" s="1">
        <v>3230</v>
      </c>
      <c r="T5" s="43">
        <f>IF(ISNUMBER(VLOOKUP(U5,Blotter!B:C,2,0)),VLOOKUP(U5,Blotter!B:C,2,0),"")</f>
        <v>2</v>
      </c>
      <c r="U5" s="42" t="str">
        <f t="shared" si="0"/>
        <v>CCK6</v>
      </c>
      <c r="V5" s="42">
        <f t="shared" si="1"/>
        <v>3</v>
      </c>
      <c r="W5" s="42">
        <f t="shared" si="2"/>
        <v>3230</v>
      </c>
      <c r="X5" s="42">
        <f t="shared" si="3"/>
        <v>0</v>
      </c>
      <c r="AC5" s="44"/>
      <c r="AD5" s="45"/>
      <c r="AE5" s="41"/>
    </row>
    <row r="6" spans="1:31" x14ac:dyDescent="0.4">
      <c r="T6" s="43" t="str">
        <f>IF(ISNUMBER(VLOOKUP(U6,Blotter!B:C,2,0)),VLOOKUP(U6,Blotter!B:C,2,0),"")</f>
        <v/>
      </c>
      <c r="U6" s="42">
        <f t="shared" ref="U6" si="4">D6</f>
        <v>0</v>
      </c>
      <c r="V6" s="42">
        <f t="shared" ref="V6" si="5">N6</f>
        <v>0</v>
      </c>
      <c r="W6" s="42">
        <f t="shared" ref="W6" si="6">O6</f>
        <v>0</v>
      </c>
      <c r="X6" s="42">
        <f t="shared" ref="X6" si="7">Q6</f>
        <v>0</v>
      </c>
      <c r="AC6" s="44"/>
      <c r="AD6" s="45"/>
      <c r="AE6" s="41"/>
    </row>
    <row r="7" spans="1:31" x14ac:dyDescent="0.4">
      <c r="T7" s="43" t="str">
        <f>IF(ISNUMBER(VLOOKUP(U7,Blotter!B:C,2,0)),VLOOKUP(U7,Blotter!B:C,2,0),"")</f>
        <v/>
      </c>
      <c r="U7" s="42">
        <f t="shared" si="0"/>
        <v>0</v>
      </c>
      <c r="V7" s="42">
        <f t="shared" si="1"/>
        <v>0</v>
      </c>
      <c r="W7" s="42">
        <f t="shared" si="2"/>
        <v>0</v>
      </c>
      <c r="X7" s="42">
        <f t="shared" si="3"/>
        <v>0</v>
      </c>
      <c r="AC7" s="44"/>
      <c r="AD7" s="45"/>
      <c r="AE7" s="41"/>
    </row>
    <row r="8" spans="1:31" x14ac:dyDescent="0.4">
      <c r="T8" s="43" t="str">
        <f>IF(ISNUMBER(VLOOKUP(U8,Blotter!B:C,2,0)),VLOOKUP(U8,Blotter!B:C,2,0),"")</f>
        <v/>
      </c>
      <c r="U8" s="42">
        <f t="shared" si="0"/>
        <v>0</v>
      </c>
      <c r="V8" s="42">
        <f t="shared" si="1"/>
        <v>0</v>
      </c>
      <c r="W8" s="42">
        <f t="shared" si="2"/>
        <v>0</v>
      </c>
      <c r="X8" s="42">
        <f t="shared" si="3"/>
        <v>0</v>
      </c>
      <c r="AC8" s="44"/>
      <c r="AD8" s="45"/>
      <c r="AE8" s="41"/>
    </row>
    <row r="9" spans="1:31" x14ac:dyDescent="0.4">
      <c r="T9" s="43" t="str">
        <f>IF(ISNUMBER(VLOOKUP(U9,Blotter!B:C,2,0)),VLOOKUP(U9,Blotter!B:C,2,0),"")</f>
        <v/>
      </c>
      <c r="U9" s="42">
        <f t="shared" si="0"/>
        <v>0</v>
      </c>
      <c r="V9" s="42">
        <f t="shared" si="1"/>
        <v>0</v>
      </c>
      <c r="W9" s="42">
        <f t="shared" si="2"/>
        <v>0</v>
      </c>
      <c r="X9" s="42">
        <f t="shared" si="3"/>
        <v>0</v>
      </c>
      <c r="AC9" s="44"/>
      <c r="AD9" s="45"/>
      <c r="AE9" s="41"/>
    </row>
    <row r="10" spans="1:31" x14ac:dyDescent="0.4">
      <c r="T10" s="43" t="str">
        <f>IF(ISNUMBER(VLOOKUP(U10,Blotter!B:C,2,0)),VLOOKUP(U10,Blotter!B:C,2,0),"")</f>
        <v/>
      </c>
      <c r="U10" s="42">
        <f t="shared" si="0"/>
        <v>0</v>
      </c>
      <c r="V10" s="42">
        <f t="shared" si="1"/>
        <v>0</v>
      </c>
      <c r="W10" s="42">
        <f t="shared" si="2"/>
        <v>0</v>
      </c>
      <c r="X10" s="42">
        <f t="shared" si="3"/>
        <v>0</v>
      </c>
      <c r="AC10" s="44"/>
      <c r="AD10" s="45"/>
      <c r="AE10" s="41"/>
    </row>
    <row r="11" spans="1:31" x14ac:dyDescent="0.4">
      <c r="T11" s="43" t="str">
        <f>IF(ISNUMBER(VLOOKUP(U11,Blotter!B:C,2,0)),VLOOKUP(U11,Blotter!B:C,2,0),"")</f>
        <v/>
      </c>
      <c r="U11" s="42">
        <f t="shared" si="0"/>
        <v>0</v>
      </c>
      <c r="V11" s="42">
        <f t="shared" si="1"/>
        <v>0</v>
      </c>
      <c r="W11" s="42">
        <f t="shared" si="2"/>
        <v>0</v>
      </c>
      <c r="X11" s="42">
        <f t="shared" si="3"/>
        <v>0</v>
      </c>
      <c r="AC11" s="44"/>
      <c r="AD11" s="45"/>
      <c r="AE11" s="41"/>
    </row>
    <row r="12" spans="1:31" x14ac:dyDescent="0.4">
      <c r="T12" s="43" t="str">
        <f>IF(ISNUMBER(VLOOKUP(U12,Blotter!B:C,2,0)),VLOOKUP(U12,Blotter!B:C,2,0),"")</f>
        <v/>
      </c>
      <c r="U12" s="42">
        <f t="shared" si="0"/>
        <v>0</v>
      </c>
      <c r="V12" s="42">
        <f t="shared" si="1"/>
        <v>0</v>
      </c>
      <c r="W12" s="42">
        <f t="shared" si="2"/>
        <v>0</v>
      </c>
      <c r="X12" s="42">
        <f t="shared" si="3"/>
        <v>0</v>
      </c>
      <c r="AC12" s="44"/>
      <c r="AD12" s="45"/>
      <c r="AE12" s="41"/>
    </row>
    <row r="13" spans="1:31" x14ac:dyDescent="0.4">
      <c r="T13" s="43" t="str">
        <f>IF(ISNUMBER(VLOOKUP(U13,Blotter!B:C,2,0)),VLOOKUP(U13,Blotter!B:C,2,0),"")</f>
        <v/>
      </c>
      <c r="U13" s="42">
        <f t="shared" si="0"/>
        <v>0</v>
      </c>
      <c r="V13" s="42">
        <f t="shared" si="1"/>
        <v>0</v>
      </c>
      <c r="W13" s="42">
        <f t="shared" si="2"/>
        <v>0</v>
      </c>
      <c r="X13" s="42">
        <f t="shared" si="3"/>
        <v>0</v>
      </c>
      <c r="AC13" s="44"/>
      <c r="AD13" s="45"/>
      <c r="AE13" s="41"/>
    </row>
    <row r="14" spans="1:31" x14ac:dyDescent="0.4">
      <c r="T14" s="43" t="str">
        <f>IF(ISNUMBER(VLOOKUP(U14,Blotter!B:C,2,0)),VLOOKUP(U14,Blotter!B:C,2,0),"")</f>
        <v/>
      </c>
      <c r="U14" s="42">
        <f t="shared" si="0"/>
        <v>0</v>
      </c>
      <c r="V14" s="42">
        <f t="shared" si="1"/>
        <v>0</v>
      </c>
      <c r="W14" s="42">
        <f t="shared" si="2"/>
        <v>0</v>
      </c>
      <c r="X14" s="42">
        <f t="shared" si="3"/>
        <v>0</v>
      </c>
      <c r="AC14" s="44"/>
      <c r="AD14" s="45"/>
      <c r="AE14" s="41"/>
    </row>
    <row r="15" spans="1:31" x14ac:dyDescent="0.4">
      <c r="T15" s="43" t="str">
        <f>IF(ISNUMBER(VLOOKUP(U15,Blotter!B:C,2,0)),VLOOKUP(U15,Blotter!B:C,2,0),"")</f>
        <v/>
      </c>
      <c r="U15" s="42">
        <f t="shared" si="0"/>
        <v>0</v>
      </c>
      <c r="V15" s="42">
        <f t="shared" si="1"/>
        <v>0</v>
      </c>
      <c r="W15" s="42">
        <f t="shared" si="2"/>
        <v>0</v>
      </c>
      <c r="X15" s="42">
        <f t="shared" si="3"/>
        <v>0</v>
      </c>
      <c r="AC15" s="44"/>
      <c r="AD15" s="45"/>
      <c r="AE15" s="41"/>
    </row>
    <row r="16" spans="1:31" x14ac:dyDescent="0.4">
      <c r="T16" s="43" t="str">
        <f>IF(ISNUMBER(VLOOKUP(U16,Blotter!B:C,2,0)),VLOOKUP(U16,Blotter!B:C,2,0),"")</f>
        <v/>
      </c>
      <c r="U16" s="42">
        <f t="shared" si="0"/>
        <v>0</v>
      </c>
      <c r="V16" s="42">
        <f t="shared" si="1"/>
        <v>0</v>
      </c>
      <c r="W16" s="42">
        <f t="shared" si="2"/>
        <v>0</v>
      </c>
      <c r="X16" s="42">
        <f t="shared" si="3"/>
        <v>0</v>
      </c>
      <c r="AC16" s="44"/>
      <c r="AD16" s="45"/>
      <c r="AE16" s="41"/>
    </row>
    <row r="17" spans="20:31" x14ac:dyDescent="0.4">
      <c r="T17" s="43" t="str">
        <f>IF(ISNUMBER(VLOOKUP(U17,Blotter!B:C,2,0)),VLOOKUP(U17,Blotter!B:C,2,0),"")</f>
        <v/>
      </c>
      <c r="U17" s="42">
        <f t="shared" si="0"/>
        <v>0</v>
      </c>
      <c r="V17" s="42">
        <f t="shared" si="1"/>
        <v>0</v>
      </c>
      <c r="W17" s="42">
        <f t="shared" si="2"/>
        <v>0</v>
      </c>
      <c r="X17" s="42">
        <f t="shared" si="3"/>
        <v>0</v>
      </c>
      <c r="AC17" s="44"/>
      <c r="AD17" s="45"/>
      <c r="AE17" s="41"/>
    </row>
    <row r="18" spans="20:31" x14ac:dyDescent="0.4">
      <c r="T18" s="43" t="str">
        <f>IF(ISNUMBER(VLOOKUP(U18,Blotter!B:C,2,0)),VLOOKUP(U18,Blotter!B:C,2,0),"")</f>
        <v/>
      </c>
      <c r="U18" s="42">
        <f t="shared" ref="U18:U36" si="8">D18</f>
        <v>0</v>
      </c>
      <c r="V18" s="42">
        <f t="shared" ref="V18:V36" si="9">N18</f>
        <v>0</v>
      </c>
      <c r="W18" s="42">
        <f t="shared" ref="W18:W36" si="10">O18</f>
        <v>0</v>
      </c>
      <c r="X18" s="42">
        <f t="shared" ref="X18:X36" si="11">Q18</f>
        <v>0</v>
      </c>
      <c r="AC18" s="44"/>
      <c r="AD18" s="45"/>
      <c r="AE18" s="41"/>
    </row>
    <row r="19" spans="20:31" x14ac:dyDescent="0.4">
      <c r="T19" s="43" t="str">
        <f>IF(ISNUMBER(VLOOKUP(U19,Blotter!B:C,2,0)),VLOOKUP(U19,Blotter!B:C,2,0),"")</f>
        <v/>
      </c>
      <c r="U19" s="42">
        <f t="shared" si="8"/>
        <v>0</v>
      </c>
      <c r="V19" s="42">
        <f t="shared" si="9"/>
        <v>0</v>
      </c>
      <c r="W19" s="42">
        <f t="shared" si="10"/>
        <v>0</v>
      </c>
      <c r="X19" s="42">
        <f t="shared" si="11"/>
        <v>0</v>
      </c>
      <c r="AC19" s="44"/>
      <c r="AD19" s="45"/>
      <c r="AE19" s="41"/>
    </row>
    <row r="20" spans="20:31" x14ac:dyDescent="0.4">
      <c r="T20" s="43" t="str">
        <f>IF(ISNUMBER(VLOOKUP(U20,Blotter!B:C,2,0)),VLOOKUP(U20,Blotter!B:C,2,0),"")</f>
        <v/>
      </c>
      <c r="U20" s="42">
        <f t="shared" si="8"/>
        <v>0</v>
      </c>
      <c r="V20" s="42">
        <f t="shared" si="9"/>
        <v>0</v>
      </c>
      <c r="W20" s="42">
        <f t="shared" si="10"/>
        <v>0</v>
      </c>
      <c r="X20" s="42">
        <f t="shared" si="11"/>
        <v>0</v>
      </c>
      <c r="AC20" s="44"/>
      <c r="AD20" s="45"/>
      <c r="AE20" s="41"/>
    </row>
    <row r="21" spans="20:31" x14ac:dyDescent="0.4">
      <c r="T21" s="43" t="str">
        <f>IF(ISNUMBER(VLOOKUP(U21,Blotter!B:C,2,0)),VLOOKUP(U21,Blotter!B:C,2,0),"")</f>
        <v/>
      </c>
      <c r="U21" s="42">
        <f t="shared" si="8"/>
        <v>0</v>
      </c>
      <c r="V21" s="42">
        <f t="shared" si="9"/>
        <v>0</v>
      </c>
      <c r="W21" s="42">
        <f t="shared" si="10"/>
        <v>0</v>
      </c>
      <c r="X21" s="42">
        <f t="shared" si="11"/>
        <v>0</v>
      </c>
      <c r="AC21" s="44"/>
      <c r="AD21" s="45"/>
      <c r="AE21" s="41"/>
    </row>
    <row r="22" spans="20:31" x14ac:dyDescent="0.4">
      <c r="T22" s="43" t="str">
        <f>IF(ISNUMBER(VLOOKUP(U22,Blotter!B:C,2,0)),VLOOKUP(U22,Blotter!B:C,2,0),"")</f>
        <v/>
      </c>
      <c r="U22" s="42">
        <f t="shared" si="8"/>
        <v>0</v>
      </c>
      <c r="V22" s="42">
        <f t="shared" si="9"/>
        <v>0</v>
      </c>
      <c r="W22" s="42">
        <f t="shared" si="10"/>
        <v>0</v>
      </c>
      <c r="X22" s="42">
        <f t="shared" si="11"/>
        <v>0</v>
      </c>
      <c r="AC22" s="44"/>
      <c r="AD22" s="45"/>
      <c r="AE22" s="41"/>
    </row>
    <row r="23" spans="20:31" x14ac:dyDescent="0.4">
      <c r="T23" s="43" t="str">
        <f>IF(ISNUMBER(VLOOKUP(U23,Blotter!B:C,2,0)),VLOOKUP(U23,Blotter!B:C,2,0),"")</f>
        <v/>
      </c>
      <c r="U23" s="42">
        <f t="shared" si="8"/>
        <v>0</v>
      </c>
      <c r="V23" s="42">
        <f t="shared" si="9"/>
        <v>0</v>
      </c>
      <c r="W23" s="42">
        <f t="shared" si="10"/>
        <v>0</v>
      </c>
      <c r="X23" s="42">
        <f t="shared" si="11"/>
        <v>0</v>
      </c>
      <c r="AC23" s="44"/>
      <c r="AD23" s="45"/>
      <c r="AE23" s="41"/>
    </row>
    <row r="24" spans="20:31" x14ac:dyDescent="0.4">
      <c r="T24" s="43" t="str">
        <f>IF(ISNUMBER(VLOOKUP(U24,Blotter!B:C,2,0)),VLOOKUP(U24,Blotter!B:C,2,0),"")</f>
        <v/>
      </c>
      <c r="U24" s="42">
        <f t="shared" si="8"/>
        <v>0</v>
      </c>
      <c r="V24" s="42">
        <f t="shared" si="9"/>
        <v>0</v>
      </c>
      <c r="W24" s="42">
        <f t="shared" si="10"/>
        <v>0</v>
      </c>
      <c r="X24" s="42">
        <f t="shared" si="11"/>
        <v>0</v>
      </c>
      <c r="AC24" s="44"/>
      <c r="AD24" s="45"/>
      <c r="AE24" s="41"/>
    </row>
    <row r="25" spans="20:31" x14ac:dyDescent="0.4">
      <c r="T25" s="43" t="str">
        <f>IF(ISNUMBER(VLOOKUP(U25,Blotter!B:C,2,0)),VLOOKUP(U25,Blotter!B:C,2,0),"")</f>
        <v/>
      </c>
      <c r="U25" s="42">
        <f t="shared" si="8"/>
        <v>0</v>
      </c>
      <c r="V25" s="42">
        <f t="shared" si="9"/>
        <v>0</v>
      </c>
      <c r="W25" s="42">
        <f t="shared" si="10"/>
        <v>0</v>
      </c>
      <c r="X25" s="42">
        <f t="shared" si="11"/>
        <v>0</v>
      </c>
      <c r="AC25" s="44"/>
      <c r="AD25" s="45"/>
      <c r="AE25" s="41"/>
    </row>
    <row r="26" spans="20:31" x14ac:dyDescent="0.4">
      <c r="T26" s="43" t="str">
        <f>IF(ISNUMBER(VLOOKUP(U26,Blotter!B:C,2,0)),VLOOKUP(U26,Blotter!B:C,2,0),"")</f>
        <v/>
      </c>
      <c r="U26" s="42">
        <f t="shared" si="8"/>
        <v>0</v>
      </c>
      <c r="V26" s="42">
        <f t="shared" si="9"/>
        <v>0</v>
      </c>
      <c r="W26" s="42">
        <f t="shared" si="10"/>
        <v>0</v>
      </c>
      <c r="X26" s="42">
        <f t="shared" si="11"/>
        <v>0</v>
      </c>
      <c r="AC26" s="44"/>
      <c r="AD26" s="45"/>
      <c r="AE26" s="41"/>
    </row>
    <row r="27" spans="20:31" x14ac:dyDescent="0.4">
      <c r="T27" s="43" t="str">
        <f>IF(ISNUMBER(VLOOKUP(U27,Blotter!B:C,2,0)),VLOOKUP(U27,Blotter!B:C,2,0),"")</f>
        <v/>
      </c>
      <c r="U27" s="42">
        <f t="shared" si="8"/>
        <v>0</v>
      </c>
      <c r="V27" s="42">
        <f t="shared" si="9"/>
        <v>0</v>
      </c>
      <c r="W27" s="42">
        <f t="shared" si="10"/>
        <v>0</v>
      </c>
      <c r="X27" s="42">
        <f t="shared" si="11"/>
        <v>0</v>
      </c>
      <c r="AC27" s="44"/>
      <c r="AD27" s="45"/>
      <c r="AE27" s="41"/>
    </row>
    <row r="28" spans="20:31" x14ac:dyDescent="0.4">
      <c r="T28" s="43" t="str">
        <f>IF(ISNUMBER(VLOOKUP(U28,Blotter!B:C,2,0)),VLOOKUP(U28,Blotter!B:C,2,0),"")</f>
        <v/>
      </c>
      <c r="U28" s="42">
        <f t="shared" si="8"/>
        <v>0</v>
      </c>
      <c r="V28" s="42">
        <f t="shared" si="9"/>
        <v>0</v>
      </c>
      <c r="W28" s="42">
        <f t="shared" si="10"/>
        <v>0</v>
      </c>
      <c r="X28" s="42">
        <f t="shared" si="11"/>
        <v>0</v>
      </c>
      <c r="AC28" s="44"/>
      <c r="AD28" s="45"/>
      <c r="AE28" s="41"/>
    </row>
    <row r="29" spans="20:31" x14ac:dyDescent="0.4">
      <c r="T29" s="43" t="str">
        <f>IF(ISNUMBER(VLOOKUP(U29,Blotter!B:C,2,0)),VLOOKUP(U29,Blotter!B:C,2,0),"")</f>
        <v/>
      </c>
      <c r="U29" s="42">
        <f t="shared" si="8"/>
        <v>0</v>
      </c>
      <c r="V29" s="42">
        <f t="shared" si="9"/>
        <v>0</v>
      </c>
      <c r="W29" s="42">
        <f t="shared" si="10"/>
        <v>0</v>
      </c>
      <c r="X29" s="42">
        <f t="shared" si="11"/>
        <v>0</v>
      </c>
      <c r="AC29" s="44"/>
      <c r="AD29" s="45"/>
      <c r="AE29" s="41"/>
    </row>
    <row r="30" spans="20:31" x14ac:dyDescent="0.4">
      <c r="T30" s="43" t="str">
        <f>IF(ISNUMBER(VLOOKUP(U30,Blotter!B:C,2,0)),VLOOKUP(U30,Blotter!B:C,2,0),"")</f>
        <v/>
      </c>
      <c r="U30" s="42">
        <f t="shared" si="8"/>
        <v>0</v>
      </c>
      <c r="V30" s="42">
        <f t="shared" si="9"/>
        <v>0</v>
      </c>
      <c r="W30" s="42">
        <f t="shared" si="10"/>
        <v>0</v>
      </c>
      <c r="X30" s="42">
        <f t="shared" si="11"/>
        <v>0</v>
      </c>
      <c r="AC30" s="44"/>
      <c r="AD30" s="45"/>
      <c r="AE30" s="41"/>
    </row>
    <row r="31" spans="20:31" x14ac:dyDescent="0.4">
      <c r="T31" s="43" t="str">
        <f>IF(ISNUMBER(VLOOKUP(U31,Blotter!B:C,2,0)),VLOOKUP(U31,Blotter!B:C,2,0),"")</f>
        <v/>
      </c>
      <c r="U31" s="42">
        <f t="shared" si="8"/>
        <v>0</v>
      </c>
      <c r="V31" s="42">
        <f t="shared" si="9"/>
        <v>0</v>
      </c>
      <c r="W31" s="42">
        <f t="shared" si="10"/>
        <v>0</v>
      </c>
      <c r="X31" s="42">
        <f t="shared" si="11"/>
        <v>0</v>
      </c>
      <c r="AC31" s="44"/>
      <c r="AD31" s="45"/>
      <c r="AE31" s="41"/>
    </row>
    <row r="32" spans="20:31" x14ac:dyDescent="0.4">
      <c r="T32" s="43" t="str">
        <f>IF(ISNUMBER(VLOOKUP(U32,Blotter!B:C,2,0)),VLOOKUP(U32,Blotter!B:C,2,0),"")</f>
        <v/>
      </c>
      <c r="U32" s="42">
        <f t="shared" si="8"/>
        <v>0</v>
      </c>
      <c r="V32" s="42">
        <f t="shared" si="9"/>
        <v>0</v>
      </c>
      <c r="W32" s="42">
        <f t="shared" si="10"/>
        <v>0</v>
      </c>
      <c r="X32" s="42">
        <f t="shared" si="11"/>
        <v>0</v>
      </c>
      <c r="AC32" s="44"/>
      <c r="AD32" s="45"/>
      <c r="AE32" s="41"/>
    </row>
    <row r="33" spans="20:31" x14ac:dyDescent="0.4">
      <c r="T33" s="43" t="str">
        <f>IF(ISNUMBER(VLOOKUP(U33,Blotter!B:C,2,0)),VLOOKUP(U33,Blotter!B:C,2,0),"")</f>
        <v/>
      </c>
      <c r="U33" s="42">
        <f t="shared" si="8"/>
        <v>0</v>
      </c>
      <c r="V33" s="42">
        <f t="shared" si="9"/>
        <v>0</v>
      </c>
      <c r="W33" s="42">
        <f t="shared" si="10"/>
        <v>0</v>
      </c>
      <c r="X33" s="42">
        <f t="shared" si="11"/>
        <v>0</v>
      </c>
      <c r="AC33" s="44"/>
      <c r="AD33" s="45"/>
      <c r="AE33" s="41"/>
    </row>
    <row r="34" spans="20:31" x14ac:dyDescent="0.4">
      <c r="T34" s="43" t="str">
        <f>IF(ISNUMBER(VLOOKUP(U34,Blotter!B:C,2,0)),VLOOKUP(U34,Blotter!B:C,2,0),"")</f>
        <v/>
      </c>
      <c r="U34" s="42">
        <f t="shared" si="8"/>
        <v>0</v>
      </c>
      <c r="V34" s="42">
        <f t="shared" si="9"/>
        <v>0</v>
      </c>
      <c r="W34" s="42">
        <f t="shared" si="10"/>
        <v>0</v>
      </c>
      <c r="X34" s="42">
        <f t="shared" si="11"/>
        <v>0</v>
      </c>
    </row>
    <row r="35" spans="20:31" x14ac:dyDescent="0.4">
      <c r="T35" s="43" t="str">
        <f>IF(ISNUMBER(VLOOKUP(U35,Blotter!B:C,2,0)),VLOOKUP(U35,Blotter!B:C,2,0),"")</f>
        <v/>
      </c>
      <c r="U35" s="42">
        <f t="shared" si="8"/>
        <v>0</v>
      </c>
      <c r="V35" s="42">
        <f t="shared" si="9"/>
        <v>0</v>
      </c>
      <c r="W35" s="42">
        <f t="shared" si="10"/>
        <v>0</v>
      </c>
      <c r="X35" s="42">
        <f t="shared" si="11"/>
        <v>0</v>
      </c>
    </row>
    <row r="36" spans="20:31" x14ac:dyDescent="0.4">
      <c r="T36" s="43" t="str">
        <f>IF(ISNUMBER(VLOOKUP(U36,Blotter!B:C,2,0)),VLOOKUP(U36,Blotter!B:C,2,0),"")</f>
        <v/>
      </c>
      <c r="U36" s="42">
        <f t="shared" si="8"/>
        <v>0</v>
      </c>
      <c r="V36" s="42">
        <f t="shared" si="9"/>
        <v>0</v>
      </c>
      <c r="W36" s="42">
        <f t="shared" si="10"/>
        <v>0</v>
      </c>
      <c r="X36" s="42">
        <f t="shared" si="11"/>
        <v>0</v>
      </c>
    </row>
    <row r="37" spans="20:31" x14ac:dyDescent="0.4">
      <c r="T37" s="43"/>
      <c r="U37" s="42"/>
      <c r="V37" s="42"/>
      <c r="W37" s="42"/>
      <c r="X37" s="42"/>
    </row>
    <row r="38" spans="20:31" x14ac:dyDescent="0.4">
      <c r="T38" s="43"/>
      <c r="U38" s="42"/>
      <c r="V38" s="42"/>
      <c r="W38" s="42"/>
      <c r="X38" s="42"/>
    </row>
    <row r="39" spans="20:31" x14ac:dyDescent="0.4">
      <c r="T39" s="43"/>
      <c r="U39" s="42"/>
      <c r="V39" s="42"/>
      <c r="W39" s="42"/>
      <c r="X39" s="42"/>
    </row>
    <row r="40" spans="20:31" x14ac:dyDescent="0.4">
      <c r="T40" s="43"/>
      <c r="U40" s="42"/>
      <c r="V40" s="42"/>
      <c r="W40" s="42"/>
      <c r="X40" s="42"/>
    </row>
    <row r="41" spans="20:31" x14ac:dyDescent="0.4">
      <c r="T41" s="43"/>
      <c r="U41" s="42"/>
      <c r="V41" s="42"/>
      <c r="W41" s="42"/>
      <c r="X41" s="42"/>
    </row>
    <row r="42" spans="20:31" x14ac:dyDescent="0.4">
      <c r="T42" s="43"/>
      <c r="U42" s="42"/>
      <c r="V42" s="42"/>
      <c r="W42" s="42"/>
      <c r="X42" s="42"/>
    </row>
    <row r="43" spans="20:31" x14ac:dyDescent="0.4">
      <c r="T43" s="43"/>
      <c r="U43" s="42"/>
      <c r="V43" s="42"/>
      <c r="W43" s="42"/>
      <c r="X43" s="42"/>
    </row>
    <row r="44" spans="20:31" x14ac:dyDescent="0.4">
      <c r="T44" s="43"/>
      <c r="U44" s="42"/>
      <c r="V44" s="42"/>
      <c r="W44" s="42"/>
      <c r="X44" s="42"/>
    </row>
    <row r="45" spans="20:31" x14ac:dyDescent="0.4">
      <c r="T45" s="43"/>
      <c r="U45" s="42"/>
      <c r="V45" s="42"/>
      <c r="W45" s="42"/>
      <c r="X45" s="42"/>
    </row>
    <row r="46" spans="20:31" x14ac:dyDescent="0.4">
      <c r="T46" s="43"/>
      <c r="U46" s="42"/>
      <c r="V46" s="42"/>
      <c r="W46" s="42"/>
      <c r="X46" s="42"/>
    </row>
    <row r="47" spans="20:31" x14ac:dyDescent="0.4">
      <c r="T47" s="43"/>
      <c r="U47" s="42"/>
      <c r="V47" s="42"/>
      <c r="W47" s="42"/>
      <c r="X47" s="42"/>
    </row>
    <row r="48" spans="20:31" x14ac:dyDescent="0.4">
      <c r="T48" s="43"/>
      <c r="U48" s="42"/>
      <c r="V48" s="42"/>
      <c r="W48" s="42"/>
      <c r="X48" s="42"/>
    </row>
    <row r="49" spans="20:24" x14ac:dyDescent="0.4">
      <c r="T49" s="43"/>
      <c r="U49" s="42"/>
      <c r="V49" s="42"/>
      <c r="W49" s="42"/>
      <c r="X49" s="42"/>
    </row>
    <row r="50" spans="20:24" x14ac:dyDescent="0.4">
      <c r="T50" s="43"/>
      <c r="U50" s="42"/>
      <c r="V50" s="42"/>
      <c r="W50" s="42"/>
      <c r="X50" s="42"/>
    </row>
    <row r="51" spans="20:24" x14ac:dyDescent="0.4">
      <c r="T51" s="43"/>
      <c r="U51" s="42"/>
      <c r="V51" s="42"/>
      <c r="W51" s="42"/>
      <c r="X51" s="42"/>
    </row>
    <row r="52" spans="20:24" x14ac:dyDescent="0.4">
      <c r="T52" s="43"/>
      <c r="U52" s="42"/>
      <c r="V52" s="42"/>
      <c r="W52" s="42"/>
      <c r="X52" s="42"/>
    </row>
    <row r="53" spans="20:24" x14ac:dyDescent="0.4">
      <c r="T53" s="43"/>
      <c r="U53" s="42"/>
      <c r="V53" s="42"/>
      <c r="W53" s="42"/>
      <c r="X53" s="42"/>
    </row>
    <row r="54" spans="20:24" x14ac:dyDescent="0.4">
      <c r="T54" s="43"/>
      <c r="U54" s="42"/>
      <c r="V54" s="42"/>
      <c r="W54" s="42"/>
      <c r="X54" s="42"/>
    </row>
    <row r="55" spans="20:24" x14ac:dyDescent="0.4">
      <c r="T55" s="43"/>
      <c r="U55" s="42"/>
      <c r="V55" s="42"/>
      <c r="W55" s="42"/>
      <c r="X55" s="42"/>
    </row>
    <row r="56" spans="20:24" x14ac:dyDescent="0.4">
      <c r="T56" s="43"/>
      <c r="U56" s="42"/>
      <c r="V56" s="42"/>
      <c r="W56" s="42"/>
      <c r="X56" s="42"/>
    </row>
    <row r="57" spans="20:24" x14ac:dyDescent="0.4">
      <c r="T57" s="43"/>
      <c r="U57" s="42"/>
      <c r="V57" s="42"/>
      <c r="W57" s="42"/>
      <c r="X57" s="42"/>
    </row>
    <row r="58" spans="20:24" x14ac:dyDescent="0.4">
      <c r="T58" s="43"/>
      <c r="U58" s="42"/>
      <c r="V58" s="42"/>
      <c r="W58" s="42"/>
      <c r="X58" s="42"/>
    </row>
    <row r="59" spans="20:24" x14ac:dyDescent="0.4">
      <c r="T59" s="43"/>
      <c r="U59" s="42"/>
      <c r="V59" s="42"/>
      <c r="W59" s="42"/>
      <c r="X59" s="42"/>
    </row>
    <row r="60" spans="20:24" x14ac:dyDescent="0.4">
      <c r="T60" s="43"/>
      <c r="U60" s="42"/>
      <c r="V60" s="42"/>
      <c r="W60" s="42"/>
      <c r="X60" s="42"/>
    </row>
    <row r="61" spans="20:24" x14ac:dyDescent="0.4">
      <c r="T61" s="43"/>
      <c r="U61" s="42"/>
      <c r="V61" s="42"/>
      <c r="W61" s="42"/>
      <c r="X61" s="42"/>
    </row>
    <row r="62" spans="20:24" x14ac:dyDescent="0.4">
      <c r="T62" s="43"/>
      <c r="U62" s="42"/>
      <c r="V62" s="42"/>
      <c r="W62" s="42"/>
      <c r="X62" s="42"/>
    </row>
    <row r="63" spans="20:24" x14ac:dyDescent="0.4">
      <c r="T63" s="43"/>
      <c r="U63" s="42"/>
      <c r="V63" s="42"/>
      <c r="W63" s="42"/>
      <c r="X63" s="42"/>
    </row>
    <row r="64" spans="20:24" x14ac:dyDescent="0.4">
      <c r="T64" s="43"/>
      <c r="U64" s="42"/>
      <c r="V64" s="42"/>
      <c r="W64" s="42"/>
      <c r="X64" s="42"/>
    </row>
    <row r="65" spans="20:24" x14ac:dyDescent="0.4">
      <c r="T65" s="43"/>
      <c r="U65" s="42"/>
      <c r="V65" s="42"/>
      <c r="W65" s="42"/>
      <c r="X65" s="42"/>
    </row>
    <row r="66" spans="20:24" x14ac:dyDescent="0.4">
      <c r="T66" s="43"/>
      <c r="U66" s="42"/>
      <c r="V66" s="42"/>
      <c r="W66" s="42"/>
      <c r="X66" s="42"/>
    </row>
    <row r="67" spans="20:24" x14ac:dyDescent="0.4">
      <c r="T67" s="43"/>
      <c r="U67" s="42"/>
      <c r="V67" s="42"/>
      <c r="W67" s="42"/>
      <c r="X67" s="42"/>
    </row>
    <row r="68" spans="20:24" x14ac:dyDescent="0.4">
      <c r="T68" s="43"/>
      <c r="U68" s="42"/>
      <c r="V68" s="42"/>
      <c r="W68" s="42"/>
      <c r="X68" s="42"/>
    </row>
    <row r="69" spans="20:24" x14ac:dyDescent="0.4">
      <c r="T69" s="43"/>
      <c r="U69" s="42"/>
      <c r="V69" s="42"/>
      <c r="W69" s="42"/>
      <c r="X69" s="42"/>
    </row>
    <row r="70" spans="20:24" x14ac:dyDescent="0.4">
      <c r="T70" s="43"/>
      <c r="U70" s="42"/>
      <c r="V70" s="42"/>
      <c r="W70" s="42"/>
      <c r="X70" s="42"/>
    </row>
    <row r="71" spans="20:24" x14ac:dyDescent="0.4">
      <c r="T71" s="43"/>
      <c r="U71" s="42"/>
      <c r="V71" s="42"/>
      <c r="W71" s="42"/>
      <c r="X71" s="42"/>
    </row>
    <row r="72" spans="20:24" x14ac:dyDescent="0.4">
      <c r="T72" s="43"/>
      <c r="U72" s="42"/>
      <c r="V72" s="42"/>
      <c r="W72" s="42"/>
      <c r="X72" s="42"/>
    </row>
    <row r="73" spans="20:24" x14ac:dyDescent="0.4">
      <c r="T73" s="43"/>
      <c r="U73" s="42"/>
      <c r="V73" s="42"/>
      <c r="W73" s="42"/>
      <c r="X73" s="42"/>
    </row>
    <row r="74" spans="20:24" x14ac:dyDescent="0.4">
      <c r="T74" s="43"/>
      <c r="U74" s="42"/>
      <c r="V74" s="42"/>
      <c r="W74" s="42"/>
      <c r="X74" s="42"/>
    </row>
    <row r="75" spans="20:24" x14ac:dyDescent="0.4">
      <c r="T75" s="43"/>
      <c r="U75" s="42"/>
      <c r="V75" s="42"/>
      <c r="W75" s="42"/>
      <c r="X75" s="42"/>
    </row>
    <row r="76" spans="20:24" x14ac:dyDescent="0.4">
      <c r="T76" s="43"/>
      <c r="U76" s="42"/>
      <c r="V76" s="42"/>
      <c r="W76" s="42"/>
      <c r="X76" s="42"/>
    </row>
    <row r="77" spans="20:24" x14ac:dyDescent="0.4">
      <c r="T77" s="43"/>
      <c r="U77" s="42"/>
      <c r="V77" s="42"/>
      <c r="W77" s="42"/>
      <c r="X77" s="42"/>
    </row>
    <row r="78" spans="20:24" x14ac:dyDescent="0.4">
      <c r="T78" s="43"/>
      <c r="U78" s="42"/>
      <c r="V78" s="42"/>
      <c r="W78" s="42"/>
      <c r="X78" s="42"/>
    </row>
    <row r="79" spans="20:24" x14ac:dyDescent="0.4">
      <c r="T79" s="43"/>
      <c r="U79" s="42"/>
      <c r="V79" s="42"/>
      <c r="W79" s="42"/>
      <c r="X79" s="42"/>
    </row>
    <row r="80" spans="20:24" x14ac:dyDescent="0.4">
      <c r="T80" s="43"/>
      <c r="U80" s="42"/>
      <c r="V80" s="42"/>
      <c r="W80" s="42"/>
      <c r="X80" s="42"/>
    </row>
    <row r="81" spans="20:24" x14ac:dyDescent="0.4">
      <c r="T81" s="43"/>
      <c r="U81" s="42"/>
      <c r="V81" s="42"/>
      <c r="W81" s="42"/>
      <c r="X81" s="42"/>
    </row>
    <row r="82" spans="20:24" x14ac:dyDescent="0.4">
      <c r="T82" s="43"/>
      <c r="U82" s="42"/>
      <c r="V82" s="42"/>
      <c r="W82" s="42"/>
      <c r="X82" s="42"/>
    </row>
    <row r="83" spans="20:24" x14ac:dyDescent="0.4">
      <c r="T83" s="43"/>
      <c r="U83" s="42"/>
      <c r="V83" s="42"/>
      <c r="W83" s="42"/>
      <c r="X83" s="42"/>
    </row>
    <row r="84" spans="20:24" x14ac:dyDescent="0.4">
      <c r="T84" s="43"/>
      <c r="U84" s="42"/>
      <c r="V84" s="42"/>
      <c r="W84" s="42"/>
      <c r="X84" s="42"/>
    </row>
    <row r="85" spans="20:24" x14ac:dyDescent="0.4">
      <c r="T85" s="43"/>
      <c r="U85" s="42"/>
      <c r="V85" s="42"/>
      <c r="W85" s="42"/>
      <c r="X85" s="42"/>
    </row>
    <row r="86" spans="20:24" x14ac:dyDescent="0.4">
      <c r="T86" s="43"/>
      <c r="U86" s="42"/>
      <c r="V86" s="42"/>
      <c r="W86" s="42"/>
      <c r="X86" s="42"/>
    </row>
    <row r="87" spans="20:24" x14ac:dyDescent="0.4">
      <c r="T87" s="43"/>
      <c r="U87" s="42"/>
      <c r="V87" s="42"/>
      <c r="W87" s="42"/>
      <c r="X87" s="42"/>
    </row>
    <row r="88" spans="20:24" x14ac:dyDescent="0.4">
      <c r="T88" s="43"/>
      <c r="U88" s="42"/>
      <c r="V88" s="42"/>
      <c r="W88" s="42"/>
      <c r="X88" s="42"/>
    </row>
    <row r="89" spans="20:24" x14ac:dyDescent="0.4">
      <c r="T89" s="43"/>
      <c r="U89" s="42"/>
      <c r="V89" s="42"/>
      <c r="W89" s="42"/>
      <c r="X89" s="42"/>
    </row>
    <row r="90" spans="20:24" x14ac:dyDescent="0.4">
      <c r="T90" s="43"/>
      <c r="U90" s="42"/>
      <c r="V90" s="42"/>
      <c r="W90" s="42"/>
      <c r="X90" s="42"/>
    </row>
    <row r="91" spans="20:24" x14ac:dyDescent="0.4">
      <c r="T91" s="43"/>
      <c r="U91" s="42"/>
      <c r="V91" s="42"/>
      <c r="W91" s="42"/>
      <c r="X91" s="42"/>
    </row>
    <row r="92" spans="20:24" x14ac:dyDescent="0.4">
      <c r="T92" s="43"/>
      <c r="U92" s="42"/>
      <c r="V92" s="42"/>
      <c r="W92" s="42"/>
      <c r="X92" s="42"/>
    </row>
    <row r="93" spans="20:24" x14ac:dyDescent="0.4">
      <c r="T93" s="43"/>
      <c r="U93" s="42"/>
      <c r="V93" s="42"/>
      <c r="W93" s="42"/>
      <c r="X93" s="42"/>
    </row>
    <row r="94" spans="20:24" x14ac:dyDescent="0.4">
      <c r="T94" s="43"/>
      <c r="U94" s="42"/>
      <c r="V94" s="42"/>
      <c r="W94" s="42"/>
      <c r="X94" s="42"/>
    </row>
    <row r="95" spans="20:24" x14ac:dyDescent="0.4">
      <c r="T95" s="43"/>
      <c r="U95" s="42"/>
      <c r="V95" s="42"/>
      <c r="W95" s="42"/>
      <c r="X95" s="42"/>
    </row>
    <row r="96" spans="20:24" x14ac:dyDescent="0.4">
      <c r="T96" s="43"/>
      <c r="U96" s="42"/>
      <c r="V96" s="42"/>
      <c r="W96" s="42"/>
      <c r="X96" s="42"/>
    </row>
    <row r="97" spans="4:24" x14ac:dyDescent="0.4">
      <c r="T97" s="43"/>
      <c r="U97" s="42"/>
      <c r="V97" s="42"/>
      <c r="W97" s="42"/>
      <c r="X97" s="42"/>
    </row>
    <row r="98" spans="4:24" x14ac:dyDescent="0.4">
      <c r="T98" s="43"/>
      <c r="U98" s="42"/>
      <c r="V98" s="42"/>
      <c r="W98" s="42"/>
      <c r="X98" s="42"/>
    </row>
    <row r="99" spans="4:24" x14ac:dyDescent="0.4">
      <c r="T99" s="43"/>
      <c r="U99" s="42"/>
      <c r="V99" s="42"/>
      <c r="W99" s="42"/>
      <c r="X99" s="42"/>
    </row>
    <row r="100" spans="4:24" x14ac:dyDescent="0.4">
      <c r="T100" s="43"/>
      <c r="U100" s="42"/>
      <c r="V100" s="42"/>
      <c r="W100" s="42"/>
      <c r="X100" s="42"/>
    </row>
    <row r="101" spans="4:24" x14ac:dyDescent="0.4">
      <c r="T101" s="43"/>
      <c r="U101" s="42"/>
      <c r="V101" s="42"/>
      <c r="W101" s="42"/>
      <c r="X101" s="42"/>
    </row>
    <row r="102" spans="4:24" x14ac:dyDescent="0.4">
      <c r="T102" s="43"/>
      <c r="U102" s="42"/>
      <c r="V102" s="42"/>
      <c r="W102" s="42"/>
      <c r="X102" s="42"/>
    </row>
    <row r="103" spans="4:24" x14ac:dyDescent="0.4">
      <c r="T103" s="43"/>
      <c r="U103" s="42"/>
      <c r="V103" s="42"/>
      <c r="W103" s="42"/>
      <c r="X103" s="42"/>
    </row>
    <row r="104" spans="4:24" x14ac:dyDescent="0.4">
      <c r="T104" s="43"/>
      <c r="U104" s="42"/>
      <c r="V104" s="42"/>
      <c r="W104" s="42"/>
      <c r="X104" s="42"/>
    </row>
    <row r="105" spans="4:24" x14ac:dyDescent="0.4">
      <c r="T105" s="43"/>
      <c r="U105" s="42"/>
      <c r="V105" s="42"/>
      <c r="W105" s="42"/>
      <c r="X105" s="42"/>
    </row>
    <row r="106" spans="4:24" x14ac:dyDescent="0.4">
      <c r="T106" s="43"/>
      <c r="U106" s="42"/>
      <c r="V106" s="42"/>
      <c r="W106" s="42"/>
      <c r="X106" s="42"/>
    </row>
    <row r="107" spans="4:24" x14ac:dyDescent="0.4">
      <c r="T107" s="43"/>
      <c r="U107" s="42"/>
      <c r="V107" s="42"/>
      <c r="W107" s="42"/>
      <c r="X107" s="42"/>
    </row>
    <row r="108" spans="4:24" x14ac:dyDescent="0.4">
      <c r="T108" s="43"/>
      <c r="U108" s="42"/>
      <c r="V108" s="42"/>
      <c r="W108" s="42"/>
      <c r="X108" s="42"/>
    </row>
    <row r="109" spans="4:24" x14ac:dyDescent="0.4">
      <c r="D109" s="50"/>
      <c r="O109" s="50"/>
      <c r="T109" s="43"/>
      <c r="U109" s="42"/>
      <c r="V109" s="42"/>
      <c r="W109" s="42"/>
      <c r="X109" s="42"/>
    </row>
    <row r="110" spans="4:24" x14ac:dyDescent="0.4">
      <c r="O110" s="50"/>
      <c r="T110" s="43"/>
      <c r="U110" s="42"/>
      <c r="V110" s="42"/>
      <c r="W110" s="42"/>
      <c r="X110" s="42"/>
    </row>
    <row r="111" spans="4:24" x14ac:dyDescent="0.4">
      <c r="T111" s="43"/>
      <c r="U111" s="42"/>
      <c r="V111" s="42"/>
      <c r="W111" s="42"/>
      <c r="X111" s="42"/>
    </row>
    <row r="112" spans="4:24" x14ac:dyDescent="0.4">
      <c r="T112" s="43"/>
      <c r="U112" s="42"/>
      <c r="V112" s="42"/>
      <c r="W112" s="42"/>
      <c r="X112" s="42"/>
    </row>
    <row r="113" spans="20:24" x14ac:dyDescent="0.4">
      <c r="T113" s="43"/>
      <c r="U113" s="42"/>
      <c r="V113" s="42"/>
      <c r="W113" s="42"/>
      <c r="X113" s="42"/>
    </row>
    <row r="114" spans="20:24" x14ac:dyDescent="0.4">
      <c r="T114" s="43"/>
      <c r="U114" s="42"/>
      <c r="V114" s="42"/>
      <c r="W114" s="42"/>
      <c r="X114" s="42"/>
    </row>
    <row r="115" spans="20:24" x14ac:dyDescent="0.4">
      <c r="T115" s="43"/>
      <c r="U115" s="42"/>
      <c r="V115" s="42"/>
      <c r="W115" s="42"/>
      <c r="X115" s="42"/>
    </row>
    <row r="116" spans="20:24" x14ac:dyDescent="0.4">
      <c r="T116" s="43"/>
      <c r="U116" s="42"/>
      <c r="V116" s="42"/>
      <c r="W116" s="42"/>
      <c r="X116" s="42"/>
    </row>
    <row r="117" spans="20:24" x14ac:dyDescent="0.4">
      <c r="T117" s="43"/>
      <c r="U117" s="42"/>
      <c r="V117" s="42"/>
      <c r="W117" s="42"/>
      <c r="X117" s="42"/>
    </row>
    <row r="118" spans="20:24" x14ac:dyDescent="0.4">
      <c r="T118" s="43"/>
      <c r="U118" s="42"/>
      <c r="V118" s="42"/>
      <c r="W118" s="42"/>
      <c r="X118" s="42"/>
    </row>
    <row r="119" spans="20:24" x14ac:dyDescent="0.4">
      <c r="T119" s="43"/>
      <c r="U119" s="42"/>
      <c r="V119" s="42"/>
      <c r="W119" s="42"/>
      <c r="X119" s="42"/>
    </row>
    <row r="120" spans="20:24" x14ac:dyDescent="0.4">
      <c r="T120" s="43"/>
      <c r="U120" s="42"/>
      <c r="V120" s="42"/>
      <c r="W120" s="42"/>
      <c r="X120" s="42"/>
    </row>
    <row r="121" spans="20:24" x14ac:dyDescent="0.4">
      <c r="T121" s="43"/>
      <c r="U121" s="42"/>
      <c r="V121" s="42"/>
      <c r="W121" s="42"/>
      <c r="X121" s="42"/>
    </row>
    <row r="122" spans="20:24" x14ac:dyDescent="0.4">
      <c r="T122" s="43"/>
      <c r="U122" s="42"/>
      <c r="V122" s="42"/>
      <c r="W122" s="42"/>
      <c r="X122" s="42"/>
    </row>
    <row r="123" spans="20:24" x14ac:dyDescent="0.4">
      <c r="T123" s="43"/>
      <c r="U123" s="42"/>
      <c r="V123" s="42"/>
      <c r="W123" s="42"/>
      <c r="X123" s="42"/>
    </row>
    <row r="124" spans="20:24" x14ac:dyDescent="0.4">
      <c r="T124" s="43"/>
      <c r="U124" s="42"/>
      <c r="V124" s="42"/>
      <c r="W124" s="42"/>
      <c r="X124" s="42"/>
    </row>
    <row r="125" spans="20:24" x14ac:dyDescent="0.4">
      <c r="T125" s="43"/>
      <c r="U125" s="42"/>
      <c r="V125" s="42"/>
      <c r="W125" s="42"/>
      <c r="X125" s="42"/>
    </row>
    <row r="126" spans="20:24" x14ac:dyDescent="0.4">
      <c r="T126" s="43"/>
      <c r="U126" s="42"/>
      <c r="V126" s="42"/>
      <c r="W126" s="42"/>
      <c r="X126" s="42"/>
    </row>
    <row r="127" spans="20:24" x14ac:dyDescent="0.4">
      <c r="T127" s="43"/>
      <c r="U127" s="42"/>
      <c r="V127" s="42"/>
      <c r="W127" s="42"/>
      <c r="X127" s="42"/>
    </row>
    <row r="128" spans="20:24" x14ac:dyDescent="0.4">
      <c r="T128" s="43"/>
      <c r="U128" s="42"/>
      <c r="V128" s="42"/>
      <c r="W128" s="42"/>
      <c r="X128" s="42"/>
    </row>
    <row r="129" spans="20:24" x14ac:dyDescent="0.4">
      <c r="T129" s="43"/>
      <c r="U129" s="42"/>
      <c r="V129" s="42"/>
      <c r="W129" s="42"/>
      <c r="X129" s="42"/>
    </row>
    <row r="130" spans="20:24" x14ac:dyDescent="0.4">
      <c r="T130" s="43"/>
      <c r="U130" s="42"/>
      <c r="V130" s="42"/>
      <c r="W130" s="42"/>
      <c r="X130" s="42"/>
    </row>
    <row r="131" spans="20:24" x14ac:dyDescent="0.4">
      <c r="T131" s="43"/>
      <c r="U131" s="42"/>
      <c r="V131" s="42"/>
      <c r="W131" s="42"/>
      <c r="X131" s="42"/>
    </row>
    <row r="132" spans="20:24" x14ac:dyDescent="0.4">
      <c r="T132" s="43"/>
      <c r="U132" s="42"/>
      <c r="V132" s="42"/>
      <c r="W132" s="42"/>
      <c r="X132" s="42"/>
    </row>
    <row r="133" spans="20:24" x14ac:dyDescent="0.4">
      <c r="T133" s="43"/>
      <c r="U133" s="42"/>
      <c r="V133" s="42"/>
      <c r="W133" s="42"/>
      <c r="X133" s="42"/>
    </row>
    <row r="134" spans="20:24" x14ac:dyDescent="0.4">
      <c r="T134" s="43"/>
      <c r="U134" s="42"/>
      <c r="V134" s="42"/>
      <c r="W134" s="42"/>
      <c r="X134" s="42"/>
    </row>
    <row r="135" spans="20:24" x14ac:dyDescent="0.4">
      <c r="T135" s="43"/>
      <c r="U135" s="42"/>
      <c r="V135" s="42"/>
      <c r="W135" s="42"/>
      <c r="X135" s="42"/>
    </row>
    <row r="136" spans="20:24" x14ac:dyDescent="0.4">
      <c r="T136" s="43"/>
      <c r="U136" s="42"/>
      <c r="V136" s="42"/>
      <c r="W136" s="42"/>
      <c r="X136" s="42"/>
    </row>
    <row r="137" spans="20:24" x14ac:dyDescent="0.4">
      <c r="T137" s="43"/>
      <c r="U137" s="42"/>
      <c r="V137" s="42"/>
      <c r="W137" s="42"/>
      <c r="X137" s="42"/>
    </row>
    <row r="138" spans="20:24" x14ac:dyDescent="0.4">
      <c r="T138" s="43"/>
      <c r="U138" s="42"/>
      <c r="V138" s="42"/>
      <c r="W138" s="42"/>
      <c r="X138" s="42"/>
    </row>
    <row r="139" spans="20:24" x14ac:dyDescent="0.4">
      <c r="T139" s="43"/>
      <c r="U139" s="42"/>
      <c r="V139" s="42"/>
      <c r="W139" s="42"/>
      <c r="X139" s="42"/>
    </row>
    <row r="140" spans="20:24" x14ac:dyDescent="0.4">
      <c r="T140" s="43"/>
      <c r="U140" s="42"/>
      <c r="V140" s="42"/>
      <c r="W140" s="42"/>
      <c r="X140" s="42"/>
    </row>
    <row r="141" spans="20:24" x14ac:dyDescent="0.4">
      <c r="T141" s="43"/>
      <c r="U141" s="42"/>
      <c r="V141" s="42"/>
      <c r="W141" s="42"/>
      <c r="X141" s="42"/>
    </row>
    <row r="142" spans="20:24" x14ac:dyDescent="0.4">
      <c r="T142" s="43"/>
      <c r="U142" s="42"/>
      <c r="V142" s="42"/>
      <c r="W142" s="42"/>
      <c r="X142" s="42"/>
    </row>
    <row r="143" spans="20:24" x14ac:dyDescent="0.4">
      <c r="T143" s="43"/>
      <c r="U143" s="42"/>
      <c r="V143" s="42"/>
      <c r="W143" s="42"/>
      <c r="X143" s="42"/>
    </row>
    <row r="144" spans="20:24" x14ac:dyDescent="0.4">
      <c r="T144" s="43"/>
      <c r="U144" s="42"/>
      <c r="V144" s="42"/>
      <c r="W144" s="42"/>
      <c r="X144" s="42"/>
    </row>
    <row r="145" spans="4:24" x14ac:dyDescent="0.4">
      <c r="T145" s="43"/>
      <c r="U145" s="42"/>
      <c r="V145" s="42"/>
      <c r="W145" s="42"/>
      <c r="X145" s="42"/>
    </row>
    <row r="146" spans="4:24" x14ac:dyDescent="0.4">
      <c r="D146" s="50"/>
      <c r="O146" s="50"/>
      <c r="T146" s="43"/>
      <c r="U146" s="42"/>
      <c r="V146" s="42"/>
      <c r="W146" s="42"/>
      <c r="X146" s="42"/>
    </row>
    <row r="147" spans="4:24" x14ac:dyDescent="0.4">
      <c r="T147" s="43"/>
      <c r="U147" s="42"/>
      <c r="V147" s="42"/>
      <c r="W147" s="42"/>
      <c r="X147" s="42"/>
    </row>
    <row r="148" spans="4:24" x14ac:dyDescent="0.4">
      <c r="T148" s="43"/>
      <c r="U148" s="42"/>
      <c r="V148" s="42"/>
      <c r="W148" s="42"/>
      <c r="X148" s="42"/>
    </row>
    <row r="149" spans="4:24" x14ac:dyDescent="0.4">
      <c r="T149" s="43"/>
      <c r="U149" s="42"/>
      <c r="V149" s="42"/>
      <c r="W149" s="42"/>
      <c r="X149" s="42"/>
    </row>
    <row r="150" spans="4:24" x14ac:dyDescent="0.4">
      <c r="T150" s="43"/>
      <c r="U150" s="42"/>
      <c r="V150" s="42"/>
      <c r="W150" s="42"/>
      <c r="X150" s="42"/>
    </row>
    <row r="151" spans="4:24" x14ac:dyDescent="0.4">
      <c r="T151" s="43"/>
      <c r="U151" s="42"/>
      <c r="V151" s="42"/>
      <c r="W151" s="42"/>
      <c r="X151" s="42"/>
    </row>
    <row r="152" spans="4:24" x14ac:dyDescent="0.4">
      <c r="T152" s="43"/>
      <c r="U152" s="42"/>
      <c r="V152" s="42"/>
      <c r="W152" s="42"/>
      <c r="X152" s="42"/>
    </row>
    <row r="153" spans="4:24" x14ac:dyDescent="0.4">
      <c r="T153" s="43"/>
      <c r="U153" s="42"/>
      <c r="V153" s="42"/>
      <c r="W153" s="42"/>
      <c r="X153" s="42"/>
    </row>
    <row r="154" spans="4:24" x14ac:dyDescent="0.4">
      <c r="T154" s="43"/>
      <c r="U154" s="42"/>
      <c r="V154" s="42"/>
      <c r="W154" s="42"/>
      <c r="X154" s="42"/>
    </row>
    <row r="155" spans="4:24" x14ac:dyDescent="0.4">
      <c r="T155" s="43"/>
      <c r="U155" s="42"/>
      <c r="V155" s="42"/>
      <c r="W155" s="42"/>
      <c r="X155" s="42"/>
    </row>
    <row r="156" spans="4:24" x14ac:dyDescent="0.4">
      <c r="T156" s="43"/>
      <c r="U156" s="42"/>
      <c r="V156" s="42"/>
      <c r="W156" s="42"/>
      <c r="X156" s="42"/>
    </row>
    <row r="157" spans="4:24" x14ac:dyDescent="0.4">
      <c r="T157" s="43"/>
      <c r="U157" s="42"/>
      <c r="V157" s="42"/>
      <c r="W157" s="42"/>
      <c r="X157" s="42"/>
    </row>
    <row r="158" spans="4:24" x14ac:dyDescent="0.4">
      <c r="T158" s="43"/>
      <c r="U158" s="42"/>
      <c r="V158" s="42"/>
      <c r="W158" s="42"/>
      <c r="X158" s="42"/>
    </row>
    <row r="159" spans="4:24" x14ac:dyDescent="0.4">
      <c r="T159" s="43"/>
      <c r="U159" s="42"/>
      <c r="V159" s="42"/>
      <c r="W159" s="42"/>
      <c r="X159" s="42"/>
    </row>
    <row r="160" spans="4:24" x14ac:dyDescent="0.4">
      <c r="T160" s="43"/>
      <c r="U160" s="42"/>
      <c r="V160" s="42"/>
      <c r="W160" s="42"/>
      <c r="X160" s="42"/>
    </row>
    <row r="161" spans="20:24" x14ac:dyDescent="0.4">
      <c r="T161" s="43"/>
      <c r="U161" s="42"/>
      <c r="V161" s="42"/>
      <c r="W161" s="42"/>
      <c r="X161" s="42"/>
    </row>
    <row r="162" spans="20:24" x14ac:dyDescent="0.4">
      <c r="T162" s="43"/>
      <c r="U162" s="42"/>
      <c r="V162" s="42"/>
      <c r="W162" s="42"/>
      <c r="X162" s="42"/>
    </row>
    <row r="163" spans="20:24" x14ac:dyDescent="0.4">
      <c r="T163" s="43"/>
      <c r="U163" s="42"/>
      <c r="V163" s="42"/>
      <c r="W163" s="42"/>
      <c r="X163" s="42"/>
    </row>
    <row r="164" spans="20:24" x14ac:dyDescent="0.4">
      <c r="T164" s="43"/>
      <c r="U164" s="42"/>
      <c r="V164" s="42"/>
      <c r="W164" s="42"/>
      <c r="X164" s="42"/>
    </row>
    <row r="165" spans="20:24" x14ac:dyDescent="0.4">
      <c r="T165" s="43"/>
      <c r="U165" s="42"/>
      <c r="V165" s="42"/>
      <c r="W165" s="42"/>
      <c r="X165" s="42"/>
    </row>
    <row r="166" spans="20:24" x14ac:dyDescent="0.4">
      <c r="T166" s="43"/>
      <c r="U166" s="42"/>
      <c r="V166" s="42"/>
      <c r="W166" s="42"/>
      <c r="X166" s="42"/>
    </row>
    <row r="167" spans="20:24" x14ac:dyDescent="0.4">
      <c r="T167" s="43"/>
      <c r="U167" s="42"/>
      <c r="V167" s="42"/>
      <c r="W167" s="42"/>
      <c r="X167" s="42"/>
    </row>
    <row r="168" spans="20:24" x14ac:dyDescent="0.4">
      <c r="T168" s="43"/>
      <c r="U168" s="42"/>
      <c r="V168" s="42"/>
      <c r="W168" s="42"/>
      <c r="X168" s="42"/>
    </row>
    <row r="169" spans="20:24" x14ac:dyDescent="0.4">
      <c r="T169" s="43"/>
      <c r="U169" s="42"/>
      <c r="V169" s="42"/>
      <c r="W169" s="42"/>
      <c r="X169" s="42"/>
    </row>
    <row r="170" spans="20:24" x14ac:dyDescent="0.4">
      <c r="T170" s="43"/>
      <c r="U170" s="42"/>
      <c r="V170" s="42"/>
      <c r="W170" s="42"/>
      <c r="X170" s="42"/>
    </row>
    <row r="171" spans="20:24" x14ac:dyDescent="0.4">
      <c r="T171" s="43"/>
      <c r="U171" s="42"/>
      <c r="V171" s="42"/>
      <c r="W171" s="42"/>
      <c r="X171" s="42"/>
    </row>
    <row r="172" spans="20:24" x14ac:dyDescent="0.4">
      <c r="T172" s="43"/>
      <c r="U172" s="42"/>
      <c r="V172" s="42"/>
      <c r="W172" s="42"/>
      <c r="X172" s="42"/>
    </row>
    <row r="173" spans="20:24" x14ac:dyDescent="0.4">
      <c r="T173" s="43"/>
      <c r="U173" s="42"/>
      <c r="V173" s="42"/>
      <c r="W173" s="42"/>
      <c r="X173" s="42"/>
    </row>
    <row r="174" spans="20:24" x14ac:dyDescent="0.4">
      <c r="T174" s="43"/>
      <c r="U174" s="42"/>
      <c r="V174" s="42"/>
      <c r="W174" s="42"/>
      <c r="X174" s="42"/>
    </row>
    <row r="175" spans="20:24" x14ac:dyDescent="0.4">
      <c r="T175" s="43"/>
      <c r="U175" s="42"/>
      <c r="V175" s="42"/>
      <c r="W175" s="42"/>
      <c r="X175" s="42"/>
    </row>
    <row r="176" spans="20:24" x14ac:dyDescent="0.4">
      <c r="T176" s="43"/>
      <c r="U176" s="42"/>
      <c r="V176" s="42"/>
      <c r="W176" s="42"/>
      <c r="X176" s="42"/>
    </row>
    <row r="177" spans="15:24" x14ac:dyDescent="0.4">
      <c r="T177" s="43"/>
      <c r="U177" s="42"/>
      <c r="V177" s="42"/>
      <c r="W177" s="42"/>
      <c r="X177" s="42"/>
    </row>
    <row r="178" spans="15:24" x14ac:dyDescent="0.4">
      <c r="T178" s="43"/>
      <c r="U178" s="42"/>
      <c r="V178" s="42"/>
      <c r="W178" s="42"/>
      <c r="X178" s="42"/>
    </row>
    <row r="179" spans="15:24" x14ac:dyDescent="0.4">
      <c r="T179" s="43"/>
      <c r="U179" s="42"/>
      <c r="V179" s="42"/>
      <c r="W179" s="42"/>
      <c r="X179" s="42"/>
    </row>
    <row r="180" spans="15:24" x14ac:dyDescent="0.4">
      <c r="T180" s="43"/>
      <c r="U180" s="42"/>
      <c r="V180" s="42"/>
      <c r="W180" s="42"/>
      <c r="X180" s="42"/>
    </row>
    <row r="181" spans="15:24" x14ac:dyDescent="0.4">
      <c r="T181" s="43"/>
      <c r="U181" s="42"/>
      <c r="V181" s="42"/>
      <c r="W181" s="42"/>
      <c r="X181" s="42"/>
    </row>
    <row r="182" spans="15:24" x14ac:dyDescent="0.4">
      <c r="T182" s="43"/>
      <c r="U182" s="42"/>
      <c r="V182" s="42"/>
      <c r="W182" s="42"/>
      <c r="X182" s="42"/>
    </row>
    <row r="183" spans="15:24" x14ac:dyDescent="0.4">
      <c r="T183" s="43"/>
      <c r="U183" s="42"/>
      <c r="V183" s="42"/>
      <c r="W183" s="42"/>
      <c r="X183" s="42"/>
    </row>
    <row r="184" spans="15:24" x14ac:dyDescent="0.4">
      <c r="T184" s="43"/>
      <c r="U184" s="42"/>
      <c r="V184" s="42"/>
      <c r="W184" s="42"/>
      <c r="X184" s="42"/>
    </row>
    <row r="185" spans="15:24" x14ac:dyDescent="0.4">
      <c r="T185" s="43"/>
      <c r="U185" s="42"/>
      <c r="V185" s="42"/>
      <c r="W185" s="42"/>
      <c r="X185" s="42"/>
    </row>
    <row r="186" spans="15:24" x14ac:dyDescent="0.4">
      <c r="T186" s="43"/>
      <c r="U186" s="42"/>
      <c r="V186" s="42"/>
      <c r="W186" s="42"/>
      <c r="X186" s="42"/>
    </row>
    <row r="187" spans="15:24" x14ac:dyDescent="0.4">
      <c r="T187" s="43"/>
      <c r="U187" s="42"/>
      <c r="V187" s="42"/>
      <c r="W187" s="42"/>
      <c r="X187" s="42"/>
    </row>
    <row r="188" spans="15:24" x14ac:dyDescent="0.4">
      <c r="T188" s="43"/>
      <c r="U188" s="42"/>
      <c r="V188" s="42"/>
      <c r="W188" s="42"/>
      <c r="X188" s="42"/>
    </row>
    <row r="189" spans="15:24" x14ac:dyDescent="0.4">
      <c r="T189" s="43"/>
      <c r="U189" s="42"/>
      <c r="V189" s="42"/>
      <c r="W189" s="42"/>
      <c r="X189" s="42"/>
    </row>
    <row r="190" spans="15:24" x14ac:dyDescent="0.4">
      <c r="T190" s="43"/>
      <c r="U190" s="42"/>
      <c r="V190" s="42"/>
      <c r="W190" s="42"/>
      <c r="X190" s="42"/>
    </row>
    <row r="191" spans="15:24" x14ac:dyDescent="0.4">
      <c r="O191" s="50"/>
      <c r="T191" s="43"/>
      <c r="U191" s="42"/>
      <c r="V191" s="42"/>
      <c r="W191" s="42"/>
      <c r="X191" s="42"/>
    </row>
    <row r="192" spans="15:24" x14ac:dyDescent="0.4">
      <c r="T192" s="43"/>
      <c r="U192" s="42"/>
      <c r="V192" s="42"/>
      <c r="W192" s="42"/>
      <c r="X192" s="42"/>
    </row>
    <row r="193" spans="15:24" x14ac:dyDescent="0.4">
      <c r="T193" s="43"/>
      <c r="U193" s="42"/>
      <c r="V193" s="42"/>
      <c r="W193" s="42"/>
      <c r="X193" s="42"/>
    </row>
    <row r="194" spans="15:24" x14ac:dyDescent="0.4">
      <c r="T194" s="43"/>
      <c r="U194" s="42"/>
      <c r="V194" s="42"/>
      <c r="W194" s="42"/>
      <c r="X194" s="42"/>
    </row>
    <row r="195" spans="15:24" x14ac:dyDescent="0.4">
      <c r="T195" s="43"/>
      <c r="U195" s="42"/>
      <c r="V195" s="42"/>
      <c r="W195" s="42"/>
      <c r="X195" s="42"/>
    </row>
    <row r="196" spans="15:24" x14ac:dyDescent="0.4">
      <c r="T196" s="43"/>
      <c r="U196" s="42"/>
      <c r="V196" s="42"/>
      <c r="W196" s="42"/>
      <c r="X196" s="42"/>
    </row>
    <row r="197" spans="15:24" x14ac:dyDescent="0.4">
      <c r="T197" s="43"/>
      <c r="U197" s="42"/>
      <c r="V197" s="42"/>
      <c r="W197" s="42"/>
      <c r="X197" s="42"/>
    </row>
    <row r="198" spans="15:24" x14ac:dyDescent="0.4">
      <c r="T198" s="43"/>
      <c r="U198" s="42"/>
      <c r="V198" s="42"/>
      <c r="W198" s="42"/>
      <c r="X198" s="42"/>
    </row>
    <row r="199" spans="15:24" x14ac:dyDescent="0.4">
      <c r="T199" s="43"/>
      <c r="U199" s="42"/>
      <c r="V199" s="42"/>
      <c r="W199" s="42"/>
      <c r="X199" s="42"/>
    </row>
    <row r="200" spans="15:24" x14ac:dyDescent="0.4">
      <c r="T200" s="43"/>
      <c r="U200" s="42"/>
      <c r="V200" s="42"/>
      <c r="W200" s="42"/>
      <c r="X200" s="42"/>
    </row>
    <row r="201" spans="15:24" x14ac:dyDescent="0.4">
      <c r="T201" s="43"/>
      <c r="U201" s="42"/>
      <c r="V201" s="42"/>
      <c r="W201" s="42"/>
      <c r="X201" s="42"/>
    </row>
    <row r="202" spans="15:24" x14ac:dyDescent="0.4">
      <c r="O202" s="50"/>
      <c r="T202" s="43"/>
      <c r="U202" s="42"/>
      <c r="V202" s="42"/>
      <c r="W202" s="42"/>
      <c r="X202" s="42"/>
    </row>
    <row r="203" spans="15:24" x14ac:dyDescent="0.4">
      <c r="T203" s="43"/>
      <c r="U203" s="42"/>
      <c r="V203" s="42"/>
      <c r="W203" s="42"/>
      <c r="X203" s="42"/>
    </row>
    <row r="204" spans="15:24" x14ac:dyDescent="0.4">
      <c r="T204" s="43"/>
      <c r="U204" s="42"/>
      <c r="V204" s="42"/>
      <c r="W204" s="42"/>
      <c r="X204" s="42"/>
    </row>
    <row r="205" spans="15:24" x14ac:dyDescent="0.4">
      <c r="T205" s="43"/>
      <c r="U205" s="42"/>
      <c r="V205" s="42"/>
      <c r="W205" s="42"/>
      <c r="X205" s="42"/>
    </row>
    <row r="206" spans="15:24" x14ac:dyDescent="0.4">
      <c r="T206" s="43"/>
      <c r="U206" s="42"/>
      <c r="V206" s="42"/>
      <c r="W206" s="42"/>
      <c r="X206" s="42"/>
    </row>
    <row r="207" spans="15:24" x14ac:dyDescent="0.4">
      <c r="T207" s="43"/>
      <c r="U207" s="42"/>
      <c r="V207" s="42"/>
      <c r="W207" s="42"/>
      <c r="X207" s="42"/>
    </row>
    <row r="208" spans="15:24" x14ac:dyDescent="0.4">
      <c r="T208" s="43"/>
      <c r="U208" s="42"/>
      <c r="V208" s="42"/>
      <c r="W208" s="42"/>
      <c r="X208" s="42"/>
    </row>
    <row r="209" spans="4:24" x14ac:dyDescent="0.4">
      <c r="T209" s="43"/>
      <c r="U209" s="42"/>
      <c r="V209" s="42"/>
      <c r="W209" s="42"/>
      <c r="X209" s="42"/>
    </row>
    <row r="210" spans="4:24" x14ac:dyDescent="0.4">
      <c r="T210" s="43"/>
      <c r="U210" s="42"/>
      <c r="V210" s="42"/>
      <c r="W210" s="42"/>
      <c r="X210" s="42"/>
    </row>
    <row r="211" spans="4:24" x14ac:dyDescent="0.4">
      <c r="T211" s="43"/>
      <c r="U211" s="42"/>
      <c r="V211" s="42"/>
      <c r="W211" s="42"/>
      <c r="X211" s="42"/>
    </row>
    <row r="212" spans="4:24" x14ac:dyDescent="0.4">
      <c r="T212" s="43"/>
      <c r="U212" s="42"/>
      <c r="V212" s="42"/>
      <c r="W212" s="42"/>
      <c r="X212" s="42"/>
    </row>
    <row r="213" spans="4:24" x14ac:dyDescent="0.4">
      <c r="D213" s="50"/>
      <c r="O213" s="50"/>
      <c r="T213" s="43"/>
      <c r="U213" s="42"/>
      <c r="V213" s="42"/>
      <c r="W213" s="42"/>
      <c r="X213" s="42"/>
    </row>
    <row r="214" spans="4:24" x14ac:dyDescent="0.4">
      <c r="T214" s="43"/>
      <c r="U214" s="42"/>
      <c r="V214" s="42"/>
      <c r="W214" s="42"/>
      <c r="X214" s="42"/>
    </row>
    <row r="215" spans="4:24" x14ac:dyDescent="0.4">
      <c r="T215" s="43"/>
      <c r="U215" s="42"/>
      <c r="V215" s="42"/>
      <c r="W215" s="42"/>
      <c r="X215" s="42"/>
    </row>
    <row r="216" spans="4:24" x14ac:dyDescent="0.4">
      <c r="T216" s="43"/>
      <c r="U216" s="42"/>
      <c r="V216" s="42"/>
      <c r="W216" s="42"/>
      <c r="X216" s="42"/>
    </row>
    <row r="217" spans="4:24" x14ac:dyDescent="0.4">
      <c r="T217" s="43"/>
      <c r="U217" s="42"/>
      <c r="V217" s="42"/>
      <c r="W217" s="42"/>
      <c r="X217" s="42"/>
    </row>
    <row r="218" spans="4:24" x14ac:dyDescent="0.4">
      <c r="T218" s="43"/>
      <c r="U218" s="42"/>
      <c r="V218" s="42"/>
      <c r="W218" s="42"/>
      <c r="X218" s="42"/>
    </row>
    <row r="219" spans="4:24" x14ac:dyDescent="0.4">
      <c r="T219" s="43"/>
      <c r="U219" s="42"/>
      <c r="V219" s="42"/>
      <c r="W219" s="42"/>
      <c r="X219" s="42"/>
    </row>
    <row r="220" spans="4:24" x14ac:dyDescent="0.4">
      <c r="T220" s="43"/>
      <c r="U220" s="42"/>
      <c r="V220" s="42"/>
      <c r="W220" s="42"/>
      <c r="X220" s="42"/>
    </row>
    <row r="221" spans="4:24" x14ac:dyDescent="0.4">
      <c r="T221" s="43"/>
      <c r="U221" s="42"/>
      <c r="V221" s="42"/>
      <c r="W221" s="42"/>
      <c r="X221" s="42"/>
    </row>
    <row r="222" spans="4:24" x14ac:dyDescent="0.4">
      <c r="T222" s="43"/>
      <c r="U222" s="42"/>
      <c r="V222" s="42"/>
      <c r="W222" s="42"/>
      <c r="X222" s="42"/>
    </row>
    <row r="223" spans="4:24" x14ac:dyDescent="0.4">
      <c r="T223" s="43"/>
      <c r="U223" s="42"/>
      <c r="V223" s="42"/>
      <c r="W223" s="42"/>
      <c r="X223" s="42"/>
    </row>
    <row r="224" spans="4:24" x14ac:dyDescent="0.4">
      <c r="T224" s="43"/>
      <c r="U224" s="42"/>
      <c r="V224" s="42"/>
      <c r="W224" s="42"/>
      <c r="X224" s="42"/>
    </row>
    <row r="225" spans="4:24" x14ac:dyDescent="0.4">
      <c r="T225" s="43"/>
      <c r="U225" s="42"/>
      <c r="V225" s="42"/>
      <c r="W225" s="42"/>
      <c r="X225" s="42"/>
    </row>
    <row r="226" spans="4:24" x14ac:dyDescent="0.4">
      <c r="D226" s="50"/>
      <c r="O226" s="50"/>
      <c r="T226" s="43"/>
      <c r="U226" s="42"/>
      <c r="V226" s="42"/>
      <c r="W226" s="42"/>
      <c r="X226" s="42"/>
    </row>
    <row r="227" spans="4:24" x14ac:dyDescent="0.4">
      <c r="T227" s="43"/>
      <c r="U227" s="42"/>
      <c r="V227" s="42"/>
      <c r="W227" s="42"/>
      <c r="X227" s="42"/>
    </row>
    <row r="228" spans="4:24" x14ac:dyDescent="0.4">
      <c r="D228" s="50"/>
      <c r="O228" s="50"/>
      <c r="T228" s="43"/>
      <c r="U228" s="42"/>
      <c r="V228" s="42"/>
      <c r="W228" s="42"/>
      <c r="X228" s="42"/>
    </row>
    <row r="229" spans="4:24" x14ac:dyDescent="0.4">
      <c r="O229" s="50"/>
      <c r="T229" s="43"/>
      <c r="U229" s="42"/>
      <c r="V229" s="42"/>
      <c r="W229" s="42"/>
      <c r="X229" s="42"/>
    </row>
    <row r="230" spans="4:24" x14ac:dyDescent="0.4">
      <c r="O230" s="50"/>
      <c r="T230" s="43"/>
      <c r="U230" s="42"/>
      <c r="V230" s="42"/>
      <c r="W230" s="42"/>
      <c r="X230" s="42"/>
    </row>
    <row r="231" spans="4:24" x14ac:dyDescent="0.4">
      <c r="T231" s="43"/>
      <c r="U231" s="42"/>
      <c r="V231" s="42"/>
      <c r="W231" s="42"/>
      <c r="X231" s="42"/>
    </row>
    <row r="232" spans="4:24" x14ac:dyDescent="0.4">
      <c r="T232" s="43"/>
      <c r="U232" s="42"/>
      <c r="V232" s="42"/>
      <c r="W232" s="42"/>
      <c r="X232" s="42"/>
    </row>
    <row r="233" spans="4:24" x14ac:dyDescent="0.4">
      <c r="T233" s="43"/>
      <c r="U233" s="42"/>
      <c r="V233" s="42"/>
      <c r="W233" s="42"/>
      <c r="X233" s="42"/>
    </row>
    <row r="234" spans="4:24" x14ac:dyDescent="0.4">
      <c r="T234" s="43"/>
      <c r="U234" s="42"/>
      <c r="V234" s="42"/>
      <c r="W234" s="42"/>
      <c r="X234" s="42"/>
    </row>
    <row r="235" spans="4:24" x14ac:dyDescent="0.4">
      <c r="T235" s="43"/>
      <c r="U235" s="42"/>
      <c r="V235" s="42"/>
      <c r="W235" s="42"/>
      <c r="X235" s="42"/>
    </row>
    <row r="236" spans="4:24" x14ac:dyDescent="0.4">
      <c r="T236" s="43"/>
      <c r="U236" s="42"/>
      <c r="V236" s="42"/>
      <c r="W236" s="42"/>
      <c r="X236" s="42"/>
    </row>
    <row r="237" spans="4:24" x14ac:dyDescent="0.4">
      <c r="T237" s="43"/>
      <c r="U237" s="42"/>
      <c r="V237" s="42"/>
      <c r="W237" s="42"/>
      <c r="X237" s="42"/>
    </row>
    <row r="238" spans="4:24" x14ac:dyDescent="0.4">
      <c r="T238" s="43"/>
      <c r="U238" s="42"/>
      <c r="V238" s="42"/>
      <c r="W238" s="42"/>
      <c r="X238" s="42"/>
    </row>
    <row r="239" spans="4:24" x14ac:dyDescent="0.4">
      <c r="T239" s="43"/>
      <c r="U239" s="42"/>
      <c r="V239" s="42"/>
      <c r="W239" s="42"/>
      <c r="X239" s="42"/>
    </row>
    <row r="240" spans="4:24" x14ac:dyDescent="0.4">
      <c r="T240" s="43"/>
      <c r="U240" s="42"/>
      <c r="V240" s="42"/>
      <c r="W240" s="42"/>
      <c r="X240" s="42"/>
    </row>
    <row r="241" spans="15:24" x14ac:dyDescent="0.4">
      <c r="T241" s="43"/>
      <c r="U241" s="42"/>
      <c r="V241" s="42"/>
      <c r="W241" s="42"/>
      <c r="X241" s="42"/>
    </row>
    <row r="242" spans="15:24" x14ac:dyDescent="0.4">
      <c r="T242" s="43"/>
      <c r="U242" s="42"/>
      <c r="V242" s="42"/>
      <c r="W242" s="42"/>
      <c r="X242" s="42"/>
    </row>
    <row r="243" spans="15:24" x14ac:dyDescent="0.4">
      <c r="T243" s="43"/>
      <c r="U243" s="42"/>
      <c r="V243" s="42"/>
      <c r="W243" s="42"/>
      <c r="X243" s="42"/>
    </row>
    <row r="244" spans="15:24" x14ac:dyDescent="0.4">
      <c r="T244" s="43"/>
      <c r="U244" s="42"/>
      <c r="V244" s="42"/>
      <c r="W244" s="42"/>
      <c r="X244" s="42"/>
    </row>
    <row r="245" spans="15:24" x14ac:dyDescent="0.4">
      <c r="T245" s="43"/>
      <c r="U245" s="42"/>
      <c r="V245" s="42"/>
      <c r="W245" s="42"/>
      <c r="X245" s="42"/>
    </row>
    <row r="246" spans="15:24" x14ac:dyDescent="0.4">
      <c r="T246" s="43"/>
      <c r="U246" s="42"/>
      <c r="V246" s="42"/>
      <c r="W246" s="42"/>
      <c r="X246" s="42"/>
    </row>
    <row r="247" spans="15:24" x14ac:dyDescent="0.4">
      <c r="O247" s="50"/>
      <c r="T247" s="43"/>
      <c r="U247" s="42"/>
      <c r="V247" s="42"/>
      <c r="W247" s="42"/>
      <c r="X247" s="42"/>
    </row>
    <row r="248" spans="15:24" x14ac:dyDescent="0.4">
      <c r="O248" s="50"/>
      <c r="T248" s="43"/>
      <c r="U248" s="42"/>
      <c r="V248" s="42"/>
      <c r="W248" s="42"/>
      <c r="X248" s="42"/>
    </row>
    <row r="249" spans="15:24" x14ac:dyDescent="0.4">
      <c r="T249" s="43"/>
      <c r="U249" s="42"/>
      <c r="V249" s="42"/>
      <c r="W249" s="42"/>
      <c r="X249" s="42"/>
    </row>
    <row r="250" spans="15:24" x14ac:dyDescent="0.4">
      <c r="T250" s="43"/>
      <c r="U250" s="42"/>
      <c r="V250" s="42"/>
      <c r="W250" s="42"/>
      <c r="X250" s="42"/>
    </row>
    <row r="251" spans="15:24" x14ac:dyDescent="0.4">
      <c r="O251" s="50"/>
      <c r="T251" s="43"/>
      <c r="U251" s="42"/>
      <c r="V251" s="42"/>
      <c r="W251" s="42"/>
      <c r="X251" s="42"/>
    </row>
    <row r="252" spans="15:24" x14ac:dyDescent="0.4">
      <c r="T252" s="43"/>
      <c r="U252" s="42"/>
      <c r="V252" s="42"/>
      <c r="W252" s="42"/>
      <c r="X252" s="42"/>
    </row>
    <row r="253" spans="15:24" x14ac:dyDescent="0.4">
      <c r="T253" s="43"/>
      <c r="U253" s="42"/>
      <c r="V253" s="42"/>
      <c r="W253" s="42"/>
      <c r="X253" s="42"/>
    </row>
    <row r="254" spans="15:24" x14ac:dyDescent="0.4">
      <c r="T254" s="43"/>
      <c r="U254" s="42"/>
      <c r="V254" s="42"/>
      <c r="W254" s="42"/>
      <c r="X254" s="42"/>
    </row>
    <row r="255" spans="15:24" x14ac:dyDescent="0.4">
      <c r="T255" s="43"/>
      <c r="U255" s="42"/>
      <c r="V255" s="42"/>
      <c r="W255" s="42"/>
      <c r="X255" s="42"/>
    </row>
    <row r="256" spans="15:24" x14ac:dyDescent="0.4">
      <c r="T256" s="43"/>
      <c r="U256" s="42"/>
      <c r="V256" s="42"/>
      <c r="W256" s="42"/>
      <c r="X256" s="42"/>
    </row>
    <row r="257" spans="15:24" x14ac:dyDescent="0.4">
      <c r="T257" s="43"/>
      <c r="U257" s="42"/>
      <c r="V257" s="42"/>
      <c r="W257" s="42"/>
      <c r="X257" s="42"/>
    </row>
    <row r="258" spans="15:24" x14ac:dyDescent="0.4">
      <c r="O258" s="50"/>
      <c r="T258" s="43"/>
      <c r="U258" s="42"/>
      <c r="V258" s="42"/>
      <c r="W258" s="42"/>
      <c r="X258" s="42"/>
    </row>
    <row r="259" spans="15:24" x14ac:dyDescent="0.4">
      <c r="T259" s="43"/>
      <c r="U259" s="42"/>
      <c r="V259" s="42"/>
      <c r="W259" s="42"/>
      <c r="X259" s="42"/>
    </row>
    <row r="260" spans="15:24" x14ac:dyDescent="0.4">
      <c r="T260" s="43"/>
      <c r="U260" s="42"/>
      <c r="V260" s="42"/>
      <c r="W260" s="42"/>
      <c r="X260" s="42"/>
    </row>
    <row r="261" spans="15:24" x14ac:dyDescent="0.4">
      <c r="T261" s="43"/>
      <c r="U261" s="42"/>
      <c r="V261" s="42"/>
      <c r="W261" s="42"/>
      <c r="X261" s="42"/>
    </row>
    <row r="262" spans="15:24" x14ac:dyDescent="0.4">
      <c r="T262" s="43"/>
      <c r="U262" s="42"/>
      <c r="V262" s="42"/>
      <c r="W262" s="42"/>
      <c r="X262" s="42"/>
    </row>
    <row r="263" spans="15:24" x14ac:dyDescent="0.4">
      <c r="T263" s="43"/>
      <c r="U263" s="42"/>
      <c r="V263" s="42"/>
      <c r="W263" s="42"/>
      <c r="X263" s="42"/>
    </row>
    <row r="264" spans="15:24" x14ac:dyDescent="0.4">
      <c r="T264" s="43"/>
      <c r="U264" s="42"/>
      <c r="V264" s="42"/>
      <c r="W264" s="42"/>
      <c r="X264" s="42"/>
    </row>
    <row r="265" spans="15:24" x14ac:dyDescent="0.4">
      <c r="T265" s="43"/>
      <c r="U265" s="42"/>
      <c r="V265" s="42"/>
      <c r="W265" s="42"/>
      <c r="X265" s="42"/>
    </row>
    <row r="266" spans="15:24" x14ac:dyDescent="0.4">
      <c r="T266" s="43"/>
      <c r="U266" s="42"/>
      <c r="V266" s="42"/>
      <c r="W266" s="42"/>
      <c r="X266" s="42"/>
    </row>
    <row r="267" spans="15:24" x14ac:dyDescent="0.4">
      <c r="T267" s="43"/>
      <c r="U267" s="42"/>
      <c r="V267" s="42"/>
      <c r="W267" s="42"/>
      <c r="X267" s="42"/>
    </row>
    <row r="268" spans="15:24" x14ac:dyDescent="0.4">
      <c r="T268" s="43"/>
      <c r="U268" s="42"/>
      <c r="V268" s="42"/>
      <c r="W268" s="42"/>
      <c r="X268" s="42"/>
    </row>
    <row r="269" spans="15:24" x14ac:dyDescent="0.4">
      <c r="T269" s="43"/>
      <c r="U269" s="42"/>
      <c r="V269" s="42"/>
      <c r="W269" s="42"/>
      <c r="X269" s="42"/>
    </row>
    <row r="270" spans="15:24" x14ac:dyDescent="0.4">
      <c r="T270" s="43"/>
      <c r="U270" s="42"/>
      <c r="V270" s="42"/>
      <c r="W270" s="42"/>
      <c r="X270" s="42"/>
    </row>
    <row r="271" spans="15:24" x14ac:dyDescent="0.4">
      <c r="T271" s="43"/>
      <c r="U271" s="42"/>
      <c r="V271" s="42"/>
      <c r="W271" s="42"/>
      <c r="X271" s="42"/>
    </row>
    <row r="272" spans="15:24" x14ac:dyDescent="0.4">
      <c r="T272" s="43"/>
      <c r="U272" s="42"/>
      <c r="V272" s="42"/>
      <c r="W272" s="42"/>
      <c r="X272" s="42"/>
    </row>
    <row r="273" spans="15:24" x14ac:dyDescent="0.4">
      <c r="T273" s="43"/>
      <c r="U273" s="42"/>
      <c r="V273" s="42"/>
      <c r="W273" s="42"/>
      <c r="X273" s="42"/>
    </row>
    <row r="274" spans="15:24" x14ac:dyDescent="0.4">
      <c r="T274" s="43"/>
      <c r="U274" s="42"/>
      <c r="V274" s="42"/>
      <c r="W274" s="42"/>
      <c r="X274" s="42"/>
    </row>
    <row r="275" spans="15:24" x14ac:dyDescent="0.4">
      <c r="T275" s="43"/>
      <c r="U275" s="42"/>
      <c r="V275" s="42"/>
      <c r="W275" s="42"/>
      <c r="X275" s="42"/>
    </row>
    <row r="276" spans="15:24" x14ac:dyDescent="0.4">
      <c r="T276" s="43"/>
      <c r="U276" s="42"/>
      <c r="V276" s="42"/>
      <c r="W276" s="42"/>
      <c r="X276" s="42"/>
    </row>
    <row r="277" spans="15:24" x14ac:dyDescent="0.4">
      <c r="T277" s="43"/>
      <c r="U277" s="42"/>
      <c r="V277" s="42"/>
      <c r="W277" s="42"/>
      <c r="X277" s="42"/>
    </row>
    <row r="278" spans="15:24" x14ac:dyDescent="0.4">
      <c r="T278" s="43"/>
      <c r="U278" s="42"/>
      <c r="V278" s="42"/>
      <c r="W278" s="42"/>
      <c r="X278" s="42"/>
    </row>
    <row r="279" spans="15:24" x14ac:dyDescent="0.4">
      <c r="T279" s="43"/>
      <c r="U279" s="42"/>
      <c r="V279" s="42"/>
      <c r="W279" s="42"/>
      <c r="X279" s="42"/>
    </row>
    <row r="280" spans="15:24" x14ac:dyDescent="0.4">
      <c r="T280" s="43"/>
      <c r="U280" s="42"/>
      <c r="V280" s="42"/>
      <c r="W280" s="42"/>
      <c r="X280" s="42"/>
    </row>
    <row r="281" spans="15:24" x14ac:dyDescent="0.4">
      <c r="O281" s="50"/>
      <c r="T281" s="43"/>
      <c r="U281" s="42"/>
      <c r="V281" s="42"/>
      <c r="W281" s="42"/>
      <c r="X281" s="42"/>
    </row>
    <row r="282" spans="15:24" x14ac:dyDescent="0.4">
      <c r="T282" s="43"/>
      <c r="U282" s="42"/>
      <c r="V282" s="42"/>
      <c r="W282" s="42"/>
      <c r="X282" s="42"/>
    </row>
    <row r="283" spans="15:24" x14ac:dyDescent="0.4">
      <c r="T283" s="43"/>
      <c r="U283" s="42"/>
      <c r="V283" s="42"/>
      <c r="W283" s="42"/>
      <c r="X283" s="42"/>
    </row>
    <row r="284" spans="15:24" x14ac:dyDescent="0.4">
      <c r="T284" s="43"/>
      <c r="U284" s="42"/>
      <c r="V284" s="42"/>
      <c r="W284" s="42"/>
      <c r="X284" s="42"/>
    </row>
    <row r="285" spans="15:24" x14ac:dyDescent="0.4">
      <c r="T285" s="43"/>
      <c r="U285" s="42"/>
      <c r="V285" s="42"/>
      <c r="W285" s="42"/>
      <c r="X285" s="42"/>
    </row>
    <row r="286" spans="15:24" x14ac:dyDescent="0.4">
      <c r="T286" s="43"/>
      <c r="U286" s="42"/>
      <c r="V286" s="42"/>
      <c r="W286" s="42"/>
      <c r="X286" s="42"/>
    </row>
    <row r="287" spans="15:24" x14ac:dyDescent="0.4">
      <c r="T287" s="43"/>
      <c r="U287" s="42"/>
      <c r="V287" s="42"/>
      <c r="W287" s="42"/>
      <c r="X287" s="42"/>
    </row>
    <row r="288" spans="15:24" x14ac:dyDescent="0.4">
      <c r="T288" s="43"/>
      <c r="U288" s="42"/>
      <c r="V288" s="42"/>
      <c r="W288" s="42"/>
      <c r="X288" s="42"/>
    </row>
    <row r="289" spans="15:24" x14ac:dyDescent="0.4">
      <c r="T289" s="43"/>
      <c r="U289" s="42"/>
      <c r="V289" s="42"/>
      <c r="W289" s="42"/>
      <c r="X289" s="42"/>
    </row>
    <row r="290" spans="15:24" x14ac:dyDescent="0.4">
      <c r="T290" s="43"/>
      <c r="U290" s="42"/>
      <c r="V290" s="42"/>
      <c r="W290" s="42"/>
      <c r="X290" s="42"/>
    </row>
    <row r="291" spans="15:24" x14ac:dyDescent="0.4">
      <c r="T291" s="43"/>
      <c r="U291" s="42"/>
      <c r="V291" s="42"/>
      <c r="W291" s="42"/>
      <c r="X291" s="42"/>
    </row>
    <row r="292" spans="15:24" x14ac:dyDescent="0.4">
      <c r="T292" s="43"/>
      <c r="U292" s="42"/>
      <c r="V292" s="42"/>
      <c r="W292" s="42"/>
      <c r="X292" s="42"/>
    </row>
    <row r="293" spans="15:24" x14ac:dyDescent="0.4">
      <c r="T293" s="43"/>
      <c r="U293" s="42"/>
      <c r="V293" s="42"/>
      <c r="W293" s="42"/>
      <c r="X293" s="42"/>
    </row>
    <row r="294" spans="15:24" x14ac:dyDescent="0.4">
      <c r="T294" s="43"/>
      <c r="U294" s="42"/>
      <c r="V294" s="42"/>
      <c r="W294" s="42"/>
      <c r="X294" s="42"/>
    </row>
    <row r="295" spans="15:24" x14ac:dyDescent="0.4">
      <c r="T295" s="43"/>
      <c r="U295" s="42"/>
      <c r="V295" s="42"/>
      <c r="W295" s="42"/>
      <c r="X295" s="42"/>
    </row>
    <row r="296" spans="15:24" x14ac:dyDescent="0.4">
      <c r="T296" s="43"/>
      <c r="U296" s="42"/>
      <c r="V296" s="42"/>
      <c r="W296" s="42"/>
      <c r="X296" s="42"/>
    </row>
    <row r="297" spans="15:24" x14ac:dyDescent="0.4">
      <c r="T297" s="43"/>
      <c r="U297" s="42"/>
      <c r="V297" s="42"/>
      <c r="W297" s="42"/>
      <c r="X297" s="42"/>
    </row>
    <row r="298" spans="15:24" x14ac:dyDescent="0.4">
      <c r="T298" s="43"/>
      <c r="U298" s="42"/>
      <c r="V298" s="42"/>
      <c r="W298" s="42"/>
      <c r="X298" s="42"/>
    </row>
    <row r="299" spans="15:24" x14ac:dyDescent="0.4">
      <c r="T299" s="43"/>
      <c r="U299" s="42"/>
      <c r="V299" s="42"/>
      <c r="W299" s="42"/>
      <c r="X299" s="42"/>
    </row>
    <row r="300" spans="15:24" x14ac:dyDescent="0.4">
      <c r="O300" s="50"/>
      <c r="T300" s="43"/>
      <c r="U300" s="42"/>
      <c r="V300" s="42"/>
      <c r="W300" s="42"/>
      <c r="X300" s="42"/>
    </row>
    <row r="301" spans="15:24" x14ac:dyDescent="0.4">
      <c r="T301" s="43"/>
      <c r="U301" s="42"/>
      <c r="V301" s="42"/>
      <c r="W301" s="42"/>
      <c r="X301" s="42"/>
    </row>
    <row r="302" spans="15:24" x14ac:dyDescent="0.4">
      <c r="T302" s="43"/>
      <c r="U302" s="42"/>
      <c r="V302" s="42"/>
      <c r="W302" s="42"/>
      <c r="X302" s="42"/>
    </row>
    <row r="303" spans="15:24" x14ac:dyDescent="0.4">
      <c r="T303" s="43"/>
      <c r="U303" s="42"/>
      <c r="V303" s="42"/>
      <c r="W303" s="42"/>
      <c r="X303" s="42"/>
    </row>
    <row r="304" spans="15:24" x14ac:dyDescent="0.4">
      <c r="T304" s="43"/>
      <c r="U304" s="42"/>
      <c r="V304" s="42"/>
      <c r="W304" s="42"/>
      <c r="X304" s="42"/>
    </row>
    <row r="305" spans="20:24" x14ac:dyDescent="0.4">
      <c r="T305" s="43"/>
      <c r="U305" s="42"/>
      <c r="V305" s="42"/>
      <c r="W305" s="42"/>
      <c r="X305" s="42"/>
    </row>
    <row r="306" spans="20:24" x14ac:dyDescent="0.4">
      <c r="T306" s="43"/>
      <c r="U306" s="42"/>
      <c r="V306" s="42"/>
      <c r="W306" s="42"/>
      <c r="X306" s="42"/>
    </row>
    <row r="307" spans="20:24" x14ac:dyDescent="0.4">
      <c r="T307" s="43"/>
      <c r="U307" s="42"/>
      <c r="V307" s="42"/>
      <c r="W307" s="42"/>
      <c r="X307" s="42"/>
    </row>
    <row r="308" spans="20:24" x14ac:dyDescent="0.4">
      <c r="T308" s="43"/>
      <c r="U308" s="42"/>
      <c r="V308" s="42"/>
      <c r="W308" s="42"/>
      <c r="X308" s="42"/>
    </row>
    <row r="309" spans="20:24" x14ac:dyDescent="0.4">
      <c r="T309" s="43"/>
      <c r="U309" s="42"/>
      <c r="V309" s="42"/>
      <c r="W309" s="42"/>
      <c r="X309" s="42"/>
    </row>
    <row r="310" spans="20:24" x14ac:dyDescent="0.4">
      <c r="T310" s="43"/>
      <c r="U310" s="42"/>
      <c r="V310" s="42"/>
      <c r="W310" s="42"/>
      <c r="X310" s="42"/>
    </row>
    <row r="311" spans="20:24" x14ac:dyDescent="0.4">
      <c r="T311" s="43"/>
      <c r="U311" s="42"/>
      <c r="V311" s="42"/>
      <c r="W311" s="42"/>
      <c r="X311" s="42"/>
    </row>
    <row r="312" spans="20:24" x14ac:dyDescent="0.4">
      <c r="T312" s="43"/>
      <c r="U312" s="42"/>
      <c r="V312" s="42"/>
      <c r="W312" s="42"/>
      <c r="X312" s="42"/>
    </row>
    <row r="313" spans="20:24" x14ac:dyDescent="0.4">
      <c r="T313" s="43"/>
      <c r="U313" s="42"/>
      <c r="V313" s="42"/>
      <c r="W313" s="42"/>
      <c r="X313" s="42"/>
    </row>
    <row r="314" spans="20:24" x14ac:dyDescent="0.4">
      <c r="T314" s="43"/>
      <c r="U314" s="42"/>
      <c r="V314" s="42"/>
      <c r="W314" s="42"/>
      <c r="X314" s="42"/>
    </row>
    <row r="315" spans="20:24" x14ac:dyDescent="0.4">
      <c r="T315" s="43"/>
      <c r="U315" s="42"/>
      <c r="V315" s="42"/>
      <c r="W315" s="42"/>
      <c r="X315" s="42"/>
    </row>
    <row r="316" spans="20:24" x14ac:dyDescent="0.4">
      <c r="T316" s="43"/>
      <c r="U316" s="42"/>
      <c r="V316" s="42"/>
      <c r="W316" s="42"/>
      <c r="X316" s="42"/>
    </row>
    <row r="317" spans="20:24" x14ac:dyDescent="0.4">
      <c r="T317" s="43"/>
      <c r="U317" s="42"/>
      <c r="V317" s="42"/>
      <c r="W317" s="42"/>
      <c r="X317" s="42"/>
    </row>
    <row r="318" spans="20:24" x14ac:dyDescent="0.4">
      <c r="T318" s="43"/>
      <c r="U318" s="42"/>
      <c r="V318" s="42"/>
      <c r="W318" s="42"/>
      <c r="X318" s="42"/>
    </row>
    <row r="319" spans="20:24" x14ac:dyDescent="0.4">
      <c r="T319" s="43"/>
      <c r="U319" s="42"/>
      <c r="V319" s="42"/>
      <c r="W319" s="42"/>
      <c r="X319" s="42"/>
    </row>
    <row r="320" spans="20:24" x14ac:dyDescent="0.4">
      <c r="T320" s="43"/>
      <c r="U320" s="42"/>
      <c r="V320" s="42"/>
      <c r="W320" s="42"/>
      <c r="X320" s="42"/>
    </row>
    <row r="321" spans="20:24" x14ac:dyDescent="0.4">
      <c r="T321" s="43"/>
      <c r="U321" s="42"/>
      <c r="V321" s="42"/>
      <c r="W321" s="42"/>
      <c r="X321" s="42"/>
    </row>
    <row r="322" spans="20:24" x14ac:dyDescent="0.4">
      <c r="T322" s="43"/>
      <c r="U322" s="42"/>
      <c r="V322" s="42"/>
      <c r="W322" s="42"/>
      <c r="X322" s="42"/>
    </row>
    <row r="323" spans="20:24" x14ac:dyDescent="0.4">
      <c r="T323" s="43"/>
      <c r="U323" s="42"/>
      <c r="V323" s="42"/>
      <c r="W323" s="42"/>
      <c r="X323" s="42"/>
    </row>
    <row r="324" spans="20:24" x14ac:dyDescent="0.4">
      <c r="T324" s="43"/>
      <c r="U324" s="42"/>
      <c r="V324" s="42"/>
      <c r="W324" s="42"/>
      <c r="X324" s="42"/>
    </row>
    <row r="325" spans="20:24" x14ac:dyDescent="0.4">
      <c r="T325" s="43"/>
      <c r="U325" s="42"/>
      <c r="V325" s="42"/>
      <c r="W325" s="42"/>
      <c r="X325" s="42"/>
    </row>
    <row r="326" spans="20:24" x14ac:dyDescent="0.4">
      <c r="T326" s="43"/>
      <c r="U326" s="42"/>
      <c r="V326" s="42"/>
      <c r="W326" s="42"/>
      <c r="X326" s="42"/>
    </row>
    <row r="327" spans="20:24" x14ac:dyDescent="0.4">
      <c r="T327" s="43"/>
      <c r="U327" s="42"/>
      <c r="V327" s="42"/>
      <c r="W327" s="42"/>
      <c r="X327" s="42"/>
    </row>
    <row r="328" spans="20:24" x14ac:dyDescent="0.4">
      <c r="T328" s="43"/>
      <c r="U328" s="42"/>
      <c r="V328" s="42"/>
      <c r="W328" s="42"/>
      <c r="X328" s="42"/>
    </row>
    <row r="329" spans="20:24" x14ac:dyDescent="0.4">
      <c r="T329" s="43"/>
      <c r="U329" s="42"/>
      <c r="V329" s="42"/>
      <c r="W329" s="42"/>
      <c r="X329" s="42"/>
    </row>
    <row r="330" spans="20:24" x14ac:dyDescent="0.4">
      <c r="T330" s="43"/>
      <c r="U330" s="42"/>
      <c r="V330" s="42"/>
      <c r="W330" s="42"/>
      <c r="X330" s="42"/>
    </row>
    <row r="331" spans="20:24" x14ac:dyDescent="0.4">
      <c r="T331" s="43"/>
      <c r="U331" s="42"/>
      <c r="V331" s="42"/>
      <c r="W331" s="42"/>
      <c r="X331" s="42"/>
    </row>
    <row r="332" spans="20:24" x14ac:dyDescent="0.4">
      <c r="T332" s="43"/>
      <c r="U332" s="42"/>
      <c r="V332" s="42"/>
      <c r="W332" s="42"/>
      <c r="X332" s="42"/>
    </row>
    <row r="333" spans="20:24" x14ac:dyDescent="0.4">
      <c r="T333" s="43"/>
      <c r="U333" s="42"/>
      <c r="V333" s="42"/>
      <c r="W333" s="42"/>
      <c r="X333" s="42"/>
    </row>
    <row r="334" spans="20:24" x14ac:dyDescent="0.4">
      <c r="T334" s="43"/>
      <c r="U334" s="42"/>
      <c r="V334" s="42"/>
      <c r="W334" s="42"/>
      <c r="X334" s="42"/>
    </row>
    <row r="335" spans="20:24" x14ac:dyDescent="0.4">
      <c r="T335" s="43"/>
      <c r="U335" s="42"/>
      <c r="V335" s="42"/>
      <c r="W335" s="42"/>
      <c r="X335" s="42"/>
    </row>
    <row r="336" spans="20:24" x14ac:dyDescent="0.4">
      <c r="T336" s="43"/>
      <c r="U336" s="42"/>
      <c r="V336" s="42"/>
      <c r="W336" s="42"/>
      <c r="X336" s="42"/>
    </row>
    <row r="337" spans="15:24" x14ac:dyDescent="0.4">
      <c r="T337" s="43"/>
      <c r="U337" s="42"/>
      <c r="V337" s="42"/>
      <c r="W337" s="42"/>
      <c r="X337" s="42"/>
    </row>
    <row r="338" spans="15:24" x14ac:dyDescent="0.4">
      <c r="T338" s="43"/>
      <c r="U338" s="42"/>
      <c r="V338" s="42"/>
      <c r="W338" s="42"/>
      <c r="X338" s="42"/>
    </row>
    <row r="339" spans="15:24" x14ac:dyDescent="0.4">
      <c r="T339" s="43"/>
      <c r="U339" s="42"/>
      <c r="V339" s="42"/>
      <c r="W339" s="42"/>
      <c r="X339" s="42"/>
    </row>
    <row r="340" spans="15:24" x14ac:dyDescent="0.4">
      <c r="T340" s="43"/>
      <c r="U340" s="42"/>
      <c r="V340" s="42"/>
      <c r="W340" s="42"/>
      <c r="X340" s="42"/>
    </row>
    <row r="341" spans="15:24" x14ac:dyDescent="0.4">
      <c r="T341" s="43"/>
      <c r="U341" s="42"/>
      <c r="V341" s="42"/>
      <c r="W341" s="42"/>
      <c r="X341" s="42"/>
    </row>
    <row r="342" spans="15:24" x14ac:dyDescent="0.4">
      <c r="T342" s="43"/>
      <c r="U342" s="42"/>
      <c r="V342" s="42"/>
      <c r="W342" s="42"/>
      <c r="X342" s="42"/>
    </row>
    <row r="343" spans="15:24" x14ac:dyDescent="0.4">
      <c r="T343" s="43"/>
      <c r="U343" s="42"/>
      <c r="V343" s="42"/>
      <c r="W343" s="42"/>
      <c r="X343" s="42"/>
    </row>
    <row r="344" spans="15:24" x14ac:dyDescent="0.4">
      <c r="T344" s="43"/>
      <c r="U344" s="42"/>
      <c r="V344" s="42"/>
      <c r="W344" s="42"/>
      <c r="X344" s="42"/>
    </row>
    <row r="345" spans="15:24" x14ac:dyDescent="0.4">
      <c r="O345" s="50"/>
      <c r="T345" s="43"/>
      <c r="U345" s="42"/>
      <c r="V345" s="42"/>
      <c r="W345" s="42"/>
      <c r="X345" s="42"/>
    </row>
    <row r="346" spans="15:24" x14ac:dyDescent="0.4">
      <c r="T346" s="43"/>
      <c r="U346" s="42"/>
      <c r="V346" s="42"/>
      <c r="W346" s="42"/>
      <c r="X346" s="42"/>
    </row>
    <row r="347" spans="15:24" x14ac:dyDescent="0.4">
      <c r="T347" s="43"/>
      <c r="U347" s="42"/>
      <c r="V347" s="42"/>
      <c r="W347" s="42"/>
      <c r="X347" s="42"/>
    </row>
    <row r="348" spans="15:24" x14ac:dyDescent="0.4">
      <c r="T348" s="43"/>
      <c r="U348" s="42"/>
      <c r="V348" s="42"/>
      <c r="W348" s="42"/>
      <c r="X348" s="42"/>
    </row>
    <row r="349" spans="15:24" x14ac:dyDescent="0.4">
      <c r="T349" s="43"/>
      <c r="U349" s="42"/>
      <c r="V349" s="42"/>
      <c r="W349" s="42"/>
      <c r="X349" s="42"/>
    </row>
    <row r="350" spans="15:24" x14ac:dyDescent="0.4">
      <c r="T350" s="43"/>
      <c r="U350" s="42"/>
      <c r="V350" s="42"/>
      <c r="W350" s="42"/>
      <c r="X350" s="42"/>
    </row>
    <row r="351" spans="15:24" x14ac:dyDescent="0.4">
      <c r="T351" s="43"/>
      <c r="U351" s="42"/>
      <c r="V351" s="42"/>
      <c r="W351" s="42"/>
      <c r="X351" s="42"/>
    </row>
    <row r="352" spans="15:24" x14ac:dyDescent="0.4">
      <c r="T352" s="43"/>
      <c r="U352" s="42"/>
      <c r="V352" s="42"/>
      <c r="W352" s="42"/>
      <c r="X352" s="42"/>
    </row>
    <row r="353" spans="20:24" x14ac:dyDescent="0.4">
      <c r="T353" s="43"/>
      <c r="U353" s="42"/>
      <c r="V353" s="42"/>
      <c r="W353" s="42"/>
      <c r="X353" s="42"/>
    </row>
    <row r="354" spans="20:24" x14ac:dyDescent="0.4">
      <c r="T354" s="43"/>
      <c r="U354" s="42"/>
      <c r="V354" s="42"/>
      <c r="W354" s="42"/>
      <c r="X354" s="42"/>
    </row>
    <row r="355" spans="20:24" x14ac:dyDescent="0.4">
      <c r="T355" s="43"/>
      <c r="U355" s="42"/>
      <c r="V355" s="42"/>
      <c r="W355" s="42"/>
      <c r="X355" s="42"/>
    </row>
    <row r="356" spans="20:24" x14ac:dyDescent="0.4">
      <c r="T356" s="43"/>
      <c r="U356" s="42"/>
      <c r="V356" s="42"/>
      <c r="W356" s="42"/>
      <c r="X356" s="42"/>
    </row>
    <row r="357" spans="20:24" x14ac:dyDescent="0.4">
      <c r="T357" s="43"/>
      <c r="U357" s="42"/>
      <c r="V357" s="42"/>
      <c r="W357" s="42"/>
      <c r="X357" s="42"/>
    </row>
    <row r="358" spans="20:24" x14ac:dyDescent="0.4">
      <c r="T358" s="43"/>
      <c r="U358" s="42"/>
      <c r="V358" s="42"/>
      <c r="W358" s="42"/>
      <c r="X358" s="42"/>
    </row>
    <row r="359" spans="20:24" x14ac:dyDescent="0.4">
      <c r="T359" s="43"/>
      <c r="U359" s="42"/>
      <c r="V359" s="42"/>
      <c r="W359" s="42"/>
      <c r="X359" s="42"/>
    </row>
    <row r="360" spans="20:24" x14ac:dyDescent="0.4">
      <c r="T360" s="43"/>
      <c r="U360" s="42"/>
      <c r="V360" s="42"/>
      <c r="W360" s="42"/>
      <c r="X360" s="42"/>
    </row>
    <row r="361" spans="20:24" x14ac:dyDescent="0.4">
      <c r="T361" s="43"/>
      <c r="U361" s="42"/>
      <c r="V361" s="42"/>
      <c r="W361" s="42"/>
      <c r="X361" s="42"/>
    </row>
    <row r="362" spans="20:24" x14ac:dyDescent="0.4">
      <c r="T362" s="43"/>
      <c r="U362" s="42"/>
      <c r="V362" s="42"/>
      <c r="W362" s="42"/>
      <c r="X362" s="42"/>
    </row>
    <row r="363" spans="20:24" x14ac:dyDescent="0.4">
      <c r="T363" s="43"/>
      <c r="U363" s="42"/>
      <c r="V363" s="42"/>
      <c r="W363" s="42"/>
      <c r="X363" s="42"/>
    </row>
    <row r="364" spans="20:24" x14ac:dyDescent="0.4">
      <c r="T364" s="43"/>
      <c r="U364" s="42"/>
      <c r="V364" s="42"/>
      <c r="W364" s="42"/>
      <c r="X364" s="42"/>
    </row>
    <row r="365" spans="20:24" x14ac:dyDescent="0.4">
      <c r="T365" s="43"/>
      <c r="U365" s="42"/>
      <c r="V365" s="42"/>
      <c r="W365" s="42"/>
      <c r="X365" s="42"/>
    </row>
    <row r="366" spans="20:24" x14ac:dyDescent="0.4">
      <c r="T366" s="43"/>
      <c r="U366" s="42"/>
      <c r="V366" s="42"/>
      <c r="W366" s="42"/>
      <c r="X366" s="42"/>
    </row>
    <row r="367" spans="20:24" x14ac:dyDescent="0.4">
      <c r="T367" s="43"/>
      <c r="U367" s="42"/>
      <c r="V367" s="42"/>
      <c r="W367" s="42"/>
      <c r="X367" s="42"/>
    </row>
    <row r="368" spans="20:24" x14ac:dyDescent="0.4">
      <c r="T368" s="43"/>
      <c r="U368" s="42"/>
      <c r="V368" s="42"/>
      <c r="W368" s="42"/>
      <c r="X368" s="42"/>
    </row>
    <row r="369" spans="20:24" x14ac:dyDescent="0.4">
      <c r="T369" s="43"/>
      <c r="U369" s="42"/>
      <c r="V369" s="42"/>
      <c r="W369" s="42"/>
      <c r="X369" s="42"/>
    </row>
    <row r="370" spans="20:24" x14ac:dyDescent="0.4">
      <c r="T370" s="43"/>
      <c r="U370" s="42"/>
      <c r="V370" s="42"/>
      <c r="W370" s="42"/>
      <c r="X370" s="42"/>
    </row>
    <row r="371" spans="20:24" x14ac:dyDescent="0.4">
      <c r="T371" s="43"/>
      <c r="U371" s="42"/>
      <c r="V371" s="42"/>
      <c r="W371" s="42"/>
      <c r="X371" s="42"/>
    </row>
    <row r="372" spans="20:24" x14ac:dyDescent="0.4">
      <c r="T372" s="43"/>
      <c r="U372" s="42"/>
      <c r="V372" s="42"/>
      <c r="W372" s="42"/>
      <c r="X372" s="42"/>
    </row>
    <row r="373" spans="20:24" x14ac:dyDescent="0.4">
      <c r="T373" s="43"/>
      <c r="U373" s="42"/>
      <c r="V373" s="42"/>
      <c r="W373" s="42"/>
      <c r="X373" s="42"/>
    </row>
    <row r="374" spans="20:24" x14ac:dyDescent="0.4">
      <c r="T374" s="43"/>
      <c r="U374" s="42"/>
      <c r="V374" s="42"/>
      <c r="W374" s="42"/>
      <c r="X374" s="42"/>
    </row>
    <row r="375" spans="20:24" x14ac:dyDescent="0.4">
      <c r="T375" s="43"/>
      <c r="U375" s="42"/>
      <c r="V375" s="42"/>
      <c r="W375" s="42"/>
      <c r="X375" s="42"/>
    </row>
    <row r="376" spans="20:24" x14ac:dyDescent="0.4">
      <c r="T376" s="43"/>
      <c r="U376" s="42"/>
      <c r="V376" s="42"/>
      <c r="W376" s="42"/>
      <c r="X376" s="42"/>
    </row>
    <row r="377" spans="20:24" x14ac:dyDescent="0.4">
      <c r="T377" s="43"/>
      <c r="U377" s="42"/>
      <c r="V377" s="42"/>
      <c r="W377" s="42"/>
      <c r="X377" s="42"/>
    </row>
    <row r="378" spans="20:24" x14ac:dyDescent="0.4">
      <c r="T378" s="43"/>
      <c r="U378" s="42"/>
      <c r="V378" s="42"/>
      <c r="W378" s="42"/>
      <c r="X378" s="42"/>
    </row>
    <row r="379" spans="20:24" x14ac:dyDescent="0.4">
      <c r="T379" s="43"/>
      <c r="U379" s="42"/>
      <c r="V379" s="42"/>
      <c r="W379" s="42"/>
      <c r="X379" s="42"/>
    </row>
    <row r="380" spans="20:24" x14ac:dyDescent="0.4">
      <c r="T380" s="43"/>
      <c r="U380" s="42"/>
      <c r="V380" s="42"/>
      <c r="W380" s="42"/>
      <c r="X380" s="42"/>
    </row>
    <row r="381" spans="20:24" x14ac:dyDescent="0.4">
      <c r="T381" s="43"/>
      <c r="U381" s="42"/>
      <c r="V381" s="42"/>
      <c r="W381" s="42"/>
      <c r="X381" s="42"/>
    </row>
    <row r="382" spans="20:24" x14ac:dyDescent="0.4">
      <c r="T382" s="43"/>
      <c r="U382" s="42"/>
      <c r="V382" s="42"/>
      <c r="W382" s="42"/>
      <c r="X382" s="42"/>
    </row>
    <row r="383" spans="20:24" x14ac:dyDescent="0.4">
      <c r="T383" s="43"/>
      <c r="U383" s="42"/>
      <c r="V383" s="42"/>
      <c r="W383" s="42"/>
      <c r="X383" s="42"/>
    </row>
    <row r="384" spans="20:24" x14ac:dyDescent="0.4">
      <c r="T384" s="43"/>
      <c r="U384" s="42"/>
      <c r="V384" s="42"/>
      <c r="W384" s="42"/>
      <c r="X384" s="42"/>
    </row>
    <row r="385" spans="15:24" x14ac:dyDescent="0.4">
      <c r="T385" s="43"/>
      <c r="U385" s="42"/>
      <c r="V385" s="42"/>
      <c r="W385" s="42"/>
      <c r="X385" s="42"/>
    </row>
    <row r="386" spans="15:24" x14ac:dyDescent="0.4">
      <c r="O386" s="50"/>
      <c r="T386" s="43"/>
      <c r="U386" s="42"/>
      <c r="V386" s="42"/>
      <c r="W386" s="42"/>
      <c r="X386" s="42"/>
    </row>
    <row r="387" spans="15:24" x14ac:dyDescent="0.4">
      <c r="T387" s="43"/>
      <c r="U387" s="42"/>
      <c r="V387" s="42"/>
      <c r="W387" s="42"/>
      <c r="X387" s="42"/>
    </row>
    <row r="388" spans="15:24" x14ac:dyDescent="0.4">
      <c r="T388" s="43"/>
      <c r="U388" s="42"/>
      <c r="V388" s="42"/>
      <c r="W388" s="42"/>
      <c r="X388" s="42"/>
    </row>
    <row r="389" spans="15:24" x14ac:dyDescent="0.4">
      <c r="T389" s="43"/>
      <c r="U389" s="42"/>
      <c r="V389" s="42"/>
      <c r="W389" s="42"/>
      <c r="X389" s="42"/>
    </row>
    <row r="390" spans="15:24" x14ac:dyDescent="0.4">
      <c r="T390" s="43"/>
      <c r="U390" s="42"/>
      <c r="V390" s="42"/>
      <c r="W390" s="42"/>
      <c r="X390" s="42"/>
    </row>
    <row r="391" spans="15:24" x14ac:dyDescent="0.4">
      <c r="T391" s="43"/>
      <c r="U391" s="42"/>
      <c r="V391" s="42"/>
      <c r="W391" s="42"/>
      <c r="X391" s="42"/>
    </row>
    <row r="392" spans="15:24" x14ac:dyDescent="0.4">
      <c r="T392" s="43"/>
      <c r="U392" s="42"/>
      <c r="V392" s="42"/>
      <c r="W392" s="42"/>
      <c r="X392" s="42"/>
    </row>
    <row r="393" spans="15:24" x14ac:dyDescent="0.4">
      <c r="O393" s="50"/>
      <c r="T393" s="43"/>
      <c r="U393" s="42"/>
      <c r="V393" s="42"/>
      <c r="W393" s="42"/>
      <c r="X393" s="42"/>
    </row>
    <row r="394" spans="15:24" x14ac:dyDescent="0.4">
      <c r="T394" s="43"/>
      <c r="U394" s="42"/>
      <c r="V394" s="42"/>
      <c r="W394" s="42"/>
      <c r="X394" s="42"/>
    </row>
    <row r="395" spans="15:24" x14ac:dyDescent="0.4">
      <c r="T395" s="43"/>
      <c r="U395" s="42"/>
      <c r="V395" s="42"/>
      <c r="W395" s="42"/>
      <c r="X395" s="42"/>
    </row>
    <row r="396" spans="15:24" x14ac:dyDescent="0.4">
      <c r="T396" s="43"/>
      <c r="U396" s="42"/>
      <c r="V396" s="42"/>
      <c r="W396" s="42"/>
      <c r="X396" s="42"/>
    </row>
    <row r="397" spans="15:24" x14ac:dyDescent="0.4">
      <c r="T397" s="43"/>
      <c r="U397" s="42"/>
      <c r="V397" s="42"/>
      <c r="W397" s="42"/>
      <c r="X397" s="42"/>
    </row>
    <row r="398" spans="15:24" x14ac:dyDescent="0.4">
      <c r="T398" s="43"/>
      <c r="U398" s="42"/>
      <c r="V398" s="42"/>
      <c r="W398" s="42"/>
      <c r="X398" s="42"/>
    </row>
    <row r="399" spans="15:24" x14ac:dyDescent="0.4">
      <c r="T399" s="43"/>
      <c r="U399" s="42"/>
      <c r="V399" s="42"/>
      <c r="W399" s="42"/>
      <c r="X399" s="42"/>
    </row>
    <row r="400" spans="15:24" x14ac:dyDescent="0.4">
      <c r="T400" s="43"/>
      <c r="U400" s="42"/>
      <c r="V400" s="42"/>
      <c r="W400" s="42"/>
      <c r="X400" s="42"/>
    </row>
    <row r="401" spans="20:24" x14ac:dyDescent="0.4">
      <c r="T401" s="43"/>
      <c r="U401" s="42"/>
      <c r="V401" s="42"/>
      <c r="W401" s="42"/>
      <c r="X401" s="42"/>
    </row>
    <row r="402" spans="20:24" x14ac:dyDescent="0.4">
      <c r="T402" s="43"/>
      <c r="U402" s="42"/>
      <c r="V402" s="42"/>
      <c r="W402" s="42"/>
      <c r="X402" s="42"/>
    </row>
    <row r="403" spans="20:24" x14ac:dyDescent="0.4">
      <c r="T403" s="43"/>
      <c r="U403" s="42"/>
      <c r="V403" s="42"/>
      <c r="W403" s="42"/>
      <c r="X403" s="42"/>
    </row>
    <row r="404" spans="20:24" x14ac:dyDescent="0.4">
      <c r="T404" s="43"/>
      <c r="U404" s="42"/>
      <c r="V404" s="42"/>
      <c r="W404" s="42"/>
      <c r="X404" s="42"/>
    </row>
    <row r="405" spans="20:24" x14ac:dyDescent="0.4">
      <c r="T405" s="43"/>
      <c r="U405" s="42"/>
      <c r="V405" s="42"/>
      <c r="W405" s="42"/>
      <c r="X405" s="42"/>
    </row>
    <row r="406" spans="20:24" x14ac:dyDescent="0.4">
      <c r="T406" s="43"/>
      <c r="U406" s="42"/>
      <c r="V406" s="42"/>
      <c r="W406" s="42"/>
      <c r="X406" s="42"/>
    </row>
    <row r="407" spans="20:24" x14ac:dyDescent="0.4">
      <c r="T407" s="43"/>
      <c r="U407" s="42"/>
      <c r="V407" s="42"/>
      <c r="W407" s="42"/>
      <c r="X407" s="42"/>
    </row>
    <row r="408" spans="20:24" x14ac:dyDescent="0.4">
      <c r="T408" s="43"/>
      <c r="U408" s="42"/>
      <c r="V408" s="42"/>
      <c r="W408" s="42"/>
      <c r="X408" s="42"/>
    </row>
    <row r="409" spans="20:24" x14ac:dyDescent="0.4">
      <c r="T409" s="43"/>
      <c r="U409" s="42"/>
      <c r="V409" s="42"/>
      <c r="W409" s="42"/>
      <c r="X409" s="42"/>
    </row>
    <row r="410" spans="20:24" x14ac:dyDescent="0.4">
      <c r="T410" s="43"/>
      <c r="U410" s="42"/>
      <c r="V410" s="42"/>
      <c r="W410" s="42"/>
      <c r="X410" s="42"/>
    </row>
    <row r="411" spans="20:24" x14ac:dyDescent="0.4">
      <c r="T411" s="43"/>
      <c r="U411" s="42"/>
      <c r="V411" s="42"/>
      <c r="W411" s="42"/>
      <c r="X411" s="42"/>
    </row>
    <row r="412" spans="20:24" x14ac:dyDescent="0.4">
      <c r="T412" s="43"/>
      <c r="U412" s="42"/>
      <c r="V412" s="42"/>
      <c r="W412" s="42"/>
      <c r="X412" s="42"/>
    </row>
    <row r="413" spans="20:24" x14ac:dyDescent="0.4">
      <c r="T413" s="43"/>
      <c r="U413" s="42"/>
      <c r="V413" s="42"/>
      <c r="W413" s="42"/>
      <c r="X413" s="42"/>
    </row>
    <row r="414" spans="20:24" x14ac:dyDescent="0.4">
      <c r="T414" s="43"/>
      <c r="U414" s="42"/>
      <c r="V414" s="42"/>
      <c r="W414" s="42"/>
      <c r="X414" s="42"/>
    </row>
    <row r="415" spans="20:24" x14ac:dyDescent="0.4">
      <c r="T415" s="43"/>
      <c r="U415" s="42"/>
      <c r="V415" s="42"/>
      <c r="W415" s="42"/>
      <c r="X415" s="42"/>
    </row>
    <row r="416" spans="20:24" x14ac:dyDescent="0.4">
      <c r="T416" s="43"/>
      <c r="U416" s="42"/>
      <c r="V416" s="42"/>
      <c r="W416" s="42"/>
      <c r="X416" s="42"/>
    </row>
    <row r="417" spans="20:24" x14ac:dyDescent="0.4">
      <c r="T417" s="43"/>
      <c r="U417" s="42"/>
      <c r="V417" s="42"/>
      <c r="W417" s="42"/>
      <c r="X417" s="42"/>
    </row>
    <row r="418" spans="20:24" x14ac:dyDescent="0.4">
      <c r="T418" s="43"/>
      <c r="U418" s="42"/>
      <c r="V418" s="42"/>
      <c r="W418" s="42"/>
      <c r="X418" s="42"/>
    </row>
    <row r="419" spans="20:24" x14ac:dyDescent="0.4">
      <c r="T419" s="43"/>
      <c r="U419" s="42"/>
      <c r="V419" s="42"/>
      <c r="W419" s="42"/>
      <c r="X419" s="42"/>
    </row>
    <row r="420" spans="20:24" x14ac:dyDescent="0.4">
      <c r="T420" s="43"/>
      <c r="U420" s="42"/>
      <c r="V420" s="42"/>
      <c r="W420" s="42"/>
      <c r="X420" s="42"/>
    </row>
    <row r="421" spans="20:24" x14ac:dyDescent="0.4">
      <c r="T421" s="43"/>
      <c r="U421" s="42"/>
      <c r="V421" s="42"/>
      <c r="W421" s="42"/>
      <c r="X421" s="42"/>
    </row>
    <row r="422" spans="20:24" x14ac:dyDescent="0.4">
      <c r="T422" s="43"/>
      <c r="U422" s="42"/>
      <c r="V422" s="42"/>
      <c r="W422" s="42"/>
      <c r="X422" s="42"/>
    </row>
    <row r="423" spans="20:24" x14ac:dyDescent="0.4">
      <c r="T423" s="43"/>
      <c r="U423" s="42"/>
      <c r="V423" s="42"/>
      <c r="W423" s="42"/>
      <c r="X423" s="42"/>
    </row>
    <row r="424" spans="20:24" x14ac:dyDescent="0.4">
      <c r="T424" s="43"/>
      <c r="U424" s="42"/>
      <c r="V424" s="42"/>
      <c r="W424" s="42"/>
      <c r="X424" s="42"/>
    </row>
    <row r="425" spans="20:24" x14ac:dyDescent="0.4">
      <c r="T425" s="43"/>
      <c r="U425" s="42"/>
      <c r="V425" s="42"/>
      <c r="W425" s="42"/>
      <c r="X425" s="42"/>
    </row>
    <row r="426" spans="20:24" x14ac:dyDescent="0.4">
      <c r="T426" s="43"/>
      <c r="U426" s="42"/>
      <c r="V426" s="42"/>
      <c r="W426" s="42"/>
      <c r="X426" s="42"/>
    </row>
    <row r="427" spans="20:24" x14ac:dyDescent="0.4">
      <c r="T427" s="43"/>
      <c r="U427" s="42"/>
      <c r="V427" s="42"/>
      <c r="W427" s="42"/>
      <c r="X427" s="42"/>
    </row>
    <row r="428" spans="20:24" x14ac:dyDescent="0.4">
      <c r="T428" s="43"/>
      <c r="U428" s="42"/>
      <c r="V428" s="42"/>
      <c r="W428" s="42"/>
      <c r="X428" s="42"/>
    </row>
    <row r="429" spans="20:24" x14ac:dyDescent="0.4">
      <c r="T429" s="43"/>
      <c r="U429" s="42"/>
      <c r="V429" s="42"/>
      <c r="W429" s="42"/>
      <c r="X429" s="42"/>
    </row>
    <row r="430" spans="20:24" x14ac:dyDescent="0.4">
      <c r="T430" s="43"/>
      <c r="U430" s="42"/>
      <c r="V430" s="42"/>
      <c r="W430" s="42"/>
      <c r="X430" s="42"/>
    </row>
    <row r="431" spans="20:24" x14ac:dyDescent="0.4">
      <c r="T431" s="43"/>
      <c r="U431" s="42"/>
      <c r="V431" s="42"/>
      <c r="W431" s="42"/>
      <c r="X431" s="42"/>
    </row>
    <row r="432" spans="20:24" x14ac:dyDescent="0.4">
      <c r="T432" s="43"/>
      <c r="U432" s="42"/>
      <c r="V432" s="42"/>
      <c r="W432" s="42"/>
      <c r="X432" s="42"/>
    </row>
    <row r="433" spans="20:24" x14ac:dyDescent="0.4">
      <c r="T433" s="43"/>
      <c r="U433" s="42"/>
      <c r="V433" s="42"/>
      <c r="W433" s="42"/>
      <c r="X433" s="42"/>
    </row>
    <row r="434" spans="20:24" x14ac:dyDescent="0.4">
      <c r="T434" s="43"/>
      <c r="U434" s="42"/>
      <c r="V434" s="42"/>
      <c r="W434" s="42"/>
      <c r="X434" s="42"/>
    </row>
    <row r="435" spans="20:24" x14ac:dyDescent="0.4">
      <c r="T435" s="43"/>
      <c r="U435" s="42"/>
      <c r="V435" s="42"/>
      <c r="W435" s="42"/>
      <c r="X435" s="42"/>
    </row>
    <row r="436" spans="20:24" x14ac:dyDescent="0.4">
      <c r="T436" s="43"/>
      <c r="U436" s="42"/>
      <c r="V436" s="42"/>
      <c r="W436" s="42"/>
      <c r="X436" s="42"/>
    </row>
    <row r="437" spans="20:24" x14ac:dyDescent="0.4">
      <c r="T437" s="43"/>
      <c r="U437" s="42"/>
      <c r="V437" s="42"/>
      <c r="W437" s="42"/>
      <c r="X437" s="42"/>
    </row>
    <row r="438" spans="20:24" x14ac:dyDescent="0.4">
      <c r="T438" s="43"/>
      <c r="U438" s="42"/>
      <c r="V438" s="42"/>
      <c r="W438" s="42"/>
      <c r="X438" s="42"/>
    </row>
    <row r="439" spans="20:24" x14ac:dyDescent="0.4">
      <c r="T439" s="43"/>
      <c r="U439" s="42"/>
      <c r="V439" s="42"/>
      <c r="W439" s="42"/>
      <c r="X439" s="42"/>
    </row>
    <row r="440" spans="20:24" x14ac:dyDescent="0.4">
      <c r="T440" s="43"/>
      <c r="U440" s="42"/>
      <c r="V440" s="42"/>
      <c r="W440" s="42"/>
      <c r="X440" s="42"/>
    </row>
    <row r="441" spans="20:24" x14ac:dyDescent="0.4">
      <c r="T441" s="43"/>
      <c r="U441" s="42"/>
      <c r="V441" s="42"/>
      <c r="W441" s="42"/>
      <c r="X441" s="42"/>
    </row>
    <row r="442" spans="20:24" x14ac:dyDescent="0.4">
      <c r="T442" s="43"/>
      <c r="U442" s="42"/>
      <c r="V442" s="42"/>
      <c r="W442" s="42"/>
      <c r="X442" s="42"/>
    </row>
    <row r="443" spans="20:24" x14ac:dyDescent="0.4">
      <c r="T443" s="43"/>
      <c r="U443" s="42"/>
      <c r="V443" s="42"/>
      <c r="W443" s="42"/>
      <c r="X443" s="42"/>
    </row>
    <row r="444" spans="20:24" x14ac:dyDescent="0.4">
      <c r="T444" s="43"/>
      <c r="U444" s="42"/>
      <c r="V444" s="42"/>
      <c r="W444" s="42"/>
      <c r="X444" s="42"/>
    </row>
    <row r="445" spans="20:24" x14ac:dyDescent="0.4">
      <c r="T445" s="43"/>
      <c r="U445" s="42"/>
      <c r="V445" s="42"/>
      <c r="W445" s="42"/>
      <c r="X445" s="42"/>
    </row>
    <row r="446" spans="20:24" x14ac:dyDescent="0.4">
      <c r="T446" s="43"/>
      <c r="U446" s="42"/>
      <c r="V446" s="42"/>
      <c r="W446" s="42"/>
      <c r="X446" s="42"/>
    </row>
    <row r="447" spans="20:24" x14ac:dyDescent="0.4">
      <c r="T447" s="43"/>
      <c r="U447" s="42"/>
      <c r="V447" s="42"/>
      <c r="W447" s="42"/>
      <c r="X447" s="42"/>
    </row>
    <row r="448" spans="20:24" x14ac:dyDescent="0.4">
      <c r="T448" s="43"/>
      <c r="U448" s="42"/>
      <c r="V448" s="42"/>
      <c r="W448" s="42"/>
      <c r="X448" s="42"/>
    </row>
    <row r="449" spans="20:24" x14ac:dyDescent="0.4">
      <c r="T449" s="43"/>
      <c r="U449" s="42"/>
      <c r="V449" s="42"/>
      <c r="W449" s="42"/>
      <c r="X449" s="42"/>
    </row>
    <row r="450" spans="20:24" x14ac:dyDescent="0.4">
      <c r="T450" s="43"/>
      <c r="U450" s="42"/>
      <c r="V450" s="42"/>
      <c r="W450" s="42"/>
      <c r="X450" s="42"/>
    </row>
    <row r="451" spans="20:24" x14ac:dyDescent="0.4">
      <c r="T451" s="43"/>
      <c r="U451" s="42"/>
      <c r="V451" s="42"/>
      <c r="W451" s="42"/>
      <c r="X451" s="42"/>
    </row>
    <row r="452" spans="20:24" x14ac:dyDescent="0.4">
      <c r="T452" s="43"/>
      <c r="U452" s="42"/>
      <c r="V452" s="42"/>
      <c r="W452" s="42"/>
      <c r="X452" s="42"/>
    </row>
    <row r="453" spans="20:24" x14ac:dyDescent="0.4">
      <c r="T453" s="43"/>
      <c r="U453" s="42"/>
      <c r="V453" s="42"/>
      <c r="W453" s="42"/>
      <c r="X453" s="42"/>
    </row>
    <row r="454" spans="20:24" x14ac:dyDescent="0.4">
      <c r="T454" s="43"/>
      <c r="U454" s="42"/>
      <c r="V454" s="42"/>
      <c r="W454" s="42"/>
      <c r="X454" s="42"/>
    </row>
    <row r="455" spans="20:24" x14ac:dyDescent="0.4">
      <c r="T455" s="43"/>
      <c r="U455" s="42"/>
      <c r="V455" s="42"/>
      <c r="W455" s="42"/>
      <c r="X455" s="42"/>
    </row>
    <row r="456" spans="20:24" x14ac:dyDescent="0.4">
      <c r="T456" s="43"/>
      <c r="U456" s="42"/>
      <c r="V456" s="42"/>
      <c r="W456" s="42"/>
      <c r="X456" s="42"/>
    </row>
    <row r="457" spans="20:24" x14ac:dyDescent="0.4">
      <c r="T457" s="43"/>
      <c r="U457" s="42"/>
      <c r="V457" s="42"/>
      <c r="W457" s="42"/>
      <c r="X457" s="42"/>
    </row>
    <row r="458" spans="20:24" x14ac:dyDescent="0.4">
      <c r="T458" s="43"/>
      <c r="U458" s="42"/>
      <c r="V458" s="42"/>
      <c r="W458" s="42"/>
      <c r="X458" s="42"/>
    </row>
    <row r="459" spans="20:24" x14ac:dyDescent="0.4">
      <c r="T459" s="43"/>
      <c r="U459" s="42"/>
      <c r="V459" s="42"/>
      <c r="W459" s="42"/>
      <c r="X459" s="42"/>
    </row>
    <row r="460" spans="20:24" x14ac:dyDescent="0.4">
      <c r="T460" s="43"/>
      <c r="U460" s="42"/>
      <c r="V460" s="42"/>
      <c r="W460" s="42"/>
      <c r="X460" s="42"/>
    </row>
    <row r="461" spans="20:24" x14ac:dyDescent="0.4">
      <c r="T461" s="43"/>
      <c r="U461" s="42"/>
      <c r="V461" s="42"/>
      <c r="W461" s="42"/>
      <c r="X461" s="42"/>
    </row>
    <row r="462" spans="20:24" x14ac:dyDescent="0.4">
      <c r="T462" s="43"/>
      <c r="U462" s="42"/>
      <c r="V462" s="42"/>
      <c r="W462" s="42"/>
      <c r="X462" s="42"/>
    </row>
    <row r="463" spans="20:24" x14ac:dyDescent="0.4">
      <c r="T463" s="43"/>
      <c r="U463" s="42"/>
      <c r="V463" s="42"/>
      <c r="W463" s="42"/>
      <c r="X463" s="42"/>
    </row>
    <row r="464" spans="20:24" x14ac:dyDescent="0.4">
      <c r="T464" s="43"/>
      <c r="U464" s="42"/>
      <c r="V464" s="42"/>
      <c r="W464" s="42"/>
      <c r="X464" s="42"/>
    </row>
    <row r="465" spans="20:24" x14ac:dyDescent="0.4">
      <c r="T465" s="43"/>
      <c r="U465" s="42"/>
      <c r="V465" s="42"/>
      <c r="W465" s="42"/>
      <c r="X465" s="42"/>
    </row>
    <row r="466" spans="20:24" x14ac:dyDescent="0.4">
      <c r="T466" s="43"/>
      <c r="U466" s="42"/>
      <c r="V466" s="42"/>
      <c r="W466" s="42"/>
      <c r="X466" s="42"/>
    </row>
    <row r="467" spans="20:24" x14ac:dyDescent="0.4">
      <c r="T467" s="43"/>
      <c r="U467" s="42"/>
      <c r="V467" s="42"/>
      <c r="W467" s="42"/>
      <c r="X467" s="42"/>
    </row>
    <row r="468" spans="20:24" x14ac:dyDescent="0.4">
      <c r="T468" s="43"/>
      <c r="U468" s="42"/>
      <c r="V468" s="42"/>
      <c r="W468" s="42"/>
      <c r="X468" s="42"/>
    </row>
    <row r="469" spans="20:24" x14ac:dyDescent="0.4">
      <c r="T469" s="43"/>
      <c r="U469" s="42"/>
      <c r="V469" s="42"/>
      <c r="W469" s="42"/>
      <c r="X469" s="42"/>
    </row>
    <row r="470" spans="20:24" x14ac:dyDescent="0.4">
      <c r="T470" s="43"/>
      <c r="U470" s="42"/>
      <c r="V470" s="42"/>
      <c r="W470" s="42"/>
      <c r="X470" s="42"/>
    </row>
    <row r="471" spans="20:24" x14ac:dyDescent="0.4">
      <c r="T471" s="43"/>
      <c r="U471" s="42"/>
      <c r="V471" s="42"/>
      <c r="W471" s="42"/>
      <c r="X471" s="42"/>
    </row>
    <row r="472" spans="20:24" x14ac:dyDescent="0.4">
      <c r="T472" s="43"/>
      <c r="U472" s="42"/>
      <c r="V472" s="42"/>
      <c r="W472" s="42"/>
      <c r="X472" s="42"/>
    </row>
    <row r="473" spans="20:24" x14ac:dyDescent="0.4">
      <c r="T473" s="43"/>
      <c r="U473" s="42"/>
      <c r="V473" s="42"/>
      <c r="W473" s="42"/>
      <c r="X473" s="42"/>
    </row>
    <row r="474" spans="20:24" x14ac:dyDescent="0.4">
      <c r="T474" s="43"/>
      <c r="U474" s="42"/>
      <c r="V474" s="42"/>
      <c r="W474" s="42"/>
      <c r="X474" s="42"/>
    </row>
    <row r="475" spans="20:24" x14ac:dyDescent="0.4">
      <c r="T475" s="43"/>
      <c r="U475" s="42"/>
      <c r="V475" s="42"/>
      <c r="W475" s="42"/>
      <c r="X475" s="42"/>
    </row>
    <row r="476" spans="20:24" x14ac:dyDescent="0.4">
      <c r="T476" s="43"/>
      <c r="U476" s="42"/>
      <c r="V476" s="42"/>
      <c r="W476" s="42"/>
      <c r="X476" s="42"/>
    </row>
    <row r="477" spans="20:24" x14ac:dyDescent="0.4">
      <c r="T477" s="43"/>
      <c r="U477" s="42"/>
      <c r="V477" s="42"/>
      <c r="W477" s="42"/>
      <c r="X477" s="42"/>
    </row>
    <row r="478" spans="20:24" x14ac:dyDescent="0.4">
      <c r="T478" s="43"/>
      <c r="U478" s="42"/>
      <c r="V478" s="42"/>
      <c r="W478" s="42"/>
      <c r="X478" s="42"/>
    </row>
    <row r="479" spans="20:24" x14ac:dyDescent="0.4">
      <c r="T479" s="43"/>
      <c r="U479" s="42"/>
      <c r="V479" s="42"/>
      <c r="W479" s="42"/>
      <c r="X479" s="42"/>
    </row>
    <row r="480" spans="20:24" x14ac:dyDescent="0.4">
      <c r="T480" s="43"/>
      <c r="U480" s="42"/>
      <c r="V480" s="42"/>
      <c r="W480" s="42"/>
      <c r="X480" s="42"/>
    </row>
    <row r="481" spans="20:24" x14ac:dyDescent="0.4">
      <c r="T481" s="43"/>
      <c r="U481" s="42"/>
      <c r="V481" s="42"/>
      <c r="W481" s="42"/>
      <c r="X481" s="42"/>
    </row>
    <row r="482" spans="20:24" x14ac:dyDescent="0.4">
      <c r="T482" s="43"/>
      <c r="U482" s="42"/>
      <c r="V482" s="42"/>
      <c r="W482" s="42"/>
      <c r="X482" s="42"/>
    </row>
    <row r="483" spans="20:24" x14ac:dyDescent="0.4">
      <c r="T483" s="43"/>
      <c r="U483" s="42"/>
      <c r="V483" s="42"/>
      <c r="W483" s="42"/>
      <c r="X483" s="42"/>
    </row>
    <row r="484" spans="20:24" x14ac:dyDescent="0.4">
      <c r="T484" s="43"/>
      <c r="U484" s="42"/>
      <c r="V484" s="42"/>
      <c r="W484" s="42"/>
      <c r="X484" s="42"/>
    </row>
    <row r="485" spans="20:24" x14ac:dyDescent="0.4">
      <c r="T485" s="43"/>
      <c r="U485" s="42"/>
      <c r="V485" s="42"/>
      <c r="W485" s="42"/>
      <c r="X485" s="42"/>
    </row>
    <row r="486" spans="20:24" x14ac:dyDescent="0.4">
      <c r="T486" s="43"/>
      <c r="U486" s="42"/>
      <c r="V486" s="42"/>
      <c r="W486" s="42"/>
      <c r="X486" s="42"/>
    </row>
    <row r="487" spans="20:24" x14ac:dyDescent="0.4">
      <c r="T487" s="43"/>
      <c r="U487" s="42"/>
      <c r="V487" s="42"/>
      <c r="W487" s="42"/>
      <c r="X487" s="42"/>
    </row>
    <row r="488" spans="20:24" x14ac:dyDescent="0.4">
      <c r="T488" s="43"/>
      <c r="U488" s="42"/>
      <c r="V488" s="42"/>
      <c r="W488" s="42"/>
      <c r="X488" s="42"/>
    </row>
    <row r="489" spans="20:24" x14ac:dyDescent="0.4">
      <c r="T489" s="43"/>
      <c r="U489" s="42"/>
      <c r="V489" s="42"/>
      <c r="W489" s="42"/>
      <c r="X489" s="42"/>
    </row>
    <row r="490" spans="20:24" x14ac:dyDescent="0.4">
      <c r="T490" s="43"/>
      <c r="U490" s="42"/>
      <c r="V490" s="42"/>
      <c r="W490" s="42"/>
      <c r="X490" s="42"/>
    </row>
    <row r="491" spans="20:24" x14ac:dyDescent="0.4">
      <c r="T491" s="43"/>
      <c r="U491" s="42"/>
      <c r="V491" s="42"/>
      <c r="W491" s="42"/>
      <c r="X491" s="42"/>
    </row>
    <row r="492" spans="20:24" x14ac:dyDescent="0.4">
      <c r="T492" s="43"/>
      <c r="U492" s="42"/>
      <c r="V492" s="42"/>
      <c r="W492" s="42"/>
      <c r="X492" s="42"/>
    </row>
    <row r="493" spans="20:24" x14ac:dyDescent="0.4">
      <c r="T493" s="43"/>
      <c r="U493" s="42"/>
      <c r="V493" s="42"/>
      <c r="W493" s="42"/>
      <c r="X493" s="42"/>
    </row>
    <row r="494" spans="20:24" x14ac:dyDescent="0.4">
      <c r="T494" s="43"/>
      <c r="U494" s="42"/>
      <c r="V494" s="42"/>
      <c r="W494" s="42"/>
      <c r="X494" s="42"/>
    </row>
    <row r="495" spans="20:24" x14ac:dyDescent="0.4">
      <c r="T495" s="43"/>
      <c r="U495" s="42"/>
      <c r="V495" s="42"/>
      <c r="W495" s="42"/>
      <c r="X495" s="42"/>
    </row>
    <row r="496" spans="20:24" x14ac:dyDescent="0.4">
      <c r="T496" s="43"/>
      <c r="U496" s="42"/>
      <c r="V496" s="42"/>
      <c r="W496" s="42"/>
      <c r="X496" s="42"/>
    </row>
    <row r="497" spans="15:24" x14ac:dyDescent="0.4">
      <c r="T497" s="43"/>
      <c r="U497" s="42"/>
      <c r="V497" s="42"/>
      <c r="W497" s="42"/>
      <c r="X497" s="42"/>
    </row>
    <row r="498" spans="15:24" x14ac:dyDescent="0.4">
      <c r="T498" s="43"/>
      <c r="U498" s="42"/>
      <c r="V498" s="42"/>
      <c r="W498" s="42"/>
      <c r="X498" s="42"/>
    </row>
    <row r="499" spans="15:24" x14ac:dyDescent="0.4">
      <c r="T499" s="43"/>
      <c r="U499" s="42"/>
      <c r="V499" s="42"/>
      <c r="W499" s="42"/>
      <c r="X499" s="42"/>
    </row>
    <row r="500" spans="15:24" x14ac:dyDescent="0.4">
      <c r="T500" s="43"/>
      <c r="U500" s="42"/>
      <c r="V500" s="42"/>
      <c r="W500" s="42"/>
      <c r="X500" s="42"/>
    </row>
    <row r="501" spans="15:24" x14ac:dyDescent="0.4">
      <c r="T501" s="43"/>
      <c r="U501" s="42"/>
      <c r="V501" s="42"/>
      <c r="W501" s="42"/>
      <c r="X501" s="42"/>
    </row>
    <row r="502" spans="15:24" x14ac:dyDescent="0.4">
      <c r="T502" s="43"/>
      <c r="U502" s="42"/>
      <c r="V502" s="42"/>
      <c r="W502" s="42"/>
      <c r="X502" s="42"/>
    </row>
    <row r="503" spans="15:24" x14ac:dyDescent="0.4">
      <c r="T503" s="43"/>
      <c r="U503" s="42"/>
      <c r="V503" s="42"/>
      <c r="W503" s="42"/>
      <c r="X503" s="42"/>
    </row>
    <row r="504" spans="15:24" x14ac:dyDescent="0.4">
      <c r="T504" s="43"/>
      <c r="U504" s="42"/>
      <c r="V504" s="42"/>
      <c r="W504" s="42"/>
      <c r="X504" s="42"/>
    </row>
    <row r="505" spans="15:24" x14ac:dyDescent="0.4">
      <c r="T505" s="43"/>
      <c r="U505" s="42"/>
      <c r="V505" s="42"/>
      <c r="W505" s="42"/>
      <c r="X505" s="42"/>
    </row>
    <row r="506" spans="15:24" x14ac:dyDescent="0.4">
      <c r="T506" s="43"/>
      <c r="U506" s="42"/>
      <c r="V506" s="42"/>
      <c r="W506" s="42"/>
      <c r="X506" s="42"/>
    </row>
    <row r="507" spans="15:24" x14ac:dyDescent="0.4">
      <c r="T507" s="43"/>
      <c r="U507" s="42"/>
      <c r="V507" s="42"/>
      <c r="W507" s="42"/>
      <c r="X507" s="42"/>
    </row>
    <row r="508" spans="15:24" x14ac:dyDescent="0.4">
      <c r="T508" s="43"/>
      <c r="U508" s="42"/>
      <c r="V508" s="42"/>
      <c r="W508" s="42"/>
      <c r="X508" s="42"/>
    </row>
    <row r="509" spans="15:24" x14ac:dyDescent="0.4">
      <c r="O509" s="50"/>
      <c r="T509" s="43"/>
      <c r="U509" s="42"/>
      <c r="V509" s="42"/>
      <c r="W509" s="42"/>
      <c r="X509" s="42"/>
    </row>
    <row r="510" spans="15:24" x14ac:dyDescent="0.4">
      <c r="T510" s="43"/>
      <c r="U510" s="42"/>
      <c r="V510" s="42"/>
      <c r="W510" s="42"/>
      <c r="X510" s="42"/>
    </row>
    <row r="511" spans="15:24" x14ac:dyDescent="0.4">
      <c r="T511" s="43"/>
      <c r="U511" s="42"/>
      <c r="V511" s="42"/>
      <c r="W511" s="42"/>
      <c r="X511" s="42"/>
    </row>
    <row r="512" spans="15:24" x14ac:dyDescent="0.4">
      <c r="T512" s="43"/>
      <c r="U512" s="42"/>
      <c r="V512" s="42"/>
      <c r="W512" s="42"/>
      <c r="X512" s="42"/>
    </row>
    <row r="513" spans="20:24" x14ac:dyDescent="0.4">
      <c r="T513" s="43"/>
      <c r="U513" s="42"/>
      <c r="V513" s="42"/>
      <c r="W513" s="42"/>
      <c r="X513" s="42"/>
    </row>
    <row r="514" spans="20:24" x14ac:dyDescent="0.4">
      <c r="T514" s="43"/>
      <c r="U514" s="42"/>
      <c r="V514" s="42"/>
      <c r="W514" s="42"/>
      <c r="X514" s="42"/>
    </row>
    <row r="515" spans="20:24" x14ac:dyDescent="0.4">
      <c r="T515" s="43"/>
      <c r="U515" s="42"/>
      <c r="V515" s="42"/>
      <c r="W515" s="42"/>
      <c r="X515" s="42"/>
    </row>
    <row r="516" spans="20:24" x14ac:dyDescent="0.4">
      <c r="T516" s="43"/>
      <c r="U516" s="42"/>
      <c r="V516" s="42"/>
      <c r="W516" s="42"/>
      <c r="X516" s="42"/>
    </row>
    <row r="517" spans="20:24" x14ac:dyDescent="0.4">
      <c r="T517" s="43"/>
      <c r="U517" s="42"/>
      <c r="V517" s="42"/>
      <c r="W517" s="42"/>
      <c r="X517" s="42"/>
    </row>
    <row r="518" spans="20:24" x14ac:dyDescent="0.4">
      <c r="T518" s="43"/>
      <c r="U518" s="42"/>
      <c r="V518" s="42"/>
      <c r="W518" s="42"/>
      <c r="X518" s="42"/>
    </row>
    <row r="519" spans="20:24" x14ac:dyDescent="0.4">
      <c r="T519" s="43"/>
      <c r="U519" s="42"/>
      <c r="V519" s="42"/>
      <c r="W519" s="42"/>
      <c r="X519" s="42"/>
    </row>
    <row r="520" spans="20:24" x14ac:dyDescent="0.4">
      <c r="T520" s="43"/>
      <c r="U520" s="42"/>
      <c r="V520" s="42"/>
      <c r="W520" s="42"/>
      <c r="X520" s="42"/>
    </row>
    <row r="521" spans="20:24" x14ac:dyDescent="0.4">
      <c r="T521" s="43"/>
      <c r="U521" s="42"/>
      <c r="V521" s="42"/>
      <c r="W521" s="42"/>
      <c r="X521" s="42"/>
    </row>
    <row r="522" spans="20:24" x14ac:dyDescent="0.4">
      <c r="T522" s="43"/>
      <c r="U522" s="42"/>
      <c r="V522" s="42"/>
      <c r="W522" s="42"/>
      <c r="X522" s="42"/>
    </row>
    <row r="523" spans="20:24" x14ac:dyDescent="0.4">
      <c r="T523" s="43"/>
      <c r="U523" s="42"/>
      <c r="V523" s="42"/>
      <c r="W523" s="42"/>
      <c r="X523" s="42"/>
    </row>
    <row r="524" spans="20:24" x14ac:dyDescent="0.4">
      <c r="T524" s="43"/>
      <c r="U524" s="42"/>
      <c r="V524" s="42"/>
      <c r="W524" s="42"/>
      <c r="X524" s="42"/>
    </row>
    <row r="525" spans="20:24" x14ac:dyDescent="0.4">
      <c r="T525" s="43"/>
      <c r="U525" s="42"/>
      <c r="V525" s="42"/>
      <c r="W525" s="42"/>
      <c r="X525" s="42"/>
    </row>
    <row r="526" spans="20:24" x14ac:dyDescent="0.4">
      <c r="T526" s="43"/>
      <c r="U526" s="42"/>
      <c r="V526" s="42"/>
      <c r="W526" s="42"/>
      <c r="X526" s="42"/>
    </row>
    <row r="527" spans="20:24" x14ac:dyDescent="0.4">
      <c r="T527" s="43"/>
      <c r="U527" s="42"/>
      <c r="V527" s="42"/>
      <c r="W527" s="42"/>
      <c r="X527" s="42"/>
    </row>
    <row r="528" spans="20:24" x14ac:dyDescent="0.4">
      <c r="T528" s="43"/>
      <c r="U528" s="42"/>
      <c r="V528" s="42"/>
      <c r="W528" s="42"/>
      <c r="X528" s="42"/>
    </row>
    <row r="529" spans="20:24" x14ac:dyDescent="0.4">
      <c r="T529" s="43"/>
      <c r="U529" s="42"/>
      <c r="V529" s="42"/>
      <c r="W529" s="42"/>
      <c r="X529" s="42"/>
    </row>
    <row r="530" spans="20:24" x14ac:dyDescent="0.4">
      <c r="T530" s="43"/>
      <c r="U530" s="42"/>
      <c r="V530" s="42"/>
      <c r="W530" s="42"/>
      <c r="X530" s="42"/>
    </row>
    <row r="531" spans="20:24" x14ac:dyDescent="0.4">
      <c r="T531" s="43"/>
      <c r="U531" s="42"/>
      <c r="V531" s="42"/>
      <c r="W531" s="42"/>
      <c r="X531" s="42"/>
    </row>
    <row r="532" spans="20:24" x14ac:dyDescent="0.4">
      <c r="T532" s="43"/>
      <c r="U532" s="42"/>
      <c r="V532" s="42"/>
      <c r="W532" s="42"/>
      <c r="X532" s="42"/>
    </row>
    <row r="533" spans="20:24" x14ac:dyDescent="0.4">
      <c r="T533" s="43"/>
      <c r="U533" s="42"/>
      <c r="V533" s="42"/>
      <c r="W533" s="42"/>
      <c r="X533" s="42"/>
    </row>
    <row r="534" spans="20:24" x14ac:dyDescent="0.4">
      <c r="T534" s="43"/>
      <c r="U534" s="42"/>
      <c r="V534" s="42"/>
      <c r="W534" s="42"/>
      <c r="X534" s="42"/>
    </row>
    <row r="535" spans="20:24" x14ac:dyDescent="0.4">
      <c r="T535" s="43"/>
      <c r="U535" s="42"/>
      <c r="V535" s="42"/>
      <c r="W535" s="42"/>
      <c r="X535" s="42"/>
    </row>
    <row r="536" spans="20:24" x14ac:dyDescent="0.4">
      <c r="T536" s="43"/>
      <c r="U536" s="42"/>
      <c r="V536" s="42"/>
      <c r="W536" s="42"/>
      <c r="X536" s="42"/>
    </row>
    <row r="537" spans="20:24" x14ac:dyDescent="0.4">
      <c r="T537" s="43"/>
      <c r="U537" s="42"/>
      <c r="V537" s="42"/>
      <c r="W537" s="42"/>
      <c r="X537" s="42"/>
    </row>
    <row r="538" spans="20:24" x14ac:dyDescent="0.4">
      <c r="T538" s="43"/>
      <c r="U538" s="42"/>
      <c r="V538" s="42"/>
      <c r="W538" s="42"/>
      <c r="X538" s="42"/>
    </row>
    <row r="539" spans="20:24" x14ac:dyDescent="0.4">
      <c r="T539" s="43"/>
      <c r="U539" s="42"/>
      <c r="V539" s="42"/>
      <c r="W539" s="42"/>
      <c r="X539" s="42"/>
    </row>
    <row r="540" spans="20:24" x14ac:dyDescent="0.4">
      <c r="T540" s="43"/>
      <c r="U540" s="42"/>
      <c r="V540" s="42"/>
      <c r="W540" s="42"/>
      <c r="X540" s="42"/>
    </row>
    <row r="541" spans="20:24" x14ac:dyDescent="0.4">
      <c r="T541" s="43"/>
      <c r="U541" s="42"/>
      <c r="V541" s="42"/>
      <c r="W541" s="42"/>
      <c r="X541" s="42"/>
    </row>
    <row r="542" spans="20:24" x14ac:dyDescent="0.4">
      <c r="T542" s="43"/>
      <c r="U542" s="42"/>
      <c r="V542" s="42"/>
      <c r="W542" s="42"/>
      <c r="X542" s="42"/>
    </row>
    <row r="543" spans="20:24" x14ac:dyDescent="0.4">
      <c r="T543" s="43"/>
      <c r="U543" s="42"/>
      <c r="V543" s="42"/>
      <c r="W543" s="42"/>
      <c r="X543" s="42"/>
    </row>
    <row r="544" spans="20:24" x14ac:dyDescent="0.4">
      <c r="T544" s="43"/>
      <c r="U544" s="42"/>
      <c r="V544" s="42"/>
      <c r="W544" s="42"/>
      <c r="X544" s="42"/>
    </row>
    <row r="545" spans="20:24" x14ac:dyDescent="0.4">
      <c r="T545" s="43"/>
      <c r="U545" s="42"/>
      <c r="V545" s="42"/>
      <c r="W545" s="42"/>
      <c r="X545" s="42"/>
    </row>
    <row r="546" spans="20:24" x14ac:dyDescent="0.4">
      <c r="T546" s="43"/>
      <c r="U546" s="42"/>
      <c r="V546" s="42"/>
      <c r="W546" s="42"/>
      <c r="X546" s="42"/>
    </row>
    <row r="547" spans="20:24" x14ac:dyDescent="0.4">
      <c r="T547" s="43"/>
      <c r="U547" s="42"/>
      <c r="V547" s="42"/>
      <c r="W547" s="42"/>
      <c r="X547" s="42"/>
    </row>
    <row r="548" spans="20:24" x14ac:dyDescent="0.4">
      <c r="T548" s="43"/>
      <c r="U548" s="42"/>
      <c r="V548" s="42"/>
      <c r="W548" s="42"/>
      <c r="X548" s="42"/>
    </row>
    <row r="549" spans="20:24" x14ac:dyDescent="0.4">
      <c r="T549" s="43"/>
      <c r="U549" s="42"/>
      <c r="V549" s="42"/>
      <c r="W549" s="42"/>
      <c r="X549" s="42"/>
    </row>
    <row r="550" spans="20:24" x14ac:dyDescent="0.4">
      <c r="T550" s="43"/>
      <c r="U550" s="42"/>
      <c r="V550" s="42"/>
      <c r="W550" s="42"/>
      <c r="X550" s="42"/>
    </row>
    <row r="551" spans="20:24" x14ac:dyDescent="0.4">
      <c r="T551" s="43"/>
      <c r="U551" s="42"/>
      <c r="V551" s="42"/>
      <c r="W551" s="42"/>
      <c r="X551" s="42"/>
    </row>
    <row r="552" spans="20:24" x14ac:dyDescent="0.4">
      <c r="T552" s="43"/>
      <c r="U552" s="42"/>
      <c r="V552" s="42"/>
      <c r="W552" s="42"/>
      <c r="X552" s="42"/>
    </row>
    <row r="553" spans="20:24" x14ac:dyDescent="0.4">
      <c r="T553" s="43"/>
      <c r="U553" s="42"/>
      <c r="V553" s="42"/>
      <c r="W553" s="42"/>
      <c r="X553" s="42"/>
    </row>
    <row r="554" spans="20:24" x14ac:dyDescent="0.4">
      <c r="T554" s="43"/>
      <c r="U554" s="42"/>
      <c r="V554" s="42"/>
      <c r="W554" s="42"/>
      <c r="X554" s="42"/>
    </row>
    <row r="555" spans="20:24" x14ac:dyDescent="0.4">
      <c r="T555" s="43"/>
      <c r="U555" s="42"/>
      <c r="V555" s="42"/>
      <c r="W555" s="42"/>
      <c r="X555" s="42"/>
    </row>
    <row r="556" spans="20:24" x14ac:dyDescent="0.4">
      <c r="T556" s="43"/>
      <c r="U556" s="42"/>
      <c r="V556" s="42"/>
      <c r="W556" s="42"/>
      <c r="X556" s="42"/>
    </row>
    <row r="557" spans="20:24" x14ac:dyDescent="0.4">
      <c r="T557" s="43"/>
      <c r="U557" s="42"/>
      <c r="V557" s="42"/>
      <c r="W557" s="42"/>
      <c r="X557" s="42"/>
    </row>
    <row r="558" spans="20:24" x14ac:dyDescent="0.4">
      <c r="T558" s="43"/>
      <c r="U558" s="42"/>
      <c r="V558" s="42"/>
      <c r="W558" s="42"/>
      <c r="X558" s="42"/>
    </row>
    <row r="559" spans="20:24" x14ac:dyDescent="0.4">
      <c r="T559" s="43"/>
      <c r="U559" s="42"/>
      <c r="V559" s="42"/>
      <c r="W559" s="42"/>
      <c r="X559" s="42"/>
    </row>
    <row r="560" spans="20:24" x14ac:dyDescent="0.4">
      <c r="T560" s="43"/>
      <c r="U560" s="42"/>
      <c r="V560" s="42"/>
      <c r="W560" s="42"/>
      <c r="X560" s="42"/>
    </row>
    <row r="561" spans="15:30" x14ac:dyDescent="0.4">
      <c r="O561" s="50"/>
      <c r="T561" s="43"/>
      <c r="U561" s="42"/>
      <c r="V561" s="42"/>
      <c r="W561" s="42"/>
      <c r="X561" s="42"/>
    </row>
    <row r="562" spans="15:30" x14ac:dyDescent="0.4">
      <c r="T562" s="43"/>
      <c r="U562" s="42"/>
      <c r="V562" s="42"/>
      <c r="W562" s="42"/>
      <c r="X562" s="42"/>
    </row>
    <row r="563" spans="15:30" x14ac:dyDescent="0.4">
      <c r="O563" s="50"/>
      <c r="T563" s="43"/>
      <c r="U563" s="42"/>
      <c r="V563" s="42"/>
      <c r="W563" s="42"/>
      <c r="X563" s="42"/>
      <c r="AB563" s="1">
        <v>25.6</v>
      </c>
      <c r="AD563" s="1">
        <f>(AB563-AA563)*V563*5000</f>
        <v>0</v>
      </c>
    </row>
    <row r="564" spans="15:30" x14ac:dyDescent="0.4">
      <c r="T564" s="43"/>
      <c r="U564" s="42"/>
      <c r="V564" s="42"/>
      <c r="W564" s="42"/>
      <c r="X564" s="42"/>
    </row>
    <row r="565" spans="15:30" x14ac:dyDescent="0.4">
      <c r="T565" s="43"/>
      <c r="U565" s="42"/>
      <c r="V565" s="42"/>
      <c r="W565" s="42"/>
      <c r="X565" s="42"/>
    </row>
    <row r="566" spans="15:30" x14ac:dyDescent="0.4">
      <c r="T566" s="43"/>
      <c r="U566" s="42"/>
      <c r="V566" s="42"/>
      <c r="W566" s="42"/>
      <c r="X566" s="42"/>
    </row>
    <row r="567" spans="15:30" x14ac:dyDescent="0.4">
      <c r="T567" s="43"/>
      <c r="U567" s="42"/>
      <c r="V567" s="42"/>
      <c r="W567" s="42"/>
      <c r="X567" s="42"/>
    </row>
    <row r="568" spans="15:30" x14ac:dyDescent="0.4">
      <c r="T568" s="43"/>
      <c r="U568" s="42"/>
      <c r="V568" s="42"/>
      <c r="W568" s="42"/>
      <c r="X568" s="42"/>
    </row>
    <row r="569" spans="15:30" x14ac:dyDescent="0.4">
      <c r="T569" s="43"/>
      <c r="U569" s="42"/>
      <c r="V569" s="42"/>
      <c r="W569" s="42"/>
      <c r="X569" s="42"/>
    </row>
    <row r="570" spans="15:30" x14ac:dyDescent="0.4">
      <c r="T570" s="43"/>
      <c r="U570" s="42"/>
      <c r="V570" s="42"/>
      <c r="W570" s="42"/>
      <c r="X570" s="42"/>
    </row>
    <row r="571" spans="15:30" x14ac:dyDescent="0.4">
      <c r="T571" s="43"/>
      <c r="U571" s="42"/>
      <c r="V571" s="42"/>
      <c r="W571" s="42"/>
      <c r="X571" s="42"/>
    </row>
    <row r="572" spans="15:30" x14ac:dyDescent="0.4">
      <c r="T572" s="43"/>
      <c r="U572" s="42"/>
      <c r="V572" s="42"/>
      <c r="W572" s="42"/>
      <c r="X572" s="42"/>
    </row>
    <row r="573" spans="15:30" x14ac:dyDescent="0.4">
      <c r="T573" s="43"/>
      <c r="U573" s="42"/>
      <c r="V573" s="42"/>
      <c r="W573" s="42"/>
      <c r="X573" s="42"/>
    </row>
    <row r="574" spans="15:30" x14ac:dyDescent="0.4">
      <c r="T574" s="43"/>
      <c r="U574" s="42"/>
      <c r="V574" s="42"/>
      <c r="W574" s="42"/>
      <c r="X574" s="42"/>
    </row>
    <row r="575" spans="15:30" x14ac:dyDescent="0.4">
      <c r="T575" s="43"/>
      <c r="U575" s="42"/>
      <c r="V575" s="42"/>
      <c r="W575" s="42"/>
      <c r="X575" s="42"/>
    </row>
    <row r="576" spans="15:30" x14ac:dyDescent="0.4">
      <c r="T576" s="43"/>
      <c r="U576" s="42"/>
      <c r="V576" s="42"/>
      <c r="W576" s="42"/>
      <c r="X576" s="42"/>
    </row>
    <row r="577" spans="15:24" x14ac:dyDescent="0.4">
      <c r="T577" s="43"/>
      <c r="U577" s="42"/>
      <c r="V577" s="42"/>
      <c r="W577" s="42"/>
      <c r="X577" s="42"/>
    </row>
    <row r="578" spans="15:24" x14ac:dyDescent="0.4">
      <c r="T578" s="43"/>
      <c r="U578" s="42"/>
      <c r="V578" s="42"/>
      <c r="W578" s="42"/>
      <c r="X578" s="42"/>
    </row>
    <row r="579" spans="15:24" x14ac:dyDescent="0.4">
      <c r="O579" s="50"/>
      <c r="T579" s="43"/>
      <c r="U579" s="42"/>
      <c r="V579" s="42"/>
      <c r="W579" s="42"/>
      <c r="X579" s="42"/>
    </row>
    <row r="580" spans="15:24" x14ac:dyDescent="0.4">
      <c r="O580" s="50"/>
      <c r="T580" s="43"/>
      <c r="U580" s="42"/>
      <c r="V580" s="42"/>
      <c r="W580" s="42"/>
      <c r="X580" s="42"/>
    </row>
    <row r="581" spans="15:24" x14ac:dyDescent="0.4">
      <c r="O581" s="50"/>
      <c r="T581" s="43"/>
      <c r="U581" s="42"/>
      <c r="V581" s="42"/>
      <c r="W581" s="42"/>
      <c r="X581" s="42"/>
    </row>
    <row r="582" spans="15:24" x14ac:dyDescent="0.4">
      <c r="T582" s="43"/>
      <c r="U582" s="42"/>
      <c r="V582" s="42"/>
      <c r="W582" s="42"/>
      <c r="X582" s="42"/>
    </row>
    <row r="583" spans="15:24" x14ac:dyDescent="0.4">
      <c r="T583" s="43"/>
      <c r="U583" s="42"/>
      <c r="V583" s="42"/>
      <c r="W583" s="42"/>
      <c r="X583" s="42"/>
    </row>
    <row r="584" spans="15:24" x14ac:dyDescent="0.4">
      <c r="T584" s="43"/>
      <c r="U584" s="42"/>
      <c r="V584" s="42"/>
      <c r="W584" s="42"/>
      <c r="X584" s="42"/>
    </row>
    <row r="585" spans="15:24" x14ac:dyDescent="0.4">
      <c r="T585" s="43"/>
      <c r="U585" s="42"/>
      <c r="V585" s="42"/>
      <c r="W585" s="42"/>
      <c r="X585" s="42"/>
    </row>
    <row r="586" spans="15:24" x14ac:dyDescent="0.4">
      <c r="T586" s="43"/>
      <c r="U586" s="42"/>
      <c r="V586" s="42"/>
      <c r="W586" s="42"/>
      <c r="X586" s="42"/>
    </row>
    <row r="587" spans="15:24" x14ac:dyDescent="0.4">
      <c r="T587" s="43"/>
      <c r="U587" s="42"/>
      <c r="V587" s="42"/>
      <c r="W587" s="42"/>
      <c r="X587" s="42"/>
    </row>
    <row r="588" spans="15:24" x14ac:dyDescent="0.4">
      <c r="T588" s="43"/>
      <c r="U588" s="42"/>
      <c r="V588" s="42"/>
      <c r="W588" s="42"/>
      <c r="X588" s="42"/>
    </row>
    <row r="589" spans="15:24" x14ac:dyDescent="0.4">
      <c r="T589" s="43"/>
      <c r="U589" s="42"/>
      <c r="V589" s="42"/>
      <c r="W589" s="42"/>
      <c r="X589" s="42"/>
    </row>
    <row r="590" spans="15:24" x14ac:dyDescent="0.4">
      <c r="T590" s="43"/>
      <c r="U590" s="42"/>
      <c r="V590" s="42"/>
      <c r="W590" s="42"/>
      <c r="X590" s="42"/>
    </row>
    <row r="591" spans="15:24" x14ac:dyDescent="0.4">
      <c r="T591" s="43"/>
      <c r="U591" s="42"/>
      <c r="V591" s="42"/>
      <c r="W591" s="42"/>
      <c r="X591" s="42"/>
    </row>
    <row r="592" spans="15:24" x14ac:dyDescent="0.4">
      <c r="T592" s="43"/>
      <c r="U592" s="42"/>
      <c r="V592" s="42"/>
      <c r="W592" s="42"/>
      <c r="X592" s="42"/>
    </row>
    <row r="593" spans="15:24" x14ac:dyDescent="0.4">
      <c r="T593" s="43"/>
      <c r="U593" s="42"/>
      <c r="V593" s="42"/>
      <c r="W593" s="42"/>
      <c r="X593" s="42"/>
    </row>
    <row r="594" spans="15:24" x14ac:dyDescent="0.4">
      <c r="T594" s="43"/>
      <c r="U594" s="42"/>
      <c r="V594" s="42"/>
      <c r="W594" s="42"/>
      <c r="X594" s="42"/>
    </row>
    <row r="595" spans="15:24" x14ac:dyDescent="0.4">
      <c r="T595" s="43"/>
      <c r="U595" s="42"/>
      <c r="V595" s="42"/>
      <c r="W595" s="42"/>
      <c r="X595" s="42"/>
    </row>
    <row r="596" spans="15:24" x14ac:dyDescent="0.4">
      <c r="T596" s="43"/>
      <c r="U596" s="42"/>
      <c r="V596" s="42"/>
      <c r="W596" s="42"/>
      <c r="X596" s="42"/>
    </row>
    <row r="597" spans="15:24" x14ac:dyDescent="0.4">
      <c r="T597" s="43"/>
      <c r="U597" s="42"/>
      <c r="V597" s="42"/>
      <c r="W597" s="42"/>
      <c r="X597" s="42"/>
    </row>
    <row r="598" spans="15:24" x14ac:dyDescent="0.4">
      <c r="T598" s="43"/>
      <c r="U598" s="42"/>
      <c r="V598" s="42"/>
      <c r="W598" s="42"/>
      <c r="X598" s="42"/>
    </row>
    <row r="599" spans="15:24" x14ac:dyDescent="0.4">
      <c r="T599" s="43"/>
      <c r="U599" s="42"/>
      <c r="V599" s="42"/>
      <c r="W599" s="42"/>
      <c r="X599" s="42"/>
    </row>
    <row r="600" spans="15:24" x14ac:dyDescent="0.4">
      <c r="T600" s="43"/>
      <c r="U600" s="42"/>
      <c r="V600" s="42"/>
      <c r="W600" s="42"/>
      <c r="X600" s="42"/>
    </row>
    <row r="601" spans="15:24" x14ac:dyDescent="0.4">
      <c r="T601" s="43"/>
      <c r="U601" s="42"/>
      <c r="V601" s="42"/>
      <c r="W601" s="42"/>
      <c r="X601" s="42"/>
    </row>
    <row r="602" spans="15:24" x14ac:dyDescent="0.4">
      <c r="T602" s="43"/>
      <c r="U602" s="42"/>
      <c r="V602" s="42"/>
      <c r="W602" s="42"/>
      <c r="X602" s="42"/>
    </row>
    <row r="603" spans="15:24" x14ac:dyDescent="0.4">
      <c r="T603" s="43"/>
      <c r="U603" s="42"/>
      <c r="V603" s="42"/>
      <c r="W603" s="42"/>
      <c r="X603" s="42"/>
    </row>
    <row r="604" spans="15:24" x14ac:dyDescent="0.4">
      <c r="T604" s="43"/>
      <c r="U604" s="42"/>
      <c r="V604" s="42"/>
      <c r="W604" s="42"/>
      <c r="X604" s="42"/>
    </row>
    <row r="605" spans="15:24" x14ac:dyDescent="0.4">
      <c r="T605" s="43"/>
      <c r="U605" s="42"/>
      <c r="V605" s="42"/>
      <c r="W605" s="42"/>
      <c r="X605" s="42"/>
    </row>
    <row r="606" spans="15:24" x14ac:dyDescent="0.4">
      <c r="T606" s="43"/>
      <c r="U606" s="42"/>
      <c r="V606" s="42"/>
      <c r="W606" s="42"/>
      <c r="X606" s="42"/>
    </row>
    <row r="607" spans="15:24" x14ac:dyDescent="0.4">
      <c r="O607" s="50"/>
      <c r="T607" s="43"/>
      <c r="U607" s="42"/>
      <c r="V607" s="42"/>
      <c r="W607" s="42"/>
      <c r="X607" s="42"/>
    </row>
    <row r="608" spans="15:24" x14ac:dyDescent="0.4">
      <c r="O608" s="50"/>
      <c r="T608" s="43"/>
      <c r="U608" s="42"/>
      <c r="V608" s="42"/>
      <c r="W608" s="42"/>
      <c r="X608" s="42"/>
    </row>
    <row r="609" spans="15:24" x14ac:dyDescent="0.4">
      <c r="O609" s="50"/>
      <c r="T609" s="43"/>
      <c r="U609" s="42"/>
      <c r="V609" s="42"/>
      <c r="W609" s="42"/>
      <c r="X609" s="42"/>
    </row>
    <row r="610" spans="15:24" x14ac:dyDescent="0.4">
      <c r="O610" s="50"/>
      <c r="T610" s="43"/>
      <c r="U610" s="42"/>
      <c r="V610" s="42"/>
      <c r="W610" s="42"/>
      <c r="X610" s="42"/>
    </row>
    <row r="611" spans="15:24" x14ac:dyDescent="0.4">
      <c r="T611" s="43"/>
      <c r="U611" s="42"/>
      <c r="V611" s="42"/>
      <c r="W611" s="42"/>
      <c r="X611" s="42"/>
    </row>
    <row r="612" spans="15:24" x14ac:dyDescent="0.4">
      <c r="T612" s="43"/>
      <c r="U612" s="42"/>
      <c r="V612" s="42"/>
      <c r="W612" s="42"/>
      <c r="X612" s="42"/>
    </row>
    <row r="613" spans="15:24" x14ac:dyDescent="0.4">
      <c r="T613" s="43"/>
      <c r="U613" s="42"/>
      <c r="V613" s="42"/>
      <c r="W613" s="42"/>
      <c r="X613" s="42"/>
    </row>
    <row r="614" spans="15:24" x14ac:dyDescent="0.4">
      <c r="T614" s="43"/>
      <c r="U614" s="42"/>
      <c r="V614" s="42"/>
      <c r="W614" s="42"/>
      <c r="X614" s="42"/>
    </row>
    <row r="615" spans="15:24" x14ac:dyDescent="0.4">
      <c r="O615" s="50"/>
      <c r="T615" s="43"/>
      <c r="U615" s="42"/>
      <c r="V615" s="42"/>
      <c r="W615" s="42"/>
      <c r="X615" s="42"/>
    </row>
    <row r="616" spans="15:24" x14ac:dyDescent="0.4">
      <c r="O616" s="50"/>
      <c r="T616" s="43"/>
      <c r="U616" s="42"/>
      <c r="V616" s="42"/>
      <c r="W616" s="42"/>
      <c r="X616" s="42"/>
    </row>
    <row r="617" spans="15:24" x14ac:dyDescent="0.4">
      <c r="T617" s="43"/>
      <c r="U617" s="42"/>
      <c r="V617" s="42"/>
      <c r="W617" s="42"/>
      <c r="X617" s="42"/>
    </row>
    <row r="618" spans="15:24" x14ac:dyDescent="0.4">
      <c r="T618" s="43"/>
      <c r="U618" s="42"/>
      <c r="V618" s="42"/>
      <c r="W618" s="42"/>
      <c r="X618" s="42"/>
    </row>
    <row r="619" spans="15:24" x14ac:dyDescent="0.4">
      <c r="T619" s="43"/>
      <c r="U619" s="42"/>
      <c r="V619" s="42"/>
      <c r="W619" s="42"/>
      <c r="X619" s="42"/>
    </row>
    <row r="620" spans="15:24" x14ac:dyDescent="0.4">
      <c r="T620" s="43"/>
      <c r="U620" s="42"/>
      <c r="V620" s="42"/>
      <c r="W620" s="42"/>
      <c r="X620" s="42"/>
    </row>
    <row r="621" spans="15:24" x14ac:dyDescent="0.4">
      <c r="O621" s="50"/>
      <c r="T621" s="43"/>
      <c r="U621" s="42"/>
      <c r="V621" s="42"/>
      <c r="W621" s="42"/>
      <c r="X621" s="42"/>
    </row>
    <row r="622" spans="15:24" x14ac:dyDescent="0.4">
      <c r="O622" s="50"/>
      <c r="T622" s="43"/>
      <c r="U622" s="42"/>
      <c r="V622" s="42"/>
      <c r="W622" s="42"/>
      <c r="X622" s="42"/>
    </row>
    <row r="623" spans="15:24" x14ac:dyDescent="0.4">
      <c r="T623" s="43"/>
      <c r="U623" s="42"/>
      <c r="V623" s="42"/>
      <c r="W623" s="42"/>
      <c r="X623" s="42"/>
    </row>
    <row r="624" spans="15:24" x14ac:dyDescent="0.4">
      <c r="T624" s="43"/>
      <c r="U624" s="42"/>
      <c r="V624" s="42"/>
      <c r="W624" s="42"/>
      <c r="X624" s="42"/>
    </row>
    <row r="625" spans="15:24" x14ac:dyDescent="0.4">
      <c r="T625" s="43"/>
      <c r="U625" s="42"/>
      <c r="V625" s="42"/>
      <c r="W625" s="42"/>
      <c r="X625" s="42"/>
    </row>
    <row r="626" spans="15:24" x14ac:dyDescent="0.4">
      <c r="T626" s="43"/>
      <c r="U626" s="42"/>
      <c r="V626" s="42"/>
      <c r="W626" s="42"/>
      <c r="X626" s="42"/>
    </row>
    <row r="627" spans="15:24" x14ac:dyDescent="0.4">
      <c r="T627" s="43"/>
      <c r="U627" s="42"/>
      <c r="V627" s="42"/>
      <c r="W627" s="42"/>
      <c r="X627" s="42"/>
    </row>
    <row r="628" spans="15:24" x14ac:dyDescent="0.4">
      <c r="T628" s="43"/>
      <c r="U628" s="42"/>
      <c r="V628" s="42"/>
      <c r="W628" s="42"/>
      <c r="X628" s="42"/>
    </row>
    <row r="629" spans="15:24" x14ac:dyDescent="0.4">
      <c r="T629" s="43"/>
      <c r="U629" s="42"/>
      <c r="V629" s="42"/>
      <c r="W629" s="42"/>
      <c r="X629" s="42"/>
    </row>
    <row r="630" spans="15:24" x14ac:dyDescent="0.4">
      <c r="O630" s="50"/>
      <c r="T630" s="43"/>
      <c r="U630" s="42"/>
      <c r="V630" s="42"/>
      <c r="W630" s="42"/>
      <c r="X630" s="42"/>
    </row>
    <row r="631" spans="15:24" x14ac:dyDescent="0.4">
      <c r="O631" s="50"/>
      <c r="T631" s="43"/>
      <c r="U631" s="42"/>
      <c r="V631" s="42"/>
      <c r="W631" s="42"/>
      <c r="X631" s="42"/>
    </row>
    <row r="632" spans="15:24" x14ac:dyDescent="0.4">
      <c r="O632" s="50"/>
      <c r="T632" s="43"/>
      <c r="U632" s="42"/>
      <c r="V632" s="42"/>
      <c r="W632" s="42"/>
      <c r="X632" s="42"/>
    </row>
    <row r="633" spans="15:24" x14ac:dyDescent="0.4">
      <c r="O633" s="50"/>
      <c r="T633" s="43"/>
      <c r="U633" s="42"/>
      <c r="V633" s="42"/>
      <c r="W633" s="42"/>
      <c r="X633" s="42"/>
    </row>
    <row r="634" spans="15:24" x14ac:dyDescent="0.4">
      <c r="O634" s="50"/>
      <c r="T634" s="43"/>
      <c r="U634" s="42"/>
      <c r="V634" s="42"/>
      <c r="W634" s="42"/>
      <c r="X634" s="42"/>
    </row>
    <row r="635" spans="15:24" x14ac:dyDescent="0.4">
      <c r="O635" s="50"/>
      <c r="T635" s="43"/>
      <c r="U635" s="42"/>
      <c r="V635" s="42"/>
      <c r="W635" s="42"/>
      <c r="X635" s="42"/>
    </row>
    <row r="636" spans="15:24" x14ac:dyDescent="0.4">
      <c r="O636" s="50"/>
      <c r="T636" s="43"/>
      <c r="U636" s="42"/>
      <c r="V636" s="42"/>
      <c r="W636" s="42"/>
      <c r="X636" s="42"/>
    </row>
    <row r="637" spans="15:24" x14ac:dyDescent="0.4">
      <c r="O637" s="50"/>
      <c r="T637" s="43"/>
      <c r="U637" s="42"/>
      <c r="V637" s="42"/>
      <c r="W637" s="42"/>
      <c r="X637" s="42"/>
    </row>
    <row r="638" spans="15:24" x14ac:dyDescent="0.4">
      <c r="T638" s="43"/>
      <c r="U638" s="42"/>
      <c r="V638" s="42"/>
      <c r="W638" s="42"/>
      <c r="X638" s="42"/>
    </row>
    <row r="639" spans="15:24" x14ac:dyDescent="0.4">
      <c r="T639" s="43"/>
      <c r="U639" s="42"/>
      <c r="V639" s="42"/>
      <c r="W639" s="42"/>
      <c r="X639" s="42"/>
    </row>
    <row r="640" spans="15:24" x14ac:dyDescent="0.4">
      <c r="T640" s="43"/>
      <c r="U640" s="42"/>
      <c r="V640" s="42"/>
      <c r="W640" s="42"/>
      <c r="X640" s="42"/>
    </row>
    <row r="641" spans="20:24" x14ac:dyDescent="0.4">
      <c r="T641" s="43"/>
      <c r="U641" s="42"/>
      <c r="V641" s="42"/>
      <c r="W641" s="42"/>
      <c r="X641" s="42"/>
    </row>
    <row r="642" spans="20:24" x14ac:dyDescent="0.4">
      <c r="T642" s="43"/>
      <c r="U642" s="42"/>
      <c r="V642" s="42"/>
      <c r="W642" s="42"/>
      <c r="X642" s="42"/>
    </row>
    <row r="643" spans="20:24" x14ac:dyDescent="0.4">
      <c r="T643" s="43"/>
      <c r="U643" s="42"/>
      <c r="V643" s="42"/>
      <c r="W643" s="42"/>
      <c r="X643" s="42"/>
    </row>
    <row r="644" spans="20:24" x14ac:dyDescent="0.4">
      <c r="T644" s="43"/>
      <c r="U644" s="42"/>
      <c r="V644" s="42"/>
      <c r="W644" s="42"/>
      <c r="X644" s="42"/>
    </row>
    <row r="645" spans="20:24" x14ac:dyDescent="0.4">
      <c r="T645" s="43"/>
      <c r="U645" s="42"/>
      <c r="V645" s="42"/>
      <c r="W645" s="42"/>
      <c r="X645" s="42"/>
    </row>
    <row r="646" spans="20:24" x14ac:dyDescent="0.4">
      <c r="T646" s="43"/>
      <c r="U646" s="42"/>
      <c r="V646" s="42"/>
      <c r="W646" s="42"/>
      <c r="X646" s="42"/>
    </row>
    <row r="647" spans="20:24" x14ac:dyDescent="0.4">
      <c r="T647" s="43"/>
      <c r="U647" s="42"/>
      <c r="V647" s="42"/>
      <c r="W647" s="42"/>
      <c r="X647" s="42"/>
    </row>
    <row r="648" spans="20:24" x14ac:dyDescent="0.4">
      <c r="T648" s="43"/>
      <c r="U648" s="42"/>
      <c r="V648" s="42"/>
      <c r="W648" s="42"/>
      <c r="X648" s="42"/>
    </row>
    <row r="649" spans="20:24" x14ac:dyDescent="0.4">
      <c r="T649" s="43"/>
      <c r="U649" s="42"/>
      <c r="V649" s="42"/>
      <c r="W649" s="42"/>
      <c r="X649" s="42"/>
    </row>
    <row r="650" spans="20:24" x14ac:dyDescent="0.4">
      <c r="T650" s="43"/>
      <c r="U650" s="42"/>
      <c r="V650" s="42"/>
      <c r="W650" s="42"/>
      <c r="X650" s="42"/>
    </row>
    <row r="651" spans="20:24" x14ac:dyDescent="0.4">
      <c r="T651" s="43"/>
      <c r="U651" s="42"/>
      <c r="V651" s="42"/>
      <c r="W651" s="42"/>
      <c r="X651" s="42"/>
    </row>
    <row r="652" spans="20:24" x14ac:dyDescent="0.4">
      <c r="T652" s="43"/>
      <c r="U652" s="42"/>
      <c r="V652" s="42"/>
      <c r="W652" s="42"/>
      <c r="X652" s="42"/>
    </row>
    <row r="653" spans="20:24" x14ac:dyDescent="0.4">
      <c r="T653" s="43"/>
      <c r="U653" s="42"/>
      <c r="V653" s="42"/>
      <c r="W653" s="42"/>
      <c r="X653" s="42"/>
    </row>
    <row r="654" spans="20:24" x14ac:dyDescent="0.4">
      <c r="T654" s="43"/>
      <c r="U654" s="42"/>
      <c r="V654" s="42"/>
      <c r="W654" s="42"/>
      <c r="X654" s="42"/>
    </row>
    <row r="655" spans="20:24" x14ac:dyDescent="0.4">
      <c r="T655" s="43"/>
      <c r="U655" s="42"/>
      <c r="V655" s="42"/>
      <c r="W655" s="42"/>
      <c r="X655" s="42"/>
    </row>
    <row r="656" spans="20:24" x14ac:dyDescent="0.4">
      <c r="T656" s="43"/>
      <c r="U656" s="42"/>
      <c r="V656" s="42"/>
      <c r="W656" s="42"/>
      <c r="X656" s="42"/>
    </row>
    <row r="657" spans="20:24" x14ac:dyDescent="0.4">
      <c r="T657" s="43"/>
      <c r="U657" s="42"/>
      <c r="V657" s="42"/>
      <c r="W657" s="42"/>
      <c r="X657" s="42"/>
    </row>
    <row r="658" spans="20:24" x14ac:dyDescent="0.4">
      <c r="T658" s="43"/>
      <c r="U658" s="42"/>
      <c r="V658" s="42"/>
      <c r="W658" s="42"/>
      <c r="X658" s="42"/>
    </row>
    <row r="659" spans="20:24" x14ac:dyDescent="0.4">
      <c r="T659" s="43"/>
      <c r="U659" s="42"/>
      <c r="V659" s="42"/>
      <c r="W659" s="42"/>
      <c r="X659" s="42"/>
    </row>
    <row r="660" spans="20:24" x14ac:dyDescent="0.4">
      <c r="T660" s="43"/>
      <c r="U660" s="42"/>
      <c r="V660" s="42"/>
      <c r="W660" s="42"/>
      <c r="X660" s="42"/>
    </row>
    <row r="661" spans="20:24" x14ac:dyDescent="0.4">
      <c r="T661" s="43"/>
      <c r="U661" s="42"/>
      <c r="V661" s="42"/>
      <c r="W661" s="42"/>
      <c r="X661" s="42"/>
    </row>
    <row r="662" spans="20:24" x14ac:dyDescent="0.4">
      <c r="T662" s="43"/>
      <c r="U662" s="42"/>
      <c r="V662" s="42"/>
      <c r="W662" s="42"/>
      <c r="X662" s="42"/>
    </row>
    <row r="663" spans="20:24" x14ac:dyDescent="0.4">
      <c r="T663" s="43"/>
      <c r="U663" s="42"/>
      <c r="V663" s="42"/>
      <c r="W663" s="42"/>
      <c r="X663" s="42"/>
    </row>
    <row r="664" spans="20:24" x14ac:dyDescent="0.4">
      <c r="T664" s="43"/>
      <c r="U664" s="42"/>
      <c r="V664" s="42"/>
      <c r="W664" s="42"/>
      <c r="X664" s="42"/>
    </row>
    <row r="665" spans="20:24" x14ac:dyDescent="0.4">
      <c r="T665" s="43"/>
      <c r="U665" s="42"/>
      <c r="V665" s="42"/>
      <c r="W665" s="42"/>
      <c r="X665" s="42"/>
    </row>
    <row r="666" spans="20:24" x14ac:dyDescent="0.4">
      <c r="T666" s="43"/>
      <c r="U666" s="42"/>
      <c r="V666" s="42"/>
      <c r="W666" s="42"/>
      <c r="X666" s="42"/>
    </row>
    <row r="667" spans="20:24" x14ac:dyDescent="0.4">
      <c r="T667" s="43"/>
      <c r="U667" s="42"/>
      <c r="V667" s="42"/>
      <c r="W667" s="42"/>
      <c r="X667" s="42"/>
    </row>
    <row r="668" spans="20:24" x14ac:dyDescent="0.4">
      <c r="T668" s="43"/>
      <c r="U668" s="42"/>
      <c r="V668" s="42"/>
      <c r="W668" s="42"/>
      <c r="X668" s="42"/>
    </row>
    <row r="669" spans="20:24" x14ac:dyDescent="0.4">
      <c r="T669" s="43"/>
      <c r="U669" s="42"/>
      <c r="V669" s="42"/>
      <c r="W669" s="42"/>
      <c r="X669" s="42"/>
    </row>
    <row r="670" spans="20:24" x14ac:dyDescent="0.4">
      <c r="T670" s="43"/>
      <c r="U670" s="42"/>
      <c r="V670" s="42"/>
      <c r="W670" s="42"/>
      <c r="X670" s="42"/>
    </row>
    <row r="671" spans="20:24" x14ac:dyDescent="0.4">
      <c r="T671" s="43"/>
      <c r="U671" s="42"/>
      <c r="V671" s="42"/>
      <c r="W671" s="42"/>
      <c r="X671" s="42"/>
    </row>
    <row r="672" spans="20:24" x14ac:dyDescent="0.4">
      <c r="T672" s="43"/>
      <c r="U672" s="42"/>
      <c r="V672" s="42"/>
      <c r="W672" s="42"/>
      <c r="X672" s="42"/>
    </row>
    <row r="673" spans="20:24" x14ac:dyDescent="0.4">
      <c r="T673" s="43"/>
      <c r="U673" s="42"/>
      <c r="V673" s="42"/>
      <c r="W673" s="42"/>
      <c r="X673" s="42"/>
    </row>
    <row r="674" spans="20:24" x14ac:dyDescent="0.4">
      <c r="T674" s="43"/>
      <c r="U674" s="42"/>
      <c r="V674" s="42"/>
      <c r="W674" s="42"/>
      <c r="X674" s="42"/>
    </row>
    <row r="675" spans="20:24" x14ac:dyDescent="0.4">
      <c r="T675" s="43"/>
      <c r="U675" s="42"/>
      <c r="V675" s="42"/>
      <c r="W675" s="42"/>
      <c r="X675" s="42"/>
    </row>
    <row r="676" spans="20:24" x14ac:dyDescent="0.4">
      <c r="T676" s="43"/>
      <c r="U676" s="42"/>
      <c r="V676" s="42"/>
      <c r="W676" s="42"/>
      <c r="X676" s="42"/>
    </row>
    <row r="677" spans="20:24" x14ac:dyDescent="0.4">
      <c r="T677" s="43"/>
      <c r="U677" s="42"/>
      <c r="V677" s="42"/>
      <c r="W677" s="42"/>
      <c r="X677" s="42"/>
    </row>
    <row r="678" spans="20:24" x14ac:dyDescent="0.4">
      <c r="T678" s="43"/>
      <c r="U678" s="42"/>
      <c r="V678" s="42"/>
      <c r="W678" s="42"/>
      <c r="X678" s="42"/>
    </row>
    <row r="679" spans="20:24" x14ac:dyDescent="0.4">
      <c r="T679" s="43"/>
      <c r="U679" s="42"/>
      <c r="V679" s="42"/>
      <c r="W679" s="42"/>
      <c r="X679" s="42"/>
    </row>
    <row r="680" spans="20:24" x14ac:dyDescent="0.4">
      <c r="T680" s="43"/>
      <c r="U680" s="42"/>
      <c r="V680" s="42"/>
      <c r="W680" s="42"/>
      <c r="X680" s="42"/>
    </row>
    <row r="681" spans="20:24" x14ac:dyDescent="0.4">
      <c r="T681" s="43"/>
      <c r="U681" s="42"/>
      <c r="V681" s="42"/>
      <c r="W681" s="42"/>
      <c r="X681" s="42"/>
    </row>
    <row r="682" spans="20:24" x14ac:dyDescent="0.4">
      <c r="T682" s="43"/>
      <c r="U682" s="42"/>
      <c r="V682" s="42"/>
      <c r="W682" s="42"/>
      <c r="X682" s="42"/>
    </row>
    <row r="683" spans="20:24" x14ac:dyDescent="0.4">
      <c r="T683" s="43"/>
      <c r="U683" s="42"/>
      <c r="V683" s="42"/>
      <c r="W683" s="42"/>
      <c r="X683" s="42"/>
    </row>
    <row r="684" spans="20:24" x14ac:dyDescent="0.4">
      <c r="T684" s="43"/>
      <c r="U684" s="42"/>
      <c r="V684" s="42"/>
      <c r="W684" s="42"/>
      <c r="X684" s="42"/>
    </row>
    <row r="685" spans="20:24" x14ac:dyDescent="0.4">
      <c r="T685" s="43"/>
      <c r="U685" s="42"/>
      <c r="V685" s="42"/>
      <c r="W685" s="42"/>
      <c r="X685" s="42"/>
    </row>
    <row r="686" spans="20:24" x14ac:dyDescent="0.4">
      <c r="T686" s="43"/>
      <c r="U686" s="42"/>
      <c r="V686" s="42"/>
      <c r="W686" s="42"/>
      <c r="X686" s="42"/>
    </row>
    <row r="687" spans="20:24" x14ac:dyDescent="0.4">
      <c r="T687" s="43"/>
      <c r="U687" s="42"/>
      <c r="V687" s="42"/>
      <c r="W687" s="42"/>
      <c r="X687" s="42"/>
    </row>
    <row r="688" spans="20:24" x14ac:dyDescent="0.4">
      <c r="T688" s="43"/>
      <c r="U688" s="42"/>
      <c r="V688" s="42"/>
      <c r="W688" s="42"/>
      <c r="X688" s="42"/>
    </row>
    <row r="689" spans="20:24" x14ac:dyDescent="0.4">
      <c r="T689" s="43"/>
      <c r="U689" s="42"/>
      <c r="V689" s="42"/>
      <c r="W689" s="42"/>
      <c r="X689" s="42"/>
    </row>
    <row r="690" spans="20:24" x14ac:dyDescent="0.4">
      <c r="T690" s="43"/>
      <c r="U690" s="42"/>
      <c r="V690" s="42"/>
      <c r="W690" s="42"/>
      <c r="X690" s="42"/>
    </row>
    <row r="691" spans="20:24" x14ac:dyDescent="0.4">
      <c r="T691" s="43"/>
      <c r="U691" s="42"/>
      <c r="V691" s="42"/>
      <c r="W691" s="42"/>
      <c r="X691" s="42"/>
    </row>
    <row r="692" spans="20:24" x14ac:dyDescent="0.4">
      <c r="T692" s="43"/>
      <c r="U692" s="42"/>
      <c r="V692" s="42"/>
      <c r="W692" s="42"/>
      <c r="X692" s="42"/>
    </row>
    <row r="693" spans="20:24" x14ac:dyDescent="0.4">
      <c r="T693" s="43"/>
      <c r="U693" s="42"/>
      <c r="V693" s="42"/>
      <c r="W693" s="42"/>
      <c r="X693" s="42"/>
    </row>
    <row r="694" spans="20:24" x14ac:dyDescent="0.4">
      <c r="T694" s="43"/>
      <c r="U694" s="42"/>
      <c r="V694" s="42"/>
      <c r="W694" s="42"/>
      <c r="X694" s="42"/>
    </row>
    <row r="695" spans="20:24" x14ac:dyDescent="0.4">
      <c r="T695" s="43"/>
      <c r="U695" s="42"/>
      <c r="V695" s="42"/>
      <c r="W695" s="42"/>
      <c r="X695" s="42"/>
    </row>
    <row r="696" spans="20:24" x14ac:dyDescent="0.4">
      <c r="T696" s="43"/>
      <c r="U696" s="42"/>
      <c r="V696" s="42"/>
      <c r="W696" s="42"/>
      <c r="X696" s="42"/>
    </row>
    <row r="697" spans="20:24" x14ac:dyDescent="0.4">
      <c r="T697" s="43"/>
      <c r="U697" s="42"/>
      <c r="V697" s="42"/>
      <c r="W697" s="42"/>
      <c r="X697" s="42"/>
    </row>
    <row r="698" spans="20:24" x14ac:dyDescent="0.4">
      <c r="T698" s="43"/>
      <c r="U698" s="42"/>
      <c r="V698" s="42"/>
      <c r="W698" s="42"/>
      <c r="X698" s="42"/>
    </row>
    <row r="699" spans="20:24" x14ac:dyDescent="0.4">
      <c r="T699" s="43"/>
      <c r="U699" s="42"/>
      <c r="V699" s="42"/>
      <c r="W699" s="42"/>
      <c r="X699" s="42"/>
    </row>
    <row r="700" spans="20:24" x14ac:dyDescent="0.4">
      <c r="T700" s="43"/>
      <c r="U700" s="42"/>
      <c r="V700" s="42"/>
      <c r="W700" s="42"/>
      <c r="X700" s="42"/>
    </row>
    <row r="701" spans="20:24" x14ac:dyDescent="0.4">
      <c r="T701" s="43"/>
      <c r="U701" s="42"/>
      <c r="V701" s="42"/>
      <c r="W701" s="42"/>
      <c r="X701" s="42"/>
    </row>
    <row r="702" spans="20:24" x14ac:dyDescent="0.4">
      <c r="T702" s="43"/>
      <c r="U702" s="42"/>
      <c r="V702" s="42"/>
      <c r="W702" s="42"/>
      <c r="X702" s="42"/>
    </row>
    <row r="703" spans="20:24" x14ac:dyDescent="0.4">
      <c r="T703" s="43"/>
      <c r="U703" s="42"/>
      <c r="V703" s="42"/>
      <c r="W703" s="42"/>
      <c r="X703" s="42"/>
    </row>
    <row r="704" spans="20:24" x14ac:dyDescent="0.4">
      <c r="T704" s="43"/>
      <c r="U704" s="42"/>
      <c r="V704" s="42"/>
      <c r="W704" s="42"/>
      <c r="X704" s="42"/>
    </row>
    <row r="705" spans="20:24" x14ac:dyDescent="0.4">
      <c r="T705" s="43"/>
      <c r="U705" s="42"/>
      <c r="V705" s="42"/>
      <c r="W705" s="42"/>
      <c r="X705" s="42"/>
    </row>
    <row r="706" spans="20:24" x14ac:dyDescent="0.4">
      <c r="T706" s="43"/>
      <c r="U706" s="42"/>
      <c r="V706" s="42"/>
      <c r="W706" s="42"/>
      <c r="X706" s="42"/>
    </row>
    <row r="707" spans="20:24" x14ac:dyDescent="0.4">
      <c r="T707" s="43"/>
      <c r="U707" s="42"/>
      <c r="V707" s="42"/>
      <c r="W707" s="42"/>
      <c r="X707" s="42"/>
    </row>
    <row r="708" spans="20:24" x14ac:dyDescent="0.4">
      <c r="T708" s="43"/>
      <c r="U708" s="42"/>
      <c r="V708" s="42"/>
      <c r="W708" s="42"/>
      <c r="X708" s="42"/>
    </row>
    <row r="709" spans="20:24" x14ac:dyDescent="0.4">
      <c r="T709" s="43"/>
      <c r="U709" s="42"/>
      <c r="V709" s="42"/>
      <c r="W709" s="42"/>
      <c r="X709" s="42"/>
    </row>
    <row r="710" spans="20:24" x14ac:dyDescent="0.4">
      <c r="T710" s="43"/>
      <c r="U710" s="42"/>
      <c r="V710" s="42"/>
      <c r="W710" s="42"/>
      <c r="X710" s="42"/>
    </row>
    <row r="711" spans="20:24" x14ac:dyDescent="0.4">
      <c r="T711" s="43"/>
      <c r="U711" s="42"/>
      <c r="V711" s="42"/>
      <c r="W711" s="42"/>
      <c r="X711" s="42"/>
    </row>
    <row r="712" spans="20:24" x14ac:dyDescent="0.4">
      <c r="T712" s="43"/>
      <c r="U712" s="42"/>
      <c r="V712" s="42"/>
      <c r="W712" s="42"/>
      <c r="X712" s="42"/>
    </row>
    <row r="713" spans="20:24" x14ac:dyDescent="0.4">
      <c r="T713" s="43"/>
      <c r="U713" s="42"/>
      <c r="V713" s="42"/>
      <c r="W713" s="42"/>
      <c r="X713" s="42"/>
    </row>
    <row r="714" spans="20:24" x14ac:dyDescent="0.4">
      <c r="T714" s="43"/>
      <c r="U714" s="42"/>
      <c r="V714" s="42"/>
      <c r="W714" s="42"/>
      <c r="X714" s="42"/>
    </row>
    <row r="715" spans="20:24" x14ac:dyDescent="0.4">
      <c r="T715" s="43"/>
      <c r="U715" s="42"/>
      <c r="V715" s="42"/>
      <c r="W715" s="42"/>
      <c r="X715" s="42"/>
    </row>
    <row r="716" spans="20:24" x14ac:dyDescent="0.4">
      <c r="T716" s="43"/>
      <c r="U716" s="42"/>
      <c r="V716" s="42"/>
      <c r="W716" s="42"/>
      <c r="X716" s="42"/>
    </row>
    <row r="717" spans="20:24" x14ac:dyDescent="0.4">
      <c r="T717" s="43"/>
      <c r="U717" s="42"/>
      <c r="V717" s="42"/>
      <c r="W717" s="42"/>
      <c r="X717" s="42"/>
    </row>
    <row r="718" spans="20:24" x14ac:dyDescent="0.4">
      <c r="T718" s="43"/>
      <c r="U718" s="42"/>
      <c r="V718" s="42"/>
      <c r="W718" s="42"/>
      <c r="X718" s="42"/>
    </row>
    <row r="719" spans="20:24" x14ac:dyDescent="0.4">
      <c r="T719" s="43"/>
      <c r="U719" s="42"/>
      <c r="V719" s="42"/>
      <c r="W719" s="42"/>
      <c r="X719" s="42"/>
    </row>
    <row r="720" spans="20:24" x14ac:dyDescent="0.4">
      <c r="T720" s="43"/>
      <c r="U720" s="42"/>
      <c r="V720" s="42"/>
      <c r="W720" s="42"/>
      <c r="X720" s="42"/>
    </row>
    <row r="721" spans="20:24" x14ac:dyDescent="0.4">
      <c r="T721" s="43"/>
      <c r="U721" s="42"/>
      <c r="V721" s="42"/>
      <c r="W721" s="42"/>
      <c r="X721" s="42"/>
    </row>
    <row r="722" spans="20:24" x14ac:dyDescent="0.4">
      <c r="T722" s="43"/>
      <c r="U722" s="42"/>
      <c r="V722" s="42"/>
      <c r="W722" s="42"/>
      <c r="X722" s="42"/>
    </row>
    <row r="723" spans="20:24" x14ac:dyDescent="0.4">
      <c r="T723" s="43"/>
      <c r="U723" s="42"/>
      <c r="V723" s="42"/>
      <c r="W723" s="42"/>
      <c r="X723" s="42"/>
    </row>
    <row r="724" spans="20:24" x14ac:dyDescent="0.4">
      <c r="T724" s="43"/>
      <c r="U724" s="42"/>
      <c r="V724" s="42"/>
      <c r="W724" s="42"/>
      <c r="X724" s="42"/>
    </row>
    <row r="725" spans="20:24" x14ac:dyDescent="0.4">
      <c r="T725" s="43"/>
      <c r="U725" s="42"/>
      <c r="V725" s="42"/>
      <c r="W725" s="42"/>
      <c r="X725" s="42"/>
    </row>
    <row r="726" spans="20:24" x14ac:dyDescent="0.4">
      <c r="T726" s="43"/>
      <c r="U726" s="42"/>
      <c r="V726" s="42"/>
      <c r="W726" s="42"/>
      <c r="X726" s="42"/>
    </row>
    <row r="727" spans="20:24" x14ac:dyDescent="0.4">
      <c r="T727" s="43"/>
      <c r="U727" s="42"/>
      <c r="V727" s="42"/>
      <c r="W727" s="42"/>
      <c r="X727" s="42"/>
    </row>
    <row r="728" spans="20:24" x14ac:dyDescent="0.4">
      <c r="T728" s="43"/>
      <c r="U728" s="42"/>
      <c r="V728" s="42"/>
      <c r="W728" s="42"/>
      <c r="X728" s="42"/>
    </row>
    <row r="729" spans="20:24" x14ac:dyDescent="0.4">
      <c r="T729" s="43"/>
      <c r="U729" s="42"/>
      <c r="V729" s="42"/>
      <c r="W729" s="42"/>
      <c r="X729" s="42"/>
    </row>
    <row r="730" spans="20:24" x14ac:dyDescent="0.4">
      <c r="T730" s="43"/>
      <c r="U730" s="42"/>
      <c r="V730" s="42"/>
      <c r="W730" s="42"/>
      <c r="X730" s="42"/>
    </row>
    <row r="731" spans="20:24" x14ac:dyDescent="0.4">
      <c r="T731" s="43"/>
      <c r="U731" s="42"/>
      <c r="V731" s="42"/>
      <c r="W731" s="42"/>
      <c r="X731" s="42"/>
    </row>
    <row r="732" spans="20:24" x14ac:dyDescent="0.4">
      <c r="T732" s="43"/>
      <c r="U732" s="42"/>
      <c r="V732" s="42"/>
      <c r="W732" s="42"/>
      <c r="X732" s="42"/>
    </row>
    <row r="733" spans="20:24" x14ac:dyDescent="0.4">
      <c r="T733" s="43"/>
      <c r="U733" s="42"/>
      <c r="V733" s="42"/>
      <c r="W733" s="42"/>
      <c r="X733" s="42"/>
    </row>
    <row r="734" spans="20:24" x14ac:dyDescent="0.4">
      <c r="T734" s="43"/>
      <c r="U734" s="42"/>
      <c r="V734" s="42"/>
      <c r="W734" s="42"/>
      <c r="X734" s="42"/>
    </row>
    <row r="735" spans="20:24" x14ac:dyDescent="0.4">
      <c r="T735" s="43"/>
      <c r="U735" s="42"/>
      <c r="V735" s="42"/>
      <c r="W735" s="42"/>
      <c r="X735" s="42"/>
    </row>
    <row r="736" spans="20:24" x14ac:dyDescent="0.4">
      <c r="T736" s="43"/>
      <c r="U736" s="42"/>
      <c r="V736" s="42"/>
      <c r="W736" s="42"/>
      <c r="X736" s="42"/>
    </row>
    <row r="737" spans="4:24" x14ac:dyDescent="0.4">
      <c r="D737" s="50"/>
      <c r="O737" s="50"/>
      <c r="T737" s="43"/>
      <c r="U737" s="42"/>
      <c r="V737" s="42"/>
      <c r="W737" s="42"/>
      <c r="X737" s="42"/>
    </row>
    <row r="738" spans="4:24" x14ac:dyDescent="0.4">
      <c r="D738" s="50"/>
      <c r="O738" s="50"/>
      <c r="T738" s="43"/>
      <c r="U738" s="42"/>
      <c r="V738" s="42"/>
      <c r="W738" s="42"/>
      <c r="X738" s="42"/>
    </row>
    <row r="739" spans="4:24" x14ac:dyDescent="0.4">
      <c r="D739" s="50"/>
      <c r="O739" s="50"/>
      <c r="T739" s="43"/>
      <c r="U739" s="42"/>
      <c r="V739" s="42"/>
      <c r="W739" s="42"/>
      <c r="X739" s="42"/>
    </row>
    <row r="740" spans="4:24" x14ac:dyDescent="0.4">
      <c r="D740" s="50"/>
      <c r="O740" s="50"/>
      <c r="T740" s="43"/>
      <c r="U740" s="42"/>
      <c r="V740" s="42"/>
      <c r="W740" s="42"/>
      <c r="X740" s="42"/>
    </row>
    <row r="741" spans="4:24" x14ac:dyDescent="0.4">
      <c r="T741" s="43"/>
      <c r="U741" s="42"/>
      <c r="V741" s="42"/>
      <c r="W741" s="42"/>
      <c r="X741" s="42"/>
    </row>
    <row r="742" spans="4:24" x14ac:dyDescent="0.4">
      <c r="T742" s="43"/>
      <c r="U742" s="42"/>
      <c r="V742" s="42"/>
      <c r="W742" s="42"/>
      <c r="X742" s="42"/>
    </row>
    <row r="743" spans="4:24" x14ac:dyDescent="0.4">
      <c r="T743" s="43"/>
      <c r="U743" s="42"/>
      <c r="V743" s="42"/>
      <c r="W743" s="42"/>
      <c r="X743" s="42"/>
    </row>
    <row r="744" spans="4:24" x14ac:dyDescent="0.4">
      <c r="T744" s="43"/>
      <c r="U744" s="42"/>
      <c r="V744" s="42"/>
      <c r="W744" s="42"/>
      <c r="X744" s="42"/>
    </row>
    <row r="745" spans="4:24" x14ac:dyDescent="0.4">
      <c r="T745" s="43"/>
      <c r="U745" s="42"/>
      <c r="V745" s="42"/>
      <c r="W745" s="42"/>
      <c r="X745" s="42"/>
    </row>
    <row r="746" spans="4:24" x14ac:dyDescent="0.4">
      <c r="T746" s="43"/>
      <c r="U746" s="42"/>
      <c r="V746" s="42"/>
      <c r="W746" s="42"/>
      <c r="X746" s="42"/>
    </row>
    <row r="747" spans="4:24" x14ac:dyDescent="0.4">
      <c r="D747" s="50"/>
      <c r="O747" s="50"/>
      <c r="T747" s="43"/>
      <c r="U747" s="42"/>
      <c r="V747" s="42"/>
      <c r="W747" s="42"/>
      <c r="X747" s="42"/>
    </row>
    <row r="748" spans="4:24" x14ac:dyDescent="0.4">
      <c r="D748" s="50"/>
      <c r="O748" s="50"/>
      <c r="T748" s="43"/>
      <c r="U748" s="42"/>
      <c r="V748" s="42"/>
      <c r="W748" s="42"/>
      <c r="X748" s="42"/>
    </row>
    <row r="749" spans="4:24" x14ac:dyDescent="0.4">
      <c r="D749" s="50"/>
      <c r="O749" s="50"/>
      <c r="T749" s="43"/>
      <c r="U749" s="42"/>
      <c r="V749" s="42"/>
      <c r="W749" s="42"/>
      <c r="X749" s="42"/>
    </row>
    <row r="750" spans="4:24" x14ac:dyDescent="0.4">
      <c r="T750" s="43"/>
      <c r="U750" s="42"/>
      <c r="V750" s="42"/>
      <c r="W750" s="42"/>
      <c r="X750" s="42"/>
    </row>
    <row r="751" spans="4:24" x14ac:dyDescent="0.4">
      <c r="D751" s="50"/>
      <c r="O751" s="50"/>
      <c r="T751" s="43"/>
      <c r="U751" s="42"/>
      <c r="V751" s="42"/>
      <c r="W751" s="42"/>
      <c r="X751" s="42"/>
    </row>
    <row r="752" spans="4:24" x14ac:dyDescent="0.4">
      <c r="D752" s="50"/>
      <c r="O752" s="50"/>
      <c r="T752" s="43"/>
      <c r="U752" s="42"/>
      <c r="V752" s="42"/>
      <c r="W752" s="42"/>
      <c r="X752" s="42"/>
    </row>
    <row r="753" spans="4:24" x14ac:dyDescent="0.4">
      <c r="D753" s="50"/>
      <c r="O753" s="50"/>
      <c r="T753" s="43"/>
      <c r="U753" s="42"/>
      <c r="V753" s="42"/>
      <c r="W753" s="42"/>
      <c r="X753" s="42"/>
    </row>
    <row r="754" spans="4:24" x14ac:dyDescent="0.4">
      <c r="D754" s="50"/>
      <c r="O754" s="50"/>
      <c r="T754" s="43"/>
      <c r="U754" s="42"/>
      <c r="V754" s="42"/>
      <c r="W754" s="42"/>
      <c r="X754" s="42"/>
    </row>
    <row r="755" spans="4:24" x14ac:dyDescent="0.4">
      <c r="D755" s="50"/>
      <c r="O755" s="50"/>
      <c r="T755" s="43"/>
      <c r="U755" s="42"/>
      <c r="V755" s="42"/>
      <c r="W755" s="42"/>
      <c r="X755" s="42"/>
    </row>
    <row r="756" spans="4:24" x14ac:dyDescent="0.4">
      <c r="T756" s="43"/>
      <c r="U756" s="42"/>
      <c r="V756" s="42"/>
      <c r="W756" s="42"/>
      <c r="X756" s="42"/>
    </row>
    <row r="757" spans="4:24" x14ac:dyDescent="0.4">
      <c r="O757" s="50"/>
      <c r="T757" s="43"/>
      <c r="U757" s="42"/>
      <c r="V757" s="42"/>
      <c r="W757" s="42"/>
      <c r="X757" s="42"/>
    </row>
    <row r="758" spans="4:24" x14ac:dyDescent="0.4">
      <c r="O758" s="50"/>
      <c r="T758" s="43"/>
      <c r="U758" s="42"/>
      <c r="V758" s="42"/>
      <c r="W758" s="42"/>
      <c r="X758" s="42"/>
    </row>
    <row r="759" spans="4:24" x14ac:dyDescent="0.4">
      <c r="O759" s="50"/>
      <c r="T759" s="43"/>
      <c r="U759" s="42"/>
      <c r="V759" s="42"/>
      <c r="W759" s="42"/>
      <c r="X759" s="42"/>
    </row>
    <row r="760" spans="4:24" x14ac:dyDescent="0.4">
      <c r="D760" s="50"/>
      <c r="O760" s="50"/>
      <c r="T760" s="43"/>
      <c r="U760" s="42"/>
      <c r="V760" s="42"/>
      <c r="W760" s="42"/>
      <c r="X760" s="42"/>
    </row>
    <row r="761" spans="4:24" x14ac:dyDescent="0.4">
      <c r="D761" s="50"/>
      <c r="O761" s="50"/>
      <c r="T761" s="43"/>
      <c r="U761" s="42"/>
      <c r="V761" s="42"/>
      <c r="W761" s="42"/>
      <c r="X761" s="42"/>
    </row>
    <row r="762" spans="4:24" x14ac:dyDescent="0.4">
      <c r="D762" s="50"/>
      <c r="O762" s="50"/>
      <c r="T762" s="43"/>
      <c r="U762" s="42"/>
      <c r="V762" s="42"/>
      <c r="W762" s="42"/>
      <c r="X762" s="42"/>
    </row>
    <row r="763" spans="4:24" x14ac:dyDescent="0.4">
      <c r="O763" s="50"/>
      <c r="T763" s="43"/>
      <c r="U763" s="42"/>
      <c r="V763" s="42"/>
      <c r="W763" s="42"/>
      <c r="X763" s="42"/>
    </row>
    <row r="764" spans="4:24" x14ac:dyDescent="0.4">
      <c r="O764" s="50"/>
      <c r="T764" s="43"/>
      <c r="U764" s="42"/>
      <c r="V764" s="42"/>
      <c r="W764" s="42"/>
      <c r="X764" s="42"/>
    </row>
    <row r="765" spans="4:24" x14ac:dyDescent="0.4">
      <c r="O765" s="50"/>
      <c r="T765" s="43"/>
      <c r="U765" s="42"/>
      <c r="V765" s="42"/>
      <c r="W765" s="42"/>
      <c r="X765" s="42"/>
    </row>
    <row r="766" spans="4:24" x14ac:dyDescent="0.4">
      <c r="O766" s="50"/>
      <c r="T766" s="43"/>
      <c r="U766" s="42"/>
      <c r="V766" s="42"/>
      <c r="W766" s="42"/>
      <c r="X766" s="42"/>
    </row>
    <row r="767" spans="4:24" x14ac:dyDescent="0.4">
      <c r="T767" s="43"/>
      <c r="U767" s="42"/>
      <c r="V767" s="42"/>
      <c r="W767" s="42"/>
      <c r="X767" s="42"/>
    </row>
    <row r="768" spans="4:24" x14ac:dyDescent="0.4">
      <c r="T768" s="43"/>
      <c r="U768" s="42"/>
      <c r="V768" s="42"/>
      <c r="W768" s="42"/>
      <c r="X768" s="42"/>
    </row>
    <row r="769" spans="4:24" x14ac:dyDescent="0.4">
      <c r="D769" s="50"/>
      <c r="O769" s="50"/>
      <c r="T769" s="43"/>
      <c r="U769" s="42"/>
      <c r="V769" s="42"/>
      <c r="W769" s="42"/>
      <c r="X769" s="42"/>
    </row>
    <row r="770" spans="4:24" x14ac:dyDescent="0.4">
      <c r="D770" s="50"/>
      <c r="O770" s="50"/>
      <c r="T770" s="43"/>
      <c r="U770" s="42"/>
      <c r="V770" s="42"/>
      <c r="W770" s="42"/>
      <c r="X770" s="42"/>
    </row>
    <row r="771" spans="4:24" x14ac:dyDescent="0.4">
      <c r="D771" s="50"/>
      <c r="O771" s="50"/>
      <c r="T771" s="43"/>
      <c r="U771" s="42"/>
      <c r="V771" s="42"/>
      <c r="W771" s="42"/>
      <c r="X771" s="42"/>
    </row>
    <row r="772" spans="4:24" x14ac:dyDescent="0.4">
      <c r="D772" s="50"/>
      <c r="O772" s="50"/>
      <c r="T772" s="43"/>
      <c r="U772" s="42"/>
      <c r="V772" s="42"/>
      <c r="W772" s="42"/>
      <c r="X772" s="42"/>
    </row>
    <row r="773" spans="4:24" x14ac:dyDescent="0.4">
      <c r="D773" s="50"/>
      <c r="O773" s="50"/>
      <c r="T773" s="43"/>
      <c r="U773" s="42"/>
      <c r="V773" s="42"/>
      <c r="W773" s="42"/>
      <c r="X773" s="42"/>
    </row>
    <row r="774" spans="4:24" x14ac:dyDescent="0.4">
      <c r="D774" s="50"/>
      <c r="O774" s="50"/>
      <c r="T774" s="43"/>
      <c r="U774" s="42"/>
      <c r="V774" s="42"/>
      <c r="W774" s="42"/>
      <c r="X774" s="42"/>
    </row>
    <row r="775" spans="4:24" x14ac:dyDescent="0.4">
      <c r="D775" s="50"/>
      <c r="O775" s="50"/>
      <c r="T775" s="43"/>
      <c r="U775" s="42"/>
      <c r="V775" s="42"/>
      <c r="W775" s="42"/>
      <c r="X775" s="42"/>
    </row>
    <row r="776" spans="4:24" x14ac:dyDescent="0.4">
      <c r="D776" s="50"/>
      <c r="O776" s="50"/>
      <c r="T776" s="43"/>
      <c r="U776" s="42"/>
      <c r="V776" s="42"/>
      <c r="W776" s="42"/>
      <c r="X776" s="42"/>
    </row>
    <row r="777" spans="4:24" x14ac:dyDescent="0.4">
      <c r="D777" s="50"/>
      <c r="O777" s="50"/>
      <c r="T777" s="43"/>
      <c r="U777" s="42"/>
      <c r="V777" s="42"/>
      <c r="W777" s="42"/>
      <c r="X777" s="42"/>
    </row>
    <row r="778" spans="4:24" x14ac:dyDescent="0.4">
      <c r="D778" s="50"/>
      <c r="O778" s="50"/>
      <c r="T778" s="43"/>
      <c r="U778" s="42"/>
      <c r="V778" s="42"/>
      <c r="W778" s="42"/>
      <c r="X778" s="42"/>
    </row>
    <row r="779" spans="4:24" x14ac:dyDescent="0.4">
      <c r="O779" s="50"/>
      <c r="T779" s="43"/>
      <c r="U779" s="42"/>
      <c r="V779" s="42"/>
      <c r="W779" s="42"/>
      <c r="X779" s="42"/>
    </row>
    <row r="780" spans="4:24" x14ac:dyDescent="0.4">
      <c r="O780" s="50"/>
      <c r="T780" s="43"/>
      <c r="U780" s="42"/>
      <c r="V780" s="42"/>
      <c r="W780" s="42"/>
      <c r="X780" s="42"/>
    </row>
    <row r="781" spans="4:24" x14ac:dyDescent="0.4">
      <c r="D781" s="50"/>
      <c r="O781" s="50"/>
      <c r="T781" s="43"/>
      <c r="U781" s="42"/>
      <c r="V781" s="42"/>
      <c r="W781" s="42"/>
      <c r="X781" s="42"/>
    </row>
    <row r="782" spans="4:24" x14ac:dyDescent="0.4">
      <c r="D782" s="50"/>
      <c r="O782" s="50"/>
      <c r="T782" s="43"/>
      <c r="U782" s="42"/>
      <c r="V782" s="42"/>
      <c r="W782" s="42"/>
      <c r="X782" s="42"/>
    </row>
    <row r="783" spans="4:24" x14ac:dyDescent="0.4">
      <c r="D783" s="50"/>
      <c r="O783" s="50"/>
      <c r="T783" s="43"/>
      <c r="U783" s="42"/>
      <c r="V783" s="42"/>
      <c r="W783" s="42"/>
      <c r="X783" s="42"/>
    </row>
    <row r="784" spans="4:24" x14ac:dyDescent="0.4">
      <c r="D784" s="50"/>
      <c r="O784" s="50"/>
      <c r="T784" s="43"/>
      <c r="U784" s="42"/>
      <c r="V784" s="42"/>
      <c r="W784" s="42"/>
      <c r="X784" s="42"/>
    </row>
    <row r="785" spans="4:24" x14ac:dyDescent="0.4">
      <c r="D785" s="50"/>
      <c r="O785" s="50"/>
      <c r="T785" s="43"/>
      <c r="U785" s="42"/>
      <c r="V785" s="42"/>
      <c r="W785" s="42"/>
      <c r="X785" s="42"/>
    </row>
    <row r="786" spans="4:24" x14ac:dyDescent="0.4">
      <c r="T786" s="43"/>
      <c r="U786" s="42"/>
      <c r="V786" s="42"/>
      <c r="W786" s="42"/>
      <c r="X786" s="42"/>
    </row>
    <row r="787" spans="4:24" x14ac:dyDescent="0.4">
      <c r="D787" s="50"/>
      <c r="O787" s="50"/>
      <c r="T787" s="43"/>
      <c r="U787" s="42"/>
      <c r="V787" s="42"/>
      <c r="W787" s="42"/>
      <c r="X787" s="42"/>
    </row>
    <row r="788" spans="4:24" x14ac:dyDescent="0.4">
      <c r="D788" s="50"/>
      <c r="O788" s="50"/>
      <c r="T788" s="43"/>
      <c r="U788" s="42"/>
      <c r="V788" s="42"/>
      <c r="W788" s="42"/>
      <c r="X788" s="42"/>
    </row>
    <row r="789" spans="4:24" x14ac:dyDescent="0.4">
      <c r="D789" s="50"/>
      <c r="O789" s="50"/>
      <c r="T789" s="43"/>
      <c r="U789" s="42"/>
      <c r="V789" s="42"/>
      <c r="W789" s="42"/>
      <c r="X789" s="42"/>
    </row>
    <row r="790" spans="4:24" x14ac:dyDescent="0.4">
      <c r="D790" s="50"/>
      <c r="O790" s="50"/>
      <c r="T790" s="43"/>
      <c r="U790" s="42"/>
      <c r="V790" s="42"/>
      <c r="W790" s="42"/>
      <c r="X790" s="42"/>
    </row>
    <row r="791" spans="4:24" x14ac:dyDescent="0.4">
      <c r="D791" s="50"/>
      <c r="O791" s="50"/>
      <c r="T791" s="43"/>
      <c r="U791" s="42"/>
      <c r="V791" s="42"/>
      <c r="W791" s="42"/>
      <c r="X791" s="42"/>
    </row>
    <row r="792" spans="4:24" x14ac:dyDescent="0.4">
      <c r="T792" s="43"/>
      <c r="U792" s="42"/>
      <c r="V792" s="42"/>
      <c r="W792" s="42"/>
      <c r="X792" s="42"/>
    </row>
    <row r="793" spans="4:24" x14ac:dyDescent="0.4">
      <c r="T793" s="43"/>
      <c r="U793" s="42"/>
      <c r="V793" s="42"/>
      <c r="W793" s="42"/>
      <c r="X793" s="42"/>
    </row>
    <row r="794" spans="4:24" x14ac:dyDescent="0.4">
      <c r="O794" s="50"/>
      <c r="T794" s="43"/>
      <c r="U794" s="42"/>
      <c r="V794" s="42"/>
      <c r="W794" s="42"/>
      <c r="X794" s="42"/>
    </row>
    <row r="795" spans="4:24" x14ac:dyDescent="0.4">
      <c r="D795" s="50"/>
      <c r="O795" s="50"/>
      <c r="T795" s="43"/>
      <c r="U795" s="42"/>
      <c r="V795" s="42"/>
      <c r="W795" s="42"/>
      <c r="X795" s="42"/>
    </row>
    <row r="796" spans="4:24" x14ac:dyDescent="0.4">
      <c r="D796" s="50"/>
      <c r="O796" s="50"/>
      <c r="T796" s="43"/>
      <c r="U796" s="42"/>
      <c r="V796" s="42"/>
      <c r="W796" s="42"/>
      <c r="X796" s="42"/>
    </row>
    <row r="797" spans="4:24" x14ac:dyDescent="0.4">
      <c r="D797" s="50"/>
      <c r="O797" s="50"/>
      <c r="T797" s="43"/>
      <c r="U797" s="42"/>
      <c r="V797" s="42"/>
      <c r="W797" s="42"/>
      <c r="X797" s="42"/>
    </row>
    <row r="798" spans="4:24" x14ac:dyDescent="0.4">
      <c r="D798" s="50"/>
      <c r="O798" s="50"/>
      <c r="T798" s="43"/>
      <c r="U798" s="42"/>
      <c r="V798" s="42"/>
      <c r="W798" s="42"/>
      <c r="X798" s="42"/>
    </row>
    <row r="799" spans="4:24" x14ac:dyDescent="0.4">
      <c r="T799" s="43"/>
      <c r="U799" s="42"/>
      <c r="V799" s="42"/>
      <c r="W799" s="42"/>
      <c r="X799" s="42"/>
    </row>
    <row r="800" spans="4:24" x14ac:dyDescent="0.4">
      <c r="T800" s="43"/>
      <c r="U800" s="42"/>
      <c r="V800" s="42"/>
      <c r="W800" s="42"/>
      <c r="X800" s="42"/>
    </row>
    <row r="801" spans="4:24" x14ac:dyDescent="0.4">
      <c r="O801" s="50"/>
      <c r="T801" s="43"/>
      <c r="U801" s="42"/>
      <c r="V801" s="42"/>
      <c r="W801" s="42"/>
      <c r="X801" s="42"/>
    </row>
    <row r="802" spans="4:24" x14ac:dyDescent="0.4">
      <c r="O802" s="50"/>
      <c r="T802" s="43"/>
      <c r="U802" s="42"/>
      <c r="V802" s="42"/>
      <c r="W802" s="42"/>
      <c r="X802" s="42"/>
    </row>
    <row r="803" spans="4:24" x14ac:dyDescent="0.4">
      <c r="O803" s="50"/>
      <c r="T803" s="43"/>
      <c r="U803" s="42"/>
      <c r="V803" s="42"/>
      <c r="W803" s="42"/>
      <c r="X803" s="42"/>
    </row>
    <row r="804" spans="4:24" x14ac:dyDescent="0.4">
      <c r="D804" s="50"/>
      <c r="O804" s="50"/>
      <c r="T804" s="43"/>
      <c r="U804" s="42"/>
      <c r="V804" s="42"/>
      <c r="W804" s="42"/>
      <c r="X804" s="42"/>
    </row>
    <row r="805" spans="4:24" x14ac:dyDescent="0.4">
      <c r="D805" s="50"/>
      <c r="O805" s="50"/>
      <c r="T805" s="43"/>
      <c r="U805" s="42"/>
      <c r="V805" s="42"/>
      <c r="W805" s="42"/>
      <c r="X805" s="42"/>
    </row>
    <row r="806" spans="4:24" x14ac:dyDescent="0.4">
      <c r="D806" s="50"/>
      <c r="O806" s="50"/>
      <c r="T806" s="43"/>
      <c r="U806" s="42"/>
      <c r="V806" s="42"/>
      <c r="W806" s="42"/>
      <c r="X806" s="42"/>
    </row>
    <row r="807" spans="4:24" x14ac:dyDescent="0.4">
      <c r="D807" s="50"/>
      <c r="O807" s="50"/>
      <c r="T807" s="43"/>
      <c r="U807" s="42"/>
      <c r="V807" s="42"/>
      <c r="W807" s="42"/>
      <c r="X807" s="42"/>
    </row>
    <row r="808" spans="4:24" x14ac:dyDescent="0.4">
      <c r="D808" s="50"/>
      <c r="O808" s="50"/>
      <c r="T808" s="43"/>
      <c r="U808" s="42"/>
      <c r="V808" s="42"/>
      <c r="W808" s="42"/>
      <c r="X808" s="42"/>
    </row>
    <row r="809" spans="4:24" x14ac:dyDescent="0.4">
      <c r="D809" s="50"/>
      <c r="O809" s="50"/>
      <c r="T809" s="43"/>
      <c r="U809" s="42"/>
      <c r="V809" s="42"/>
      <c r="W809" s="42"/>
      <c r="X809" s="42"/>
    </row>
    <row r="810" spans="4:24" x14ac:dyDescent="0.4">
      <c r="D810" s="50"/>
      <c r="O810" s="50"/>
      <c r="T810" s="43"/>
      <c r="U810" s="42"/>
      <c r="V810" s="42"/>
      <c r="W810" s="42"/>
      <c r="X810" s="42"/>
    </row>
    <row r="811" spans="4:24" x14ac:dyDescent="0.4">
      <c r="T811" s="43"/>
      <c r="U811" s="42"/>
      <c r="V811" s="42"/>
      <c r="W811" s="42"/>
      <c r="X811" s="42"/>
    </row>
    <row r="812" spans="4:24" x14ac:dyDescent="0.4">
      <c r="O812" s="50"/>
      <c r="T812" s="43"/>
      <c r="U812" s="42"/>
      <c r="V812" s="42"/>
      <c r="W812" s="42"/>
      <c r="X812" s="42"/>
    </row>
    <row r="813" spans="4:24" x14ac:dyDescent="0.4">
      <c r="O813" s="50"/>
      <c r="T813" s="43"/>
      <c r="U813" s="42"/>
      <c r="V813" s="42"/>
      <c r="W813" s="42"/>
      <c r="X813" s="42"/>
    </row>
    <row r="814" spans="4:24" x14ac:dyDescent="0.4">
      <c r="O814" s="50"/>
      <c r="T814" s="43"/>
      <c r="U814" s="42"/>
      <c r="V814" s="42"/>
      <c r="W814" s="42"/>
      <c r="X814" s="42"/>
    </row>
    <row r="815" spans="4:24" x14ac:dyDescent="0.4">
      <c r="D815" s="50"/>
      <c r="O815" s="50"/>
      <c r="T815" s="43"/>
      <c r="U815" s="42"/>
      <c r="V815" s="42"/>
      <c r="W815" s="42"/>
      <c r="X815" s="42"/>
    </row>
    <row r="816" spans="4:24" x14ac:dyDescent="0.4">
      <c r="D816" s="50"/>
      <c r="O816" s="50"/>
      <c r="T816" s="43"/>
      <c r="U816" s="42"/>
      <c r="V816" s="42"/>
      <c r="W816" s="42"/>
      <c r="X816" s="42"/>
    </row>
    <row r="817" spans="4:24" x14ac:dyDescent="0.4">
      <c r="D817" s="50"/>
      <c r="O817" s="50"/>
      <c r="T817" s="43"/>
      <c r="U817" s="42"/>
      <c r="V817" s="42"/>
      <c r="W817" s="42"/>
      <c r="X817" s="42"/>
    </row>
    <row r="818" spans="4:24" x14ac:dyDescent="0.4">
      <c r="D818" s="50"/>
      <c r="O818" s="50"/>
      <c r="T818" s="43"/>
      <c r="U818" s="42"/>
      <c r="V818" s="42"/>
      <c r="W818" s="42"/>
      <c r="X818" s="42"/>
    </row>
    <row r="819" spans="4:24" x14ac:dyDescent="0.4">
      <c r="T819" s="43"/>
      <c r="U819" s="42"/>
      <c r="V819" s="42"/>
      <c r="W819" s="42"/>
      <c r="X819" s="42"/>
    </row>
    <row r="820" spans="4:24" x14ac:dyDescent="0.4">
      <c r="T820" s="43"/>
      <c r="U820" s="42"/>
      <c r="V820" s="42"/>
      <c r="W820" s="42"/>
      <c r="X820" s="42"/>
    </row>
    <row r="821" spans="4:24" x14ac:dyDescent="0.4">
      <c r="T821" s="43"/>
      <c r="U821" s="42"/>
      <c r="V821" s="42"/>
      <c r="W821" s="42"/>
      <c r="X821" s="42"/>
    </row>
    <row r="822" spans="4:24" x14ac:dyDescent="0.4">
      <c r="T822" s="43"/>
      <c r="U822" s="42"/>
      <c r="V822" s="42"/>
      <c r="W822" s="42"/>
      <c r="X822" s="42"/>
    </row>
    <row r="823" spans="4:24" x14ac:dyDescent="0.4">
      <c r="O823" s="50"/>
      <c r="T823" s="43"/>
      <c r="U823" s="42"/>
      <c r="V823" s="42"/>
      <c r="W823" s="42"/>
      <c r="X823" s="42"/>
    </row>
    <row r="824" spans="4:24" x14ac:dyDescent="0.4">
      <c r="O824" s="50"/>
      <c r="T824" s="43"/>
      <c r="U824" s="42"/>
      <c r="V824" s="42"/>
      <c r="W824" s="42"/>
      <c r="X824" s="42"/>
    </row>
    <row r="825" spans="4:24" x14ac:dyDescent="0.4">
      <c r="O825" s="50"/>
      <c r="T825" s="43"/>
      <c r="U825" s="42"/>
      <c r="V825" s="42"/>
      <c r="W825" s="42"/>
      <c r="X825" s="42"/>
    </row>
    <row r="826" spans="4:24" x14ac:dyDescent="0.4">
      <c r="O826" s="50"/>
      <c r="T826" s="43"/>
      <c r="U826" s="42"/>
      <c r="V826" s="42"/>
      <c r="W826" s="42"/>
      <c r="X826" s="42"/>
    </row>
    <row r="827" spans="4:24" x14ac:dyDescent="0.4">
      <c r="O827" s="50"/>
      <c r="T827" s="43"/>
      <c r="U827" s="42"/>
      <c r="V827" s="42"/>
      <c r="W827" s="42"/>
      <c r="X827" s="42"/>
    </row>
    <row r="828" spans="4:24" x14ac:dyDescent="0.4">
      <c r="O828" s="50"/>
      <c r="T828" s="43"/>
      <c r="U828" s="42"/>
      <c r="V828" s="42"/>
      <c r="W828" s="42"/>
      <c r="X828" s="42"/>
    </row>
    <row r="829" spans="4:24" x14ac:dyDescent="0.4">
      <c r="T829" s="43"/>
      <c r="U829" s="42"/>
      <c r="V829" s="42"/>
      <c r="W829" s="42"/>
      <c r="X829" s="42"/>
    </row>
    <row r="830" spans="4:24" x14ac:dyDescent="0.4">
      <c r="T830" s="43"/>
      <c r="U830" s="42"/>
      <c r="V830" s="42"/>
      <c r="W830" s="42"/>
      <c r="X830" s="42"/>
    </row>
    <row r="831" spans="4:24" x14ac:dyDescent="0.4">
      <c r="T831" s="43"/>
      <c r="U831" s="42"/>
      <c r="V831" s="42"/>
      <c r="W831" s="42"/>
      <c r="X831" s="42"/>
    </row>
    <row r="832" spans="4:24" x14ac:dyDescent="0.4">
      <c r="T832" s="43"/>
      <c r="U832" s="42"/>
      <c r="V832" s="42"/>
      <c r="W832" s="42"/>
      <c r="X832" s="42"/>
    </row>
    <row r="833" spans="15:24" x14ac:dyDescent="0.4">
      <c r="O833" s="50"/>
      <c r="T833" s="43"/>
      <c r="U833" s="42"/>
      <c r="V833" s="42"/>
      <c r="W833" s="42"/>
      <c r="X833" s="42"/>
    </row>
    <row r="834" spans="15:24" x14ac:dyDescent="0.4">
      <c r="O834" s="50"/>
      <c r="T834" s="43"/>
      <c r="U834" s="42"/>
      <c r="V834" s="42"/>
      <c r="W834" s="42"/>
      <c r="X834" s="42"/>
    </row>
    <row r="835" spans="15:24" x14ac:dyDescent="0.4">
      <c r="O835" s="50"/>
      <c r="T835" s="43"/>
      <c r="U835" s="42"/>
      <c r="V835" s="42"/>
      <c r="W835" s="42"/>
      <c r="X835" s="42"/>
    </row>
    <row r="836" spans="15:24" x14ac:dyDescent="0.4">
      <c r="O836" s="50"/>
      <c r="T836" s="43"/>
      <c r="U836" s="42"/>
      <c r="V836" s="42"/>
      <c r="W836" s="42"/>
      <c r="X836" s="42"/>
    </row>
    <row r="837" spans="15:24" x14ac:dyDescent="0.4">
      <c r="T837" s="43"/>
      <c r="U837" s="42"/>
      <c r="V837" s="42"/>
      <c r="W837" s="42"/>
      <c r="X837" s="42"/>
    </row>
    <row r="838" spans="15:24" x14ac:dyDescent="0.4">
      <c r="T838" s="43"/>
      <c r="U838" s="42"/>
      <c r="V838" s="42"/>
      <c r="W838" s="42"/>
      <c r="X838" s="42"/>
    </row>
    <row r="839" spans="15:24" x14ac:dyDescent="0.4">
      <c r="T839" s="43"/>
      <c r="U839" s="42"/>
      <c r="V839" s="42"/>
      <c r="W839" s="42"/>
      <c r="X839" s="42"/>
    </row>
    <row r="840" spans="15:24" x14ac:dyDescent="0.4">
      <c r="T840" s="43"/>
      <c r="U840" s="42"/>
      <c r="V840" s="42"/>
      <c r="W840" s="42"/>
      <c r="X840" s="42"/>
    </row>
    <row r="841" spans="15:24" x14ac:dyDescent="0.4">
      <c r="O841" s="50"/>
      <c r="T841" s="43"/>
      <c r="U841" s="42"/>
      <c r="V841" s="42"/>
      <c r="W841" s="42"/>
      <c r="X841" s="42"/>
    </row>
    <row r="842" spans="15:24" x14ac:dyDescent="0.4">
      <c r="O842" s="50"/>
      <c r="T842" s="43"/>
      <c r="U842" s="42"/>
      <c r="V842" s="42"/>
      <c r="W842" s="42"/>
      <c r="X842" s="42"/>
    </row>
    <row r="843" spans="15:24" x14ac:dyDescent="0.4">
      <c r="O843" s="50"/>
      <c r="T843" s="43"/>
      <c r="U843" s="42"/>
      <c r="V843" s="42"/>
      <c r="W843" s="42"/>
      <c r="X843" s="42"/>
    </row>
    <row r="844" spans="15:24" x14ac:dyDescent="0.4">
      <c r="O844" s="50"/>
      <c r="T844" s="43"/>
      <c r="U844" s="42"/>
      <c r="V844" s="42"/>
      <c r="W844" s="42"/>
      <c r="X844" s="42"/>
    </row>
    <row r="845" spans="15:24" x14ac:dyDescent="0.4">
      <c r="O845" s="50"/>
      <c r="T845" s="43"/>
      <c r="U845" s="42"/>
      <c r="V845" s="42"/>
      <c r="W845" s="42"/>
      <c r="X845" s="42"/>
    </row>
    <row r="846" spans="15:24" x14ac:dyDescent="0.4">
      <c r="O846" s="50"/>
      <c r="T846" s="43"/>
      <c r="U846" s="42"/>
      <c r="V846" s="42"/>
      <c r="W846" s="42"/>
      <c r="X846" s="42"/>
    </row>
    <row r="847" spans="15:24" x14ac:dyDescent="0.4">
      <c r="O847" s="50"/>
      <c r="T847" s="43"/>
      <c r="U847" s="42"/>
      <c r="V847" s="42"/>
      <c r="W847" s="42"/>
      <c r="X847" s="42"/>
    </row>
    <row r="848" spans="15:24" x14ac:dyDescent="0.4">
      <c r="O848" s="50"/>
      <c r="T848" s="43"/>
      <c r="U848" s="42"/>
      <c r="V848" s="42"/>
      <c r="W848" s="42"/>
      <c r="X848" s="42"/>
    </row>
    <row r="849" spans="15:24" x14ac:dyDescent="0.4">
      <c r="O849" s="50"/>
      <c r="T849" s="43"/>
      <c r="U849" s="42"/>
      <c r="V849" s="42"/>
      <c r="W849" s="42"/>
      <c r="X849" s="42"/>
    </row>
    <row r="850" spans="15:24" x14ac:dyDescent="0.4">
      <c r="O850" s="50"/>
      <c r="T850" s="43"/>
      <c r="U850" s="42"/>
      <c r="V850" s="42"/>
      <c r="W850" s="42"/>
      <c r="X850" s="42"/>
    </row>
    <row r="851" spans="15:24" x14ac:dyDescent="0.4">
      <c r="O851" s="50"/>
      <c r="T851" s="43"/>
      <c r="U851" s="42"/>
      <c r="V851" s="42"/>
      <c r="W851" s="42"/>
      <c r="X851" s="42"/>
    </row>
    <row r="852" spans="15:24" x14ac:dyDescent="0.4">
      <c r="O852" s="50"/>
      <c r="T852" s="43"/>
      <c r="U852" s="42"/>
      <c r="V852" s="42"/>
      <c r="W852" s="42"/>
      <c r="X852" s="42"/>
    </row>
    <row r="853" spans="15:24" x14ac:dyDescent="0.4">
      <c r="T853" s="43"/>
      <c r="U853" s="42"/>
      <c r="V853" s="42"/>
      <c r="W853" s="42"/>
      <c r="X853" s="42"/>
    </row>
    <row r="854" spans="15:24" x14ac:dyDescent="0.4">
      <c r="T854" s="43"/>
      <c r="U854" s="42"/>
      <c r="V854" s="42"/>
      <c r="W854" s="42"/>
      <c r="X854" s="42"/>
    </row>
    <row r="855" spans="15:24" x14ac:dyDescent="0.4">
      <c r="T855" s="43"/>
      <c r="U855" s="42"/>
      <c r="V855" s="42"/>
      <c r="W855" s="42"/>
      <c r="X855" s="42"/>
    </row>
    <row r="856" spans="15:24" x14ac:dyDescent="0.4">
      <c r="T856" s="43"/>
      <c r="U856" s="42"/>
      <c r="V856" s="42"/>
      <c r="W856" s="42"/>
      <c r="X856" s="42"/>
    </row>
    <row r="857" spans="15:24" x14ac:dyDescent="0.4">
      <c r="T857" s="43"/>
      <c r="U857" s="42"/>
      <c r="V857" s="42"/>
      <c r="W857" s="42"/>
      <c r="X857" s="42"/>
    </row>
    <row r="858" spans="15:24" x14ac:dyDescent="0.4">
      <c r="O858" s="50"/>
      <c r="T858" s="43"/>
      <c r="U858" s="42"/>
      <c r="V858" s="42"/>
      <c r="W858" s="42"/>
      <c r="X858" s="42"/>
    </row>
    <row r="859" spans="15:24" x14ac:dyDescent="0.4">
      <c r="O859" s="50"/>
      <c r="T859" s="43"/>
      <c r="U859" s="42"/>
      <c r="V859" s="42"/>
      <c r="W859" s="42"/>
      <c r="X859" s="42"/>
    </row>
    <row r="860" spans="15:24" x14ac:dyDescent="0.4">
      <c r="O860" s="50"/>
      <c r="T860" s="43"/>
      <c r="U860" s="42"/>
      <c r="V860" s="42"/>
      <c r="W860" s="42"/>
      <c r="X860" s="42"/>
    </row>
    <row r="861" spans="15:24" x14ac:dyDescent="0.4">
      <c r="O861" s="50"/>
      <c r="T861" s="43"/>
      <c r="U861" s="42"/>
      <c r="V861" s="42"/>
      <c r="W861" s="42"/>
      <c r="X861" s="42"/>
    </row>
    <row r="862" spans="15:24" x14ac:dyDescent="0.4">
      <c r="O862" s="50"/>
      <c r="T862" s="43"/>
      <c r="U862" s="42"/>
      <c r="V862" s="42"/>
      <c r="W862" s="42"/>
      <c r="X862" s="42"/>
    </row>
    <row r="863" spans="15:24" x14ac:dyDescent="0.4">
      <c r="O863" s="50"/>
      <c r="T863" s="43"/>
      <c r="U863" s="42"/>
      <c r="V863" s="42"/>
      <c r="W863" s="42"/>
      <c r="X863" s="42"/>
    </row>
    <row r="864" spans="15:24" x14ac:dyDescent="0.4">
      <c r="O864" s="50"/>
      <c r="T864" s="43"/>
      <c r="U864" s="42"/>
      <c r="V864" s="42"/>
      <c r="W864" s="42"/>
      <c r="X864" s="42"/>
    </row>
    <row r="865" spans="4:24" x14ac:dyDescent="0.4">
      <c r="O865" s="50"/>
      <c r="T865" s="43"/>
      <c r="U865" s="42"/>
      <c r="V865" s="42"/>
      <c r="W865" s="42"/>
      <c r="X865" s="42"/>
    </row>
    <row r="866" spans="4:24" x14ac:dyDescent="0.4">
      <c r="O866" s="50"/>
      <c r="T866" s="43"/>
      <c r="U866" s="42"/>
      <c r="V866" s="42"/>
      <c r="W866" s="42"/>
      <c r="X866" s="42"/>
    </row>
    <row r="867" spans="4:24" x14ac:dyDescent="0.4">
      <c r="O867" s="50"/>
      <c r="T867" s="43"/>
      <c r="U867" s="42"/>
      <c r="V867" s="42"/>
      <c r="W867" s="42"/>
      <c r="X867" s="42"/>
    </row>
    <row r="868" spans="4:24" x14ac:dyDescent="0.4">
      <c r="O868" s="50"/>
      <c r="T868" s="43"/>
      <c r="U868" s="42"/>
      <c r="V868" s="42"/>
      <c r="W868" s="42"/>
      <c r="X868" s="42"/>
    </row>
    <row r="869" spans="4:24" x14ac:dyDescent="0.4">
      <c r="O869" s="50"/>
      <c r="T869" s="43"/>
      <c r="U869" s="42"/>
      <c r="V869" s="42"/>
      <c r="W869" s="42"/>
      <c r="X869" s="42"/>
    </row>
    <row r="870" spans="4:24" x14ac:dyDescent="0.4">
      <c r="O870" s="50"/>
      <c r="T870" s="43"/>
      <c r="U870" s="42"/>
      <c r="V870" s="42"/>
      <c r="W870" s="42"/>
      <c r="X870" s="42"/>
    </row>
    <row r="871" spans="4:24" x14ac:dyDescent="0.4">
      <c r="O871" s="50"/>
      <c r="T871" s="43"/>
      <c r="U871" s="42"/>
      <c r="V871" s="42"/>
      <c r="W871" s="42"/>
      <c r="X871" s="42"/>
    </row>
    <row r="872" spans="4:24" x14ac:dyDescent="0.4">
      <c r="T872" s="43"/>
      <c r="U872" s="42"/>
      <c r="V872" s="42"/>
      <c r="W872" s="42"/>
      <c r="X872" s="42"/>
    </row>
    <row r="873" spans="4:24" x14ac:dyDescent="0.4">
      <c r="O873" s="50"/>
      <c r="T873" s="43"/>
      <c r="U873" s="42"/>
      <c r="V873" s="42"/>
      <c r="W873" s="42"/>
      <c r="X873" s="42"/>
    </row>
    <row r="874" spans="4:24" x14ac:dyDescent="0.4">
      <c r="O874" s="50"/>
      <c r="T874" s="43"/>
      <c r="U874" s="42"/>
      <c r="V874" s="42"/>
      <c r="W874" s="42"/>
      <c r="X874" s="42"/>
    </row>
    <row r="875" spans="4:24" x14ac:dyDescent="0.4">
      <c r="O875" s="50"/>
      <c r="T875" s="43"/>
      <c r="U875" s="42"/>
      <c r="V875" s="42"/>
      <c r="W875" s="42"/>
      <c r="X875" s="42"/>
    </row>
    <row r="876" spans="4:24" x14ac:dyDescent="0.4">
      <c r="O876" s="50"/>
      <c r="T876" s="43"/>
      <c r="U876" s="42"/>
      <c r="V876" s="42"/>
      <c r="W876" s="42"/>
      <c r="X876" s="42"/>
    </row>
    <row r="877" spans="4:24" x14ac:dyDescent="0.4">
      <c r="O877" s="50"/>
      <c r="T877" s="43"/>
      <c r="U877" s="42"/>
      <c r="V877" s="42"/>
      <c r="W877" s="42"/>
      <c r="X877" s="42"/>
    </row>
    <row r="878" spans="4:24" x14ac:dyDescent="0.4">
      <c r="O878" s="50"/>
      <c r="T878" s="43"/>
      <c r="U878" s="42"/>
      <c r="V878" s="42"/>
      <c r="W878" s="42"/>
      <c r="X878" s="42"/>
    </row>
    <row r="879" spans="4:24" x14ac:dyDescent="0.4">
      <c r="D879" s="50"/>
      <c r="O879" s="50"/>
      <c r="T879" s="43"/>
      <c r="U879" s="42"/>
      <c r="V879" s="42"/>
      <c r="W879" s="42"/>
      <c r="X879" s="42"/>
    </row>
    <row r="880" spans="4:24" x14ac:dyDescent="0.4">
      <c r="O880" s="50"/>
      <c r="T880" s="43"/>
      <c r="U880" s="42"/>
      <c r="V880" s="42"/>
      <c r="W880" s="42"/>
      <c r="X880" s="42"/>
    </row>
    <row r="881" spans="4:24" x14ac:dyDescent="0.4">
      <c r="O881" s="50"/>
      <c r="T881" s="43"/>
      <c r="U881" s="42"/>
      <c r="V881" s="42"/>
      <c r="W881" s="42"/>
      <c r="X881" s="42"/>
    </row>
    <row r="882" spans="4:24" x14ac:dyDescent="0.4">
      <c r="O882" s="50"/>
      <c r="T882" s="43"/>
      <c r="U882" s="42"/>
      <c r="V882" s="42"/>
      <c r="W882" s="42"/>
      <c r="X882" s="42"/>
    </row>
    <row r="883" spans="4:24" x14ac:dyDescent="0.4">
      <c r="O883" s="50"/>
      <c r="T883" s="43"/>
      <c r="U883" s="42"/>
      <c r="V883" s="42"/>
      <c r="W883" s="42"/>
      <c r="X883" s="42"/>
    </row>
    <row r="884" spans="4:24" x14ac:dyDescent="0.4">
      <c r="O884" s="50"/>
      <c r="T884" s="43"/>
      <c r="U884" s="42"/>
      <c r="V884" s="42"/>
      <c r="W884" s="42"/>
      <c r="X884" s="42"/>
    </row>
    <row r="885" spans="4:24" x14ac:dyDescent="0.4">
      <c r="O885" s="50"/>
      <c r="T885" s="43"/>
      <c r="U885" s="42"/>
      <c r="V885" s="42"/>
      <c r="W885" s="42"/>
      <c r="X885" s="42"/>
    </row>
    <row r="886" spans="4:24" x14ac:dyDescent="0.4">
      <c r="O886" s="50"/>
      <c r="T886" s="43"/>
      <c r="U886" s="42"/>
      <c r="V886" s="42"/>
      <c r="W886" s="42"/>
      <c r="X886" s="42"/>
    </row>
    <row r="887" spans="4:24" x14ac:dyDescent="0.4">
      <c r="O887" s="50"/>
      <c r="T887" s="43"/>
      <c r="U887" s="42"/>
      <c r="V887" s="42"/>
      <c r="W887" s="42"/>
      <c r="X887" s="42"/>
    </row>
    <row r="888" spans="4:24" x14ac:dyDescent="0.4">
      <c r="O888" s="50"/>
      <c r="T888" s="43"/>
      <c r="U888" s="42"/>
      <c r="V888" s="42"/>
      <c r="W888" s="42"/>
      <c r="X888" s="42"/>
    </row>
    <row r="889" spans="4:24" x14ac:dyDescent="0.4">
      <c r="O889" s="50"/>
      <c r="T889" s="43"/>
      <c r="U889" s="42"/>
      <c r="V889" s="42"/>
      <c r="W889" s="42"/>
      <c r="X889" s="42"/>
    </row>
    <row r="890" spans="4:24" x14ac:dyDescent="0.4">
      <c r="D890" s="50"/>
      <c r="O890" s="50"/>
      <c r="T890" s="43"/>
      <c r="U890" s="42"/>
      <c r="V890" s="42"/>
      <c r="W890" s="42"/>
      <c r="X890" s="42"/>
    </row>
    <row r="891" spans="4:24" x14ac:dyDescent="0.4">
      <c r="O891" s="50"/>
      <c r="T891" s="43"/>
      <c r="U891" s="42"/>
      <c r="V891" s="42"/>
      <c r="W891" s="42"/>
      <c r="X891" s="42"/>
    </row>
    <row r="892" spans="4:24" x14ac:dyDescent="0.4">
      <c r="O892" s="50"/>
      <c r="T892" s="43"/>
      <c r="U892" s="42"/>
      <c r="V892" s="42"/>
      <c r="W892" s="42"/>
      <c r="X892" s="42"/>
    </row>
    <row r="893" spans="4:24" x14ac:dyDescent="0.4">
      <c r="O893" s="50"/>
      <c r="T893" s="43"/>
      <c r="U893" s="42"/>
      <c r="V893" s="42"/>
      <c r="W893" s="42"/>
      <c r="X893" s="42"/>
    </row>
    <row r="894" spans="4:24" x14ac:dyDescent="0.4">
      <c r="O894" s="50"/>
      <c r="T894" s="43"/>
      <c r="U894" s="42"/>
      <c r="V894" s="42"/>
      <c r="W894" s="42"/>
      <c r="X894" s="42"/>
    </row>
    <row r="895" spans="4:24" x14ac:dyDescent="0.4">
      <c r="O895" s="50"/>
      <c r="T895" s="43"/>
      <c r="U895" s="42"/>
      <c r="V895" s="42"/>
      <c r="W895" s="42"/>
      <c r="X895" s="42"/>
    </row>
    <row r="896" spans="4:24" x14ac:dyDescent="0.4">
      <c r="O896" s="50"/>
      <c r="T896" s="43"/>
      <c r="U896" s="42"/>
      <c r="V896" s="42"/>
      <c r="W896" s="42"/>
      <c r="X896" s="42"/>
    </row>
    <row r="897" spans="15:24" x14ac:dyDescent="0.4">
      <c r="O897" s="50"/>
      <c r="T897" s="43"/>
      <c r="U897" s="42"/>
      <c r="V897" s="42"/>
      <c r="W897" s="42"/>
      <c r="X897" s="42"/>
    </row>
    <row r="898" spans="15:24" x14ac:dyDescent="0.4">
      <c r="O898" s="50"/>
      <c r="T898" s="43"/>
      <c r="U898" s="42"/>
      <c r="V898" s="42"/>
      <c r="W898" s="42"/>
      <c r="X898" s="42"/>
    </row>
    <row r="899" spans="15:24" x14ac:dyDescent="0.4">
      <c r="O899" s="50"/>
      <c r="T899" s="43"/>
      <c r="U899" s="42"/>
      <c r="V899" s="42"/>
      <c r="W899" s="42"/>
      <c r="X899" s="42"/>
    </row>
    <row r="900" spans="15:24" x14ac:dyDescent="0.4">
      <c r="O900" s="50"/>
      <c r="T900" s="43"/>
      <c r="U900" s="42"/>
      <c r="V900" s="42"/>
      <c r="W900" s="42"/>
      <c r="X900" s="42"/>
    </row>
    <row r="901" spans="15:24" x14ac:dyDescent="0.4">
      <c r="O901" s="50"/>
      <c r="T901" s="43"/>
      <c r="U901" s="42"/>
      <c r="V901" s="42"/>
      <c r="W901" s="42"/>
      <c r="X901" s="42"/>
    </row>
    <row r="902" spans="15:24" x14ac:dyDescent="0.4">
      <c r="O902" s="50"/>
      <c r="T902" s="43"/>
      <c r="U902" s="42"/>
      <c r="V902" s="42"/>
      <c r="W902" s="42"/>
      <c r="X902" s="42"/>
    </row>
    <row r="903" spans="15:24" x14ac:dyDescent="0.4">
      <c r="O903" s="50"/>
      <c r="T903" s="43"/>
      <c r="U903" s="42"/>
      <c r="V903" s="42"/>
      <c r="W903" s="42"/>
      <c r="X903" s="42"/>
    </row>
    <row r="904" spans="15:24" x14ac:dyDescent="0.4">
      <c r="O904" s="50"/>
      <c r="T904" s="43"/>
      <c r="U904" s="42"/>
      <c r="V904" s="42"/>
      <c r="W904" s="42"/>
      <c r="X904" s="42"/>
    </row>
    <row r="905" spans="15:24" x14ac:dyDescent="0.4">
      <c r="O905" s="50"/>
      <c r="T905" s="43"/>
      <c r="U905" s="42"/>
      <c r="V905" s="42"/>
      <c r="W905" s="42"/>
      <c r="X905" s="42"/>
    </row>
    <row r="906" spans="15:24" x14ac:dyDescent="0.4">
      <c r="O906" s="50"/>
      <c r="T906" s="43"/>
      <c r="U906" s="42"/>
      <c r="V906" s="42"/>
      <c r="W906" s="42"/>
      <c r="X906" s="42"/>
    </row>
    <row r="907" spans="15:24" x14ac:dyDescent="0.4">
      <c r="O907" s="50"/>
      <c r="T907" s="43"/>
      <c r="U907" s="42"/>
      <c r="V907" s="42"/>
      <c r="W907" s="42"/>
      <c r="X907" s="42"/>
    </row>
    <row r="908" spans="15:24" x14ac:dyDescent="0.4">
      <c r="O908" s="50"/>
      <c r="T908" s="43"/>
      <c r="U908" s="42"/>
      <c r="V908" s="42"/>
      <c r="W908" s="42"/>
      <c r="X908" s="42"/>
    </row>
    <row r="909" spans="15:24" x14ac:dyDescent="0.4">
      <c r="O909" s="50"/>
      <c r="T909" s="43"/>
      <c r="U909" s="42"/>
      <c r="V909" s="42"/>
      <c r="W909" s="42"/>
      <c r="X909" s="42"/>
    </row>
    <row r="910" spans="15:24" x14ac:dyDescent="0.4">
      <c r="O910" s="50"/>
      <c r="T910" s="43"/>
      <c r="U910" s="42"/>
      <c r="V910" s="42"/>
      <c r="W910" s="42"/>
      <c r="X910" s="42"/>
    </row>
    <row r="911" spans="15:24" x14ac:dyDescent="0.4">
      <c r="O911" s="50"/>
      <c r="T911" s="43"/>
      <c r="U911" s="42"/>
      <c r="V911" s="42"/>
      <c r="W911" s="42"/>
      <c r="X911" s="42"/>
    </row>
    <row r="912" spans="15:24" x14ac:dyDescent="0.4">
      <c r="O912" s="50"/>
      <c r="T912" s="43"/>
      <c r="U912" s="42"/>
      <c r="V912" s="42"/>
      <c r="W912" s="42"/>
      <c r="X912" s="42"/>
    </row>
    <row r="913" spans="4:24" x14ac:dyDescent="0.4">
      <c r="O913" s="50"/>
      <c r="T913" s="43"/>
      <c r="U913" s="42"/>
      <c r="V913" s="42"/>
      <c r="W913" s="42"/>
      <c r="X913" s="42"/>
    </row>
    <row r="914" spans="4:24" x14ac:dyDescent="0.4">
      <c r="O914" s="50"/>
      <c r="T914" s="43"/>
      <c r="U914" s="42"/>
      <c r="V914" s="42"/>
      <c r="W914" s="42"/>
      <c r="X914" s="42"/>
    </row>
    <row r="915" spans="4:24" x14ac:dyDescent="0.4">
      <c r="D915" s="50"/>
      <c r="O915" s="50"/>
      <c r="T915" s="43"/>
      <c r="U915" s="42"/>
      <c r="V915" s="42"/>
      <c r="W915" s="42"/>
      <c r="X915" s="42"/>
    </row>
    <row r="916" spans="4:24" x14ac:dyDescent="0.4">
      <c r="D916" s="50"/>
      <c r="O916" s="50"/>
      <c r="T916" s="43"/>
      <c r="U916" s="42"/>
      <c r="V916" s="42"/>
      <c r="W916" s="42"/>
      <c r="X916" s="42"/>
    </row>
    <row r="917" spans="4:24" x14ac:dyDescent="0.4">
      <c r="D917" s="50"/>
      <c r="O917" s="50"/>
      <c r="T917" s="43"/>
      <c r="U917" s="42"/>
      <c r="V917" s="42"/>
      <c r="W917" s="42"/>
      <c r="X917" s="42"/>
    </row>
    <row r="918" spans="4:24" x14ac:dyDescent="0.4">
      <c r="D918" s="50"/>
      <c r="O918" s="50"/>
      <c r="T918" s="43"/>
      <c r="U918" s="42"/>
      <c r="V918" s="42"/>
      <c r="W918" s="42"/>
      <c r="X918" s="42"/>
    </row>
    <row r="919" spans="4:24" x14ac:dyDescent="0.4">
      <c r="D919" s="50"/>
      <c r="O919" s="50"/>
      <c r="T919" s="43"/>
      <c r="U919" s="42"/>
      <c r="V919" s="42"/>
      <c r="W919" s="42"/>
      <c r="X919" s="42"/>
    </row>
    <row r="920" spans="4:24" x14ac:dyDescent="0.4">
      <c r="D920" s="50"/>
      <c r="O920" s="50"/>
      <c r="T920" s="43"/>
      <c r="U920" s="42"/>
      <c r="V920" s="42"/>
      <c r="W920" s="42"/>
      <c r="X920" s="42"/>
    </row>
    <row r="921" spans="4:24" x14ac:dyDescent="0.4">
      <c r="T921" s="43"/>
      <c r="U921" s="42"/>
      <c r="V921" s="42"/>
      <c r="W921" s="42"/>
      <c r="X921" s="42"/>
    </row>
    <row r="922" spans="4:24" x14ac:dyDescent="0.4">
      <c r="T922" s="43"/>
      <c r="U922" s="42"/>
      <c r="V922" s="42"/>
      <c r="W922" s="42"/>
      <c r="X922" s="42"/>
    </row>
    <row r="923" spans="4:24" x14ac:dyDescent="0.4">
      <c r="T923" s="43"/>
      <c r="U923" s="42"/>
      <c r="V923" s="42"/>
      <c r="W923" s="42"/>
      <c r="X923" s="42"/>
    </row>
    <row r="924" spans="4:24" x14ac:dyDescent="0.4">
      <c r="T924" s="43"/>
      <c r="U924" s="42"/>
      <c r="V924" s="42"/>
      <c r="W924" s="42"/>
      <c r="X924" s="42"/>
    </row>
    <row r="925" spans="4:24" x14ac:dyDescent="0.4">
      <c r="O925" s="50"/>
      <c r="T925" s="43"/>
      <c r="U925" s="42"/>
      <c r="V925" s="42"/>
      <c r="W925" s="42"/>
      <c r="X925" s="42"/>
    </row>
    <row r="926" spans="4:24" x14ac:dyDescent="0.4">
      <c r="O926" s="50"/>
      <c r="T926" s="43"/>
      <c r="U926" s="42"/>
      <c r="V926" s="42"/>
      <c r="W926" s="42"/>
      <c r="X926" s="42"/>
    </row>
    <row r="927" spans="4:24" x14ac:dyDescent="0.4">
      <c r="O927" s="50"/>
      <c r="T927" s="43"/>
      <c r="U927" s="42"/>
      <c r="V927" s="42"/>
      <c r="W927" s="42"/>
      <c r="X927" s="42"/>
    </row>
    <row r="928" spans="4:24" x14ac:dyDescent="0.4">
      <c r="O928" s="50"/>
      <c r="T928" s="43"/>
      <c r="U928" s="42"/>
      <c r="V928" s="42"/>
      <c r="W928" s="42"/>
      <c r="X928" s="42"/>
    </row>
    <row r="929" spans="4:24" x14ac:dyDescent="0.4">
      <c r="O929" s="50"/>
      <c r="T929" s="43"/>
      <c r="U929" s="42"/>
      <c r="V929" s="42"/>
      <c r="W929" s="42"/>
      <c r="X929" s="42"/>
    </row>
    <row r="930" spans="4:24" x14ac:dyDescent="0.4">
      <c r="O930" s="50"/>
      <c r="T930" s="43"/>
      <c r="U930" s="42"/>
      <c r="V930" s="42"/>
      <c r="W930" s="42"/>
      <c r="X930" s="42"/>
    </row>
    <row r="931" spans="4:24" x14ac:dyDescent="0.4">
      <c r="O931" s="50"/>
      <c r="T931" s="43"/>
      <c r="U931" s="42"/>
      <c r="V931" s="42"/>
      <c r="W931" s="42"/>
      <c r="X931" s="42"/>
    </row>
    <row r="932" spans="4:24" x14ac:dyDescent="0.4">
      <c r="O932" s="50"/>
      <c r="T932" s="43"/>
      <c r="U932" s="42"/>
      <c r="V932" s="42"/>
      <c r="W932" s="42"/>
      <c r="X932" s="42"/>
    </row>
    <row r="933" spans="4:24" x14ac:dyDescent="0.4">
      <c r="O933" s="50"/>
      <c r="T933" s="43"/>
      <c r="U933" s="42"/>
      <c r="V933" s="42"/>
      <c r="W933" s="42"/>
      <c r="X933" s="42"/>
    </row>
    <row r="934" spans="4:24" x14ac:dyDescent="0.4">
      <c r="O934" s="50"/>
      <c r="T934" s="43"/>
      <c r="U934" s="42"/>
      <c r="V934" s="42"/>
      <c r="W934" s="42"/>
      <c r="X934" s="42"/>
    </row>
    <row r="935" spans="4:24" x14ac:dyDescent="0.4">
      <c r="O935" s="50"/>
      <c r="T935" s="43"/>
      <c r="U935" s="42"/>
      <c r="V935" s="42"/>
      <c r="W935" s="42"/>
      <c r="X935" s="42"/>
    </row>
    <row r="936" spans="4:24" x14ac:dyDescent="0.4">
      <c r="O936" s="50"/>
      <c r="T936" s="43"/>
      <c r="U936" s="42"/>
      <c r="V936" s="42"/>
      <c r="W936" s="42"/>
      <c r="X936" s="42"/>
    </row>
    <row r="937" spans="4:24" x14ac:dyDescent="0.4">
      <c r="O937" s="50"/>
      <c r="T937" s="43"/>
      <c r="U937" s="42"/>
      <c r="V937" s="42"/>
      <c r="W937" s="42"/>
      <c r="X937" s="42"/>
    </row>
    <row r="938" spans="4:24" x14ac:dyDescent="0.4">
      <c r="O938" s="50"/>
      <c r="T938" s="43"/>
      <c r="U938" s="42"/>
      <c r="V938" s="42"/>
      <c r="W938" s="42"/>
      <c r="X938" s="42"/>
    </row>
    <row r="939" spans="4:24" x14ac:dyDescent="0.4">
      <c r="O939" s="50"/>
      <c r="T939" s="43"/>
      <c r="U939" s="42"/>
      <c r="V939" s="42"/>
      <c r="W939" s="42"/>
      <c r="X939" s="42"/>
    </row>
    <row r="940" spans="4:24" x14ac:dyDescent="0.4">
      <c r="D940" s="50"/>
      <c r="O940" s="50"/>
      <c r="T940" s="43"/>
      <c r="U940" s="42"/>
      <c r="V940" s="42"/>
      <c r="W940" s="42"/>
      <c r="X940" s="42"/>
    </row>
    <row r="941" spans="4:24" x14ac:dyDescent="0.4">
      <c r="D941" s="50"/>
      <c r="O941" s="50"/>
      <c r="T941" s="43"/>
      <c r="U941" s="42"/>
      <c r="V941" s="42"/>
      <c r="W941" s="42"/>
      <c r="X941" s="42"/>
    </row>
    <row r="942" spans="4:24" x14ac:dyDescent="0.4">
      <c r="D942" s="50"/>
      <c r="O942" s="50"/>
      <c r="T942" s="43"/>
      <c r="U942" s="42"/>
      <c r="V942" s="42"/>
      <c r="W942" s="42"/>
      <c r="X942" s="42"/>
    </row>
    <row r="943" spans="4:24" x14ac:dyDescent="0.4">
      <c r="D943" s="50"/>
      <c r="O943" s="50"/>
      <c r="T943" s="43"/>
      <c r="U943" s="42"/>
      <c r="V943" s="42"/>
      <c r="W943" s="42"/>
      <c r="X943" s="42"/>
    </row>
    <row r="944" spans="4:24" x14ac:dyDescent="0.4">
      <c r="T944" s="43"/>
      <c r="U944" s="42"/>
      <c r="V944" s="42"/>
      <c r="W944" s="42"/>
      <c r="X944" s="42"/>
    </row>
    <row r="945" spans="15:24" x14ac:dyDescent="0.4">
      <c r="O945" s="50"/>
      <c r="T945" s="43"/>
      <c r="U945" s="42"/>
      <c r="V945" s="42"/>
      <c r="W945" s="42"/>
      <c r="X945" s="42"/>
    </row>
    <row r="946" spans="15:24" x14ac:dyDescent="0.4">
      <c r="O946" s="50"/>
      <c r="T946" s="43"/>
      <c r="U946" s="42"/>
      <c r="V946" s="42"/>
      <c r="W946" s="42"/>
      <c r="X946" s="42"/>
    </row>
    <row r="947" spans="15:24" x14ac:dyDescent="0.4">
      <c r="O947" s="50"/>
      <c r="T947" s="43"/>
      <c r="U947" s="42"/>
      <c r="V947" s="42"/>
      <c r="W947" s="42"/>
      <c r="X947" s="42"/>
    </row>
    <row r="948" spans="15:24" x14ac:dyDescent="0.4">
      <c r="O948" s="50"/>
      <c r="T948" s="43"/>
      <c r="U948" s="42"/>
      <c r="V948" s="42"/>
      <c r="W948" s="42"/>
      <c r="X948" s="42"/>
    </row>
    <row r="949" spans="15:24" x14ac:dyDescent="0.4">
      <c r="O949" s="50"/>
      <c r="T949" s="43"/>
      <c r="U949" s="42"/>
      <c r="V949" s="42"/>
      <c r="W949" s="42"/>
      <c r="X949" s="42"/>
    </row>
    <row r="950" spans="15:24" x14ac:dyDescent="0.4">
      <c r="O950" s="50"/>
      <c r="T950" s="43"/>
      <c r="U950" s="42"/>
      <c r="V950" s="42"/>
      <c r="W950" s="42"/>
      <c r="X950" s="42"/>
    </row>
    <row r="951" spans="15:24" x14ac:dyDescent="0.4">
      <c r="O951" s="50"/>
      <c r="T951" s="43"/>
      <c r="U951" s="42"/>
      <c r="V951" s="42"/>
      <c r="W951" s="42"/>
      <c r="X951" s="42"/>
    </row>
    <row r="952" spans="15:24" x14ac:dyDescent="0.4">
      <c r="O952" s="50"/>
      <c r="T952" s="43"/>
      <c r="U952" s="42"/>
      <c r="V952" s="42"/>
      <c r="W952" s="42"/>
      <c r="X952" s="42"/>
    </row>
    <row r="953" spans="15:24" x14ac:dyDescent="0.4">
      <c r="T953" s="43"/>
      <c r="U953" s="42"/>
      <c r="V953" s="42"/>
      <c r="W953" s="42"/>
      <c r="X953" s="42"/>
    </row>
    <row r="954" spans="15:24" x14ac:dyDescent="0.4">
      <c r="T954" s="43"/>
      <c r="U954" s="42"/>
      <c r="V954" s="42"/>
      <c r="W954" s="42"/>
      <c r="X954" s="42"/>
    </row>
    <row r="955" spans="15:24" x14ac:dyDescent="0.4">
      <c r="T955" s="43"/>
      <c r="U955" s="42"/>
      <c r="V955" s="42"/>
      <c r="W955" s="42"/>
      <c r="X955" s="42"/>
    </row>
    <row r="956" spans="15:24" x14ac:dyDescent="0.4">
      <c r="T956" s="43"/>
      <c r="U956" s="42"/>
      <c r="V956" s="42"/>
      <c r="W956" s="42"/>
      <c r="X956" s="42"/>
    </row>
    <row r="957" spans="15:24" x14ac:dyDescent="0.4">
      <c r="O957" s="50"/>
      <c r="T957" s="43"/>
      <c r="U957" s="42"/>
      <c r="V957" s="42"/>
      <c r="W957" s="42"/>
      <c r="X957" s="42"/>
    </row>
    <row r="958" spans="15:24" x14ac:dyDescent="0.4">
      <c r="T958" s="43"/>
      <c r="U958" s="42"/>
      <c r="V958" s="42"/>
      <c r="W958" s="42"/>
      <c r="X958" s="42"/>
    </row>
    <row r="959" spans="15:24" x14ac:dyDescent="0.4">
      <c r="O959" s="50"/>
      <c r="T959" s="43"/>
      <c r="U959" s="42"/>
      <c r="V959" s="42"/>
      <c r="W959" s="42"/>
      <c r="X959" s="42"/>
    </row>
    <row r="960" spans="15:24" x14ac:dyDescent="0.4">
      <c r="O960" s="50"/>
      <c r="T960" s="43"/>
      <c r="U960" s="42"/>
      <c r="V960" s="42"/>
      <c r="W960" s="42"/>
      <c r="X960" s="42"/>
    </row>
    <row r="961" spans="15:24" x14ac:dyDescent="0.4">
      <c r="T961" s="43"/>
      <c r="U961" s="42"/>
      <c r="V961" s="42"/>
      <c r="W961" s="42"/>
      <c r="X961" s="42"/>
    </row>
    <row r="962" spans="15:24" x14ac:dyDescent="0.4">
      <c r="O962" s="50"/>
      <c r="T962" s="43"/>
      <c r="U962" s="42"/>
      <c r="V962" s="42"/>
      <c r="W962" s="42"/>
      <c r="X962" s="42"/>
    </row>
    <row r="963" spans="15:24" x14ac:dyDescent="0.4">
      <c r="T963" s="43"/>
      <c r="U963" s="42"/>
      <c r="V963" s="42"/>
      <c r="W963" s="42"/>
      <c r="X963" s="42"/>
    </row>
    <row r="964" spans="15:24" x14ac:dyDescent="0.4">
      <c r="T964" s="43"/>
      <c r="U964" s="42"/>
      <c r="V964" s="42"/>
      <c r="W964" s="42"/>
      <c r="X964" s="42"/>
    </row>
    <row r="965" spans="15:24" x14ac:dyDescent="0.4">
      <c r="T965" s="43"/>
      <c r="U965" s="42"/>
      <c r="V965" s="42"/>
      <c r="W965" s="42"/>
      <c r="X965" s="42"/>
    </row>
    <row r="966" spans="15:24" x14ac:dyDescent="0.4">
      <c r="T966" s="43"/>
      <c r="U966" s="42"/>
      <c r="V966" s="42"/>
      <c r="W966" s="42"/>
      <c r="X966" s="42"/>
    </row>
    <row r="967" spans="15:24" x14ac:dyDescent="0.4">
      <c r="O967" s="50"/>
      <c r="T967" s="43"/>
      <c r="U967" s="42"/>
      <c r="V967" s="42"/>
      <c r="W967" s="42"/>
      <c r="X967" s="42"/>
    </row>
    <row r="968" spans="15:24" x14ac:dyDescent="0.4">
      <c r="O968" s="50"/>
      <c r="T968" s="43"/>
      <c r="U968" s="42"/>
      <c r="V968" s="42"/>
      <c r="W968" s="42"/>
      <c r="X968" s="42"/>
    </row>
    <row r="969" spans="15:24" x14ac:dyDescent="0.4">
      <c r="O969" s="50"/>
      <c r="T969" s="43"/>
      <c r="U969" s="42"/>
      <c r="V969" s="42"/>
      <c r="W969" s="42"/>
      <c r="X969" s="42"/>
    </row>
    <row r="970" spans="15:24" x14ac:dyDescent="0.4">
      <c r="O970" s="50"/>
      <c r="T970" s="43"/>
      <c r="U970" s="42"/>
      <c r="V970" s="42"/>
      <c r="W970" s="42"/>
      <c r="X970" s="42"/>
    </row>
    <row r="971" spans="15:24" x14ac:dyDescent="0.4">
      <c r="O971" s="50"/>
      <c r="T971" s="43"/>
      <c r="U971" s="42"/>
      <c r="V971" s="42"/>
      <c r="W971" s="42"/>
      <c r="X971" s="42"/>
    </row>
    <row r="972" spans="15:24" x14ac:dyDescent="0.4">
      <c r="O972" s="50"/>
      <c r="T972" s="43"/>
      <c r="U972" s="42"/>
      <c r="V972" s="42"/>
      <c r="W972" s="42"/>
      <c r="X972" s="42"/>
    </row>
    <row r="973" spans="15:24" x14ac:dyDescent="0.4">
      <c r="O973" s="50"/>
      <c r="T973" s="43"/>
      <c r="U973" s="42"/>
      <c r="V973" s="42"/>
      <c r="W973" s="42"/>
      <c r="X973" s="42"/>
    </row>
    <row r="974" spans="15:24" x14ac:dyDescent="0.4">
      <c r="O974" s="50"/>
      <c r="T974" s="43"/>
      <c r="U974" s="42"/>
      <c r="V974" s="42"/>
      <c r="W974" s="42"/>
      <c r="X974" s="42"/>
    </row>
    <row r="975" spans="15:24" x14ac:dyDescent="0.4">
      <c r="O975" s="50"/>
      <c r="T975" s="43"/>
      <c r="U975" s="42"/>
      <c r="V975" s="42"/>
      <c r="W975" s="42"/>
      <c r="X975" s="42"/>
    </row>
    <row r="976" spans="15:24" x14ac:dyDescent="0.4">
      <c r="O976" s="50"/>
      <c r="T976" s="43"/>
      <c r="U976" s="42"/>
      <c r="V976" s="42"/>
      <c r="W976" s="42"/>
      <c r="X976" s="42"/>
    </row>
    <row r="977" spans="15:24" x14ac:dyDescent="0.4">
      <c r="O977" s="50"/>
      <c r="T977" s="43"/>
      <c r="U977" s="42"/>
      <c r="V977" s="42"/>
      <c r="W977" s="42"/>
      <c r="X977" s="42"/>
    </row>
    <row r="978" spans="15:24" x14ac:dyDescent="0.4">
      <c r="O978" s="50"/>
      <c r="T978" s="43"/>
      <c r="U978" s="42"/>
      <c r="V978" s="42"/>
      <c r="W978" s="42"/>
      <c r="X978" s="42"/>
    </row>
    <row r="979" spans="15:24" x14ac:dyDescent="0.4">
      <c r="O979" s="50"/>
      <c r="T979" s="43"/>
      <c r="U979" s="42"/>
      <c r="V979" s="42"/>
      <c r="W979" s="42"/>
      <c r="X979" s="42"/>
    </row>
    <row r="980" spans="15:24" x14ac:dyDescent="0.4">
      <c r="O980" s="50"/>
      <c r="T980" s="43"/>
      <c r="U980" s="42"/>
      <c r="V980" s="42"/>
      <c r="W980" s="42"/>
      <c r="X980" s="42"/>
    </row>
    <row r="981" spans="15:24" x14ac:dyDescent="0.4">
      <c r="T981" s="43"/>
      <c r="U981" s="42"/>
      <c r="V981" s="42"/>
      <c r="W981" s="42"/>
      <c r="X981" s="42"/>
    </row>
    <row r="982" spans="15:24" x14ac:dyDescent="0.4">
      <c r="T982" s="43"/>
      <c r="U982" s="42"/>
      <c r="V982" s="42"/>
      <c r="W982" s="42"/>
      <c r="X982" s="42"/>
    </row>
    <row r="983" spans="15:24" x14ac:dyDescent="0.4">
      <c r="T983" s="43"/>
      <c r="U983" s="42"/>
      <c r="V983" s="42"/>
      <c r="W983" s="42"/>
      <c r="X983" s="42"/>
    </row>
    <row r="984" spans="15:24" x14ac:dyDescent="0.4">
      <c r="O984" s="50"/>
      <c r="T984" s="43"/>
      <c r="U984" s="42"/>
      <c r="V984" s="42"/>
      <c r="W984" s="42"/>
      <c r="X984" s="42"/>
    </row>
    <row r="985" spans="15:24" x14ac:dyDescent="0.4">
      <c r="O985" s="50"/>
      <c r="T985" s="43"/>
      <c r="U985" s="42"/>
      <c r="V985" s="42"/>
      <c r="W985" s="42"/>
      <c r="X985" s="42"/>
    </row>
    <row r="986" spans="15:24" x14ac:dyDescent="0.4">
      <c r="O986" s="50"/>
      <c r="T986" s="43"/>
      <c r="U986" s="42"/>
      <c r="V986" s="42"/>
      <c r="W986" s="42"/>
      <c r="X986" s="42"/>
    </row>
    <row r="987" spans="15:24" x14ac:dyDescent="0.4">
      <c r="O987" s="50"/>
      <c r="T987" s="43"/>
      <c r="U987" s="42"/>
      <c r="V987" s="42"/>
      <c r="W987" s="42"/>
      <c r="X987" s="42"/>
    </row>
    <row r="988" spans="15:24" x14ac:dyDescent="0.4">
      <c r="O988" s="50"/>
      <c r="T988" s="43"/>
      <c r="U988" s="42"/>
      <c r="V988" s="42"/>
      <c r="W988" s="42"/>
      <c r="X988" s="42"/>
    </row>
    <row r="989" spans="15:24" x14ac:dyDescent="0.4">
      <c r="T989" s="43"/>
      <c r="U989" s="42"/>
      <c r="V989" s="42"/>
      <c r="W989" s="42"/>
      <c r="X989" s="42"/>
    </row>
    <row r="990" spans="15:24" x14ac:dyDescent="0.4">
      <c r="T990" s="43"/>
      <c r="U990" s="42"/>
      <c r="V990" s="42"/>
      <c r="W990" s="42"/>
      <c r="X990" s="42"/>
    </row>
    <row r="991" spans="15:24" x14ac:dyDescent="0.4">
      <c r="O991" s="50"/>
      <c r="T991" s="43"/>
      <c r="U991" s="42"/>
      <c r="V991" s="42"/>
      <c r="W991" s="42"/>
      <c r="X991" s="42"/>
    </row>
    <row r="992" spans="15:24" x14ac:dyDescent="0.4">
      <c r="O992" s="50"/>
      <c r="T992" s="43"/>
      <c r="U992" s="42"/>
      <c r="V992" s="42"/>
      <c r="W992" s="42"/>
      <c r="X992" s="42"/>
    </row>
    <row r="993" spans="15:24" x14ac:dyDescent="0.4">
      <c r="O993" s="50"/>
      <c r="T993" s="43"/>
      <c r="U993" s="42"/>
      <c r="V993" s="42"/>
      <c r="W993" s="42"/>
      <c r="X993" s="42"/>
    </row>
    <row r="994" spans="15:24" x14ac:dyDescent="0.4">
      <c r="O994" s="50"/>
      <c r="T994" s="43"/>
      <c r="U994" s="42"/>
      <c r="V994" s="42"/>
      <c r="W994" s="42"/>
      <c r="X994" s="42"/>
    </row>
    <row r="995" spans="15:24" x14ac:dyDescent="0.4">
      <c r="O995" s="50"/>
      <c r="T995" s="43"/>
      <c r="U995" s="42"/>
      <c r="V995" s="42"/>
      <c r="W995" s="42"/>
      <c r="X995" s="42"/>
    </row>
    <row r="996" spans="15:24" x14ac:dyDescent="0.4">
      <c r="O996" s="50"/>
      <c r="T996" s="43"/>
      <c r="U996" s="42"/>
      <c r="V996" s="42"/>
      <c r="W996" s="42"/>
      <c r="X996" s="42"/>
    </row>
    <row r="997" spans="15:24" x14ac:dyDescent="0.4">
      <c r="O997" s="50"/>
      <c r="T997" s="43"/>
      <c r="U997" s="42"/>
      <c r="V997" s="42"/>
      <c r="W997" s="42"/>
      <c r="X997" s="42"/>
    </row>
    <row r="998" spans="15:24" x14ac:dyDescent="0.4">
      <c r="O998" s="50"/>
      <c r="T998" s="43"/>
      <c r="U998" s="42"/>
      <c r="V998" s="42"/>
      <c r="W998" s="42"/>
      <c r="X998" s="42"/>
    </row>
    <row r="999" spans="15:24" x14ac:dyDescent="0.4">
      <c r="O999" s="50"/>
      <c r="T999" s="43"/>
      <c r="U999" s="42"/>
      <c r="V999" s="42"/>
      <c r="W999" s="42"/>
      <c r="X999" s="42"/>
    </row>
    <row r="1000" spans="15:24" x14ac:dyDescent="0.4">
      <c r="O1000" s="50"/>
      <c r="T1000" s="43"/>
      <c r="U1000" s="42"/>
      <c r="V1000" s="42"/>
      <c r="W1000" s="42"/>
      <c r="X1000" s="42"/>
    </row>
    <row r="1001" spans="15:24" x14ac:dyDescent="0.4">
      <c r="T1001" s="43"/>
      <c r="U1001" s="42"/>
      <c r="V1001" s="42"/>
      <c r="W1001" s="42"/>
      <c r="X1001" s="42"/>
    </row>
    <row r="1002" spans="15:24" x14ac:dyDescent="0.4">
      <c r="T1002" s="43"/>
      <c r="U1002" s="42"/>
      <c r="V1002" s="42"/>
      <c r="W1002" s="42"/>
      <c r="X1002" s="42"/>
    </row>
    <row r="1003" spans="15:24" x14ac:dyDescent="0.4">
      <c r="T1003" s="43"/>
      <c r="U1003" s="42"/>
      <c r="V1003" s="42"/>
      <c r="W1003" s="42"/>
      <c r="X1003" s="42"/>
    </row>
    <row r="1004" spans="15:24" x14ac:dyDescent="0.4">
      <c r="T1004" s="43"/>
      <c r="U1004" s="42"/>
      <c r="V1004" s="42"/>
      <c r="W1004" s="42"/>
      <c r="X1004" s="42"/>
    </row>
    <row r="1005" spans="15:24" x14ac:dyDescent="0.4">
      <c r="T1005" s="43"/>
      <c r="U1005" s="42"/>
      <c r="V1005" s="42"/>
      <c r="W1005" s="42"/>
      <c r="X1005" s="42"/>
    </row>
    <row r="1006" spans="15:24" x14ac:dyDescent="0.4">
      <c r="T1006" s="43"/>
      <c r="U1006" s="42"/>
      <c r="V1006" s="42"/>
      <c r="W1006" s="42"/>
      <c r="X1006" s="42"/>
    </row>
    <row r="1007" spans="15:24" x14ac:dyDescent="0.4">
      <c r="T1007" s="43"/>
      <c r="U1007" s="42"/>
      <c r="V1007" s="42"/>
      <c r="W1007" s="42"/>
      <c r="X1007" s="42"/>
    </row>
    <row r="1008" spans="15:24" x14ac:dyDescent="0.4">
      <c r="O1008" s="50"/>
      <c r="T1008" s="43"/>
      <c r="U1008" s="42"/>
      <c r="V1008" s="42"/>
      <c r="W1008" s="42"/>
      <c r="X1008" s="42"/>
    </row>
    <row r="1009" spans="15:24" x14ac:dyDescent="0.4">
      <c r="O1009" s="50"/>
      <c r="T1009" s="43"/>
      <c r="U1009" s="42"/>
      <c r="V1009" s="42"/>
      <c r="W1009" s="42"/>
      <c r="X1009" s="42"/>
    </row>
    <row r="1010" spans="15:24" x14ac:dyDescent="0.4">
      <c r="T1010" s="43"/>
      <c r="U1010" s="42"/>
      <c r="V1010" s="42"/>
      <c r="W1010" s="42"/>
      <c r="X1010" s="42"/>
    </row>
    <row r="1011" spans="15:24" x14ac:dyDescent="0.4">
      <c r="T1011" s="43"/>
      <c r="U1011" s="42"/>
      <c r="V1011" s="42"/>
      <c r="W1011" s="42"/>
      <c r="X1011" s="42"/>
    </row>
    <row r="1012" spans="15:24" x14ac:dyDescent="0.4">
      <c r="T1012" s="43"/>
      <c r="U1012" s="42"/>
      <c r="V1012" s="42"/>
      <c r="W1012" s="42"/>
      <c r="X1012" s="42"/>
    </row>
    <row r="1013" spans="15:24" x14ac:dyDescent="0.4">
      <c r="T1013" s="43"/>
      <c r="U1013" s="42"/>
      <c r="V1013" s="42"/>
      <c r="W1013" s="42"/>
      <c r="X1013" s="42"/>
    </row>
    <row r="1014" spans="15:24" x14ac:dyDescent="0.4">
      <c r="T1014" s="43"/>
      <c r="U1014" s="42"/>
      <c r="V1014" s="42"/>
      <c r="W1014" s="42"/>
      <c r="X1014" s="42"/>
    </row>
    <row r="1015" spans="15:24" x14ac:dyDescent="0.4">
      <c r="T1015" s="43"/>
      <c r="U1015" s="42"/>
      <c r="V1015" s="42"/>
      <c r="W1015" s="42"/>
      <c r="X1015" s="42"/>
    </row>
    <row r="1016" spans="15:24" x14ac:dyDescent="0.4">
      <c r="T1016" s="43"/>
      <c r="U1016" s="42"/>
      <c r="V1016" s="42"/>
      <c r="W1016" s="42"/>
      <c r="X1016" s="42"/>
    </row>
    <row r="1017" spans="15:24" x14ac:dyDescent="0.4">
      <c r="T1017" s="43"/>
      <c r="U1017" s="42"/>
      <c r="V1017" s="42"/>
      <c r="W1017" s="42"/>
      <c r="X1017" s="42"/>
    </row>
    <row r="1018" spans="15:24" x14ac:dyDescent="0.4">
      <c r="T1018" s="43"/>
      <c r="U1018" s="42"/>
      <c r="V1018" s="42"/>
      <c r="W1018" s="42"/>
      <c r="X1018" s="42"/>
    </row>
    <row r="1019" spans="15:24" x14ac:dyDescent="0.4">
      <c r="T1019" s="43"/>
      <c r="U1019" s="42"/>
      <c r="V1019" s="42"/>
      <c r="W1019" s="42"/>
      <c r="X1019" s="42"/>
    </row>
    <row r="1020" spans="15:24" x14ac:dyDescent="0.4">
      <c r="T1020" s="43"/>
      <c r="U1020" s="42"/>
      <c r="V1020" s="42"/>
      <c r="W1020" s="42"/>
      <c r="X1020" s="42"/>
    </row>
    <row r="1021" spans="15:24" x14ac:dyDescent="0.4">
      <c r="T1021" s="43"/>
      <c r="U1021" s="42"/>
      <c r="V1021" s="42"/>
      <c r="W1021" s="42"/>
      <c r="X1021" s="42"/>
    </row>
    <row r="1022" spans="15:24" x14ac:dyDescent="0.4">
      <c r="T1022" s="43"/>
      <c r="U1022" s="42"/>
      <c r="V1022" s="42"/>
      <c r="W1022" s="42"/>
      <c r="X1022" s="42"/>
    </row>
    <row r="1023" spans="15:24" x14ac:dyDescent="0.4">
      <c r="T1023" s="43"/>
      <c r="U1023" s="42"/>
      <c r="V1023" s="42"/>
      <c r="W1023" s="42"/>
      <c r="X1023" s="42"/>
    </row>
    <row r="1024" spans="15:24" x14ac:dyDescent="0.4">
      <c r="T1024" s="43"/>
      <c r="U1024" s="42"/>
      <c r="V1024" s="42"/>
      <c r="W1024" s="42"/>
      <c r="X1024" s="42"/>
    </row>
    <row r="1025" spans="20:24" x14ac:dyDescent="0.4">
      <c r="T1025" s="43"/>
      <c r="U1025" s="42"/>
      <c r="V1025" s="42"/>
      <c r="W1025" s="42"/>
      <c r="X1025" s="42"/>
    </row>
    <row r="1026" spans="20:24" x14ac:dyDescent="0.4">
      <c r="T1026" s="43"/>
      <c r="U1026" s="42"/>
      <c r="V1026" s="42"/>
      <c r="W1026" s="42"/>
      <c r="X1026" s="42"/>
    </row>
    <row r="1027" spans="20:24" x14ac:dyDescent="0.4">
      <c r="T1027" s="43"/>
      <c r="U1027" s="42"/>
      <c r="V1027" s="42"/>
      <c r="W1027" s="42"/>
      <c r="X1027" s="42"/>
    </row>
    <row r="1028" spans="20:24" x14ac:dyDescent="0.4">
      <c r="T1028" s="43"/>
      <c r="U1028" s="42"/>
      <c r="V1028" s="42"/>
      <c r="W1028" s="42"/>
      <c r="X1028" s="42"/>
    </row>
    <row r="1029" spans="20:24" x14ac:dyDescent="0.4">
      <c r="T1029" s="43"/>
      <c r="U1029" s="42"/>
      <c r="V1029" s="42"/>
      <c r="W1029" s="42"/>
      <c r="X1029" s="42"/>
    </row>
    <row r="1030" spans="20:24" x14ac:dyDescent="0.4">
      <c r="T1030" s="43"/>
      <c r="U1030" s="42"/>
      <c r="V1030" s="42"/>
      <c r="W1030" s="42"/>
      <c r="X1030" s="42"/>
    </row>
    <row r="1031" spans="20:24" x14ac:dyDescent="0.4">
      <c r="T1031" s="43"/>
      <c r="U1031" s="42"/>
      <c r="V1031" s="42"/>
      <c r="W1031" s="42"/>
      <c r="X1031" s="42"/>
    </row>
    <row r="1032" spans="20:24" x14ac:dyDescent="0.4">
      <c r="T1032" s="43"/>
      <c r="U1032" s="42"/>
      <c r="V1032" s="42"/>
      <c r="W1032" s="42"/>
      <c r="X1032" s="42"/>
    </row>
    <row r="1033" spans="20:24" x14ac:dyDescent="0.4">
      <c r="T1033" s="43"/>
      <c r="U1033" s="42"/>
      <c r="V1033" s="42"/>
      <c r="W1033" s="42"/>
      <c r="X1033" s="42"/>
    </row>
    <row r="1034" spans="20:24" x14ac:dyDescent="0.4">
      <c r="T1034" s="43"/>
      <c r="U1034" s="42"/>
      <c r="V1034" s="42"/>
      <c r="W1034" s="42"/>
      <c r="X1034" s="42"/>
    </row>
    <row r="1035" spans="20:24" x14ac:dyDescent="0.4">
      <c r="T1035" s="43"/>
      <c r="U1035" s="42"/>
      <c r="V1035" s="42"/>
      <c r="W1035" s="42"/>
      <c r="X1035" s="42"/>
    </row>
    <row r="1036" spans="20:24" x14ac:dyDescent="0.4">
      <c r="T1036" s="43"/>
      <c r="U1036" s="42"/>
      <c r="V1036" s="42"/>
      <c r="W1036" s="42"/>
      <c r="X1036" s="42"/>
    </row>
    <row r="1037" spans="20:24" x14ac:dyDescent="0.4">
      <c r="T1037" s="43"/>
      <c r="U1037" s="42"/>
      <c r="V1037" s="42"/>
      <c r="W1037" s="42"/>
      <c r="X1037" s="42"/>
    </row>
    <row r="1038" spans="20:24" x14ac:dyDescent="0.4">
      <c r="T1038" s="43"/>
      <c r="U1038" s="42"/>
      <c r="V1038" s="42"/>
      <c r="W1038" s="42"/>
      <c r="X1038" s="42"/>
    </row>
    <row r="1039" spans="20:24" x14ac:dyDescent="0.4">
      <c r="T1039" s="43"/>
      <c r="U1039" s="42"/>
      <c r="V1039" s="42"/>
      <c r="W1039" s="42"/>
      <c r="X1039" s="42"/>
    </row>
    <row r="1040" spans="20:24" x14ac:dyDescent="0.4">
      <c r="T1040" s="43"/>
      <c r="U1040" s="42"/>
      <c r="V1040" s="42"/>
      <c r="W1040" s="42"/>
      <c r="X1040" s="42"/>
    </row>
    <row r="1041" spans="15:24" x14ac:dyDescent="0.4">
      <c r="T1041" s="43"/>
      <c r="U1041" s="42"/>
      <c r="V1041" s="42"/>
      <c r="W1041" s="42"/>
      <c r="X1041" s="42"/>
    </row>
    <row r="1042" spans="15:24" x14ac:dyDescent="0.4">
      <c r="O1042" s="50"/>
      <c r="T1042" s="43"/>
      <c r="U1042" s="42"/>
      <c r="V1042" s="42"/>
      <c r="W1042" s="42"/>
      <c r="X1042" s="42"/>
    </row>
    <row r="1043" spans="15:24" x14ac:dyDescent="0.4">
      <c r="T1043" s="43"/>
      <c r="U1043" s="42"/>
      <c r="V1043" s="42"/>
      <c r="W1043" s="42"/>
      <c r="X1043" s="42"/>
    </row>
    <row r="1044" spans="15:24" x14ac:dyDescent="0.4">
      <c r="T1044" s="43"/>
      <c r="U1044" s="42"/>
      <c r="V1044" s="42"/>
      <c r="W1044" s="42"/>
      <c r="X1044" s="42"/>
    </row>
    <row r="1045" spans="15:24" x14ac:dyDescent="0.4">
      <c r="T1045" s="43"/>
      <c r="U1045" s="42"/>
      <c r="V1045" s="42"/>
      <c r="W1045" s="42"/>
      <c r="X1045" s="42"/>
    </row>
    <row r="1046" spans="15:24" x14ac:dyDescent="0.4">
      <c r="T1046" s="43"/>
      <c r="U1046" s="42"/>
      <c r="V1046" s="42"/>
      <c r="W1046" s="42"/>
      <c r="X1046" s="42"/>
    </row>
    <row r="1047" spans="15:24" x14ac:dyDescent="0.4">
      <c r="T1047" s="43"/>
      <c r="U1047" s="42"/>
      <c r="V1047" s="42"/>
      <c r="W1047" s="42"/>
      <c r="X1047" s="42"/>
    </row>
    <row r="1048" spans="15:24" x14ac:dyDescent="0.4">
      <c r="T1048" s="43"/>
      <c r="U1048" s="42"/>
      <c r="V1048" s="42"/>
      <c r="W1048" s="42"/>
      <c r="X1048" s="42"/>
    </row>
    <row r="1049" spans="15:24" x14ac:dyDescent="0.4">
      <c r="T1049" s="43"/>
      <c r="U1049" s="42"/>
      <c r="V1049" s="42"/>
      <c r="W1049" s="42"/>
      <c r="X1049" s="42"/>
    </row>
    <row r="1050" spans="15:24" x14ac:dyDescent="0.4">
      <c r="O1050" s="50"/>
      <c r="T1050" s="43"/>
      <c r="U1050" s="42"/>
      <c r="V1050" s="42"/>
      <c r="W1050" s="42"/>
      <c r="X1050" s="42"/>
    </row>
    <row r="1051" spans="15:24" x14ac:dyDescent="0.4">
      <c r="O1051" s="50"/>
      <c r="T1051" s="43"/>
      <c r="U1051" s="42"/>
      <c r="V1051" s="42"/>
      <c r="W1051" s="42"/>
      <c r="X1051" s="42"/>
    </row>
    <row r="1052" spans="15:24" x14ac:dyDescent="0.4">
      <c r="T1052" s="43"/>
      <c r="U1052" s="42"/>
      <c r="V1052" s="42"/>
      <c r="W1052" s="42"/>
      <c r="X1052" s="42"/>
    </row>
    <row r="1053" spans="15:24" x14ac:dyDescent="0.4">
      <c r="T1053" s="43"/>
      <c r="U1053" s="42"/>
      <c r="V1053" s="42"/>
      <c r="W1053" s="42"/>
      <c r="X1053" s="42"/>
    </row>
    <row r="1054" spans="15:24" x14ac:dyDescent="0.4">
      <c r="T1054" s="43"/>
      <c r="U1054" s="42"/>
      <c r="V1054" s="42"/>
      <c r="W1054" s="42"/>
      <c r="X1054" s="42"/>
    </row>
    <row r="1055" spans="15:24" x14ac:dyDescent="0.4">
      <c r="T1055" s="43"/>
      <c r="U1055" s="42"/>
      <c r="V1055" s="42"/>
      <c r="W1055" s="42"/>
      <c r="X1055" s="42"/>
    </row>
    <row r="1056" spans="15:24" x14ac:dyDescent="0.4">
      <c r="T1056" s="43"/>
      <c r="U1056" s="42"/>
      <c r="V1056" s="42"/>
      <c r="W1056" s="42"/>
      <c r="X1056" s="42"/>
    </row>
    <row r="1057" spans="15:24" x14ac:dyDescent="0.4">
      <c r="T1057" s="43"/>
      <c r="U1057" s="42"/>
      <c r="V1057" s="42"/>
      <c r="W1057" s="42"/>
      <c r="X1057" s="42"/>
    </row>
    <row r="1058" spans="15:24" x14ac:dyDescent="0.4">
      <c r="T1058" s="43"/>
      <c r="U1058" s="42"/>
      <c r="V1058" s="42"/>
      <c r="W1058" s="42"/>
      <c r="X1058" s="42"/>
    </row>
    <row r="1059" spans="15:24" x14ac:dyDescent="0.4">
      <c r="T1059" s="43"/>
      <c r="U1059" s="42"/>
      <c r="V1059" s="42"/>
      <c r="W1059" s="42"/>
      <c r="X1059" s="42"/>
    </row>
    <row r="1060" spans="15:24" x14ac:dyDescent="0.4">
      <c r="T1060" s="43"/>
      <c r="U1060" s="42"/>
      <c r="V1060" s="42"/>
      <c r="W1060" s="42"/>
      <c r="X1060" s="42"/>
    </row>
    <row r="1061" spans="15:24" x14ac:dyDescent="0.4">
      <c r="T1061" s="43"/>
      <c r="U1061" s="42"/>
      <c r="V1061" s="42"/>
      <c r="W1061" s="42"/>
      <c r="X1061" s="42"/>
    </row>
    <row r="1062" spans="15:24" x14ac:dyDescent="0.4">
      <c r="O1062" s="50"/>
      <c r="T1062" s="43"/>
      <c r="U1062" s="42"/>
      <c r="V1062" s="42"/>
      <c r="W1062" s="42"/>
      <c r="X1062" s="42"/>
    </row>
    <row r="1063" spans="15:24" x14ac:dyDescent="0.4">
      <c r="T1063" s="43"/>
      <c r="U1063" s="42"/>
      <c r="V1063" s="42"/>
      <c r="W1063" s="42"/>
      <c r="X1063" s="42"/>
    </row>
    <row r="1064" spans="15:24" x14ac:dyDescent="0.4">
      <c r="T1064" s="43"/>
      <c r="U1064" s="42"/>
      <c r="V1064" s="42"/>
      <c r="W1064" s="42"/>
      <c r="X1064" s="42"/>
    </row>
    <row r="1065" spans="15:24" x14ac:dyDescent="0.4">
      <c r="T1065" s="43"/>
      <c r="U1065" s="42"/>
      <c r="V1065" s="42"/>
      <c r="W1065" s="42"/>
      <c r="X1065" s="42"/>
    </row>
    <row r="1066" spans="15:24" x14ac:dyDescent="0.4">
      <c r="T1066" s="43"/>
      <c r="U1066" s="42"/>
      <c r="V1066" s="42"/>
      <c r="W1066" s="42"/>
      <c r="X1066" s="42"/>
    </row>
    <row r="1067" spans="15:24" x14ac:dyDescent="0.4">
      <c r="T1067" s="43"/>
      <c r="U1067" s="42"/>
      <c r="V1067" s="42"/>
      <c r="W1067" s="42"/>
      <c r="X1067" s="42"/>
    </row>
    <row r="1068" spans="15:24" x14ac:dyDescent="0.4">
      <c r="T1068" s="43"/>
      <c r="U1068" s="42"/>
      <c r="V1068" s="42"/>
      <c r="W1068" s="42"/>
      <c r="X1068" s="42"/>
    </row>
    <row r="1069" spans="15:24" x14ac:dyDescent="0.4">
      <c r="T1069" s="43"/>
      <c r="U1069" s="42"/>
      <c r="V1069" s="42"/>
      <c r="W1069" s="42"/>
      <c r="X1069" s="42"/>
    </row>
    <row r="1070" spans="15:24" x14ac:dyDescent="0.4">
      <c r="T1070" s="43"/>
      <c r="U1070" s="42"/>
      <c r="V1070" s="42"/>
      <c r="W1070" s="42"/>
      <c r="X1070" s="42"/>
    </row>
    <row r="1071" spans="15:24" x14ac:dyDescent="0.4">
      <c r="T1071" s="43"/>
      <c r="U1071" s="42"/>
      <c r="V1071" s="42"/>
      <c r="W1071" s="42"/>
      <c r="X1071" s="42"/>
    </row>
    <row r="1072" spans="15:24" x14ac:dyDescent="0.4">
      <c r="T1072" s="43"/>
      <c r="U1072" s="42"/>
      <c r="V1072" s="42"/>
      <c r="W1072" s="42"/>
      <c r="X1072" s="42"/>
    </row>
    <row r="1073" spans="15:24" x14ac:dyDescent="0.4">
      <c r="O1073" s="50"/>
      <c r="T1073" s="43"/>
      <c r="U1073" s="42"/>
      <c r="V1073" s="42"/>
      <c r="W1073" s="42"/>
      <c r="X1073" s="42"/>
    </row>
    <row r="1074" spans="15:24" x14ac:dyDescent="0.4">
      <c r="O1074" s="50"/>
      <c r="T1074" s="43"/>
      <c r="U1074" s="42"/>
      <c r="V1074" s="42"/>
      <c r="W1074" s="42"/>
      <c r="X1074" s="42"/>
    </row>
    <row r="1075" spans="15:24" x14ac:dyDescent="0.4">
      <c r="T1075" s="43"/>
      <c r="U1075" s="42"/>
      <c r="V1075" s="42"/>
      <c r="W1075" s="42"/>
      <c r="X1075" s="42"/>
    </row>
    <row r="1076" spans="15:24" x14ac:dyDescent="0.4">
      <c r="T1076" s="43"/>
      <c r="U1076" s="42"/>
      <c r="V1076" s="42"/>
      <c r="W1076" s="42"/>
      <c r="X1076" s="42"/>
    </row>
    <row r="1077" spans="15:24" x14ac:dyDescent="0.4">
      <c r="O1077" s="50"/>
      <c r="T1077" s="43"/>
      <c r="U1077" s="42"/>
      <c r="V1077" s="42"/>
      <c r="W1077" s="42"/>
      <c r="X1077" s="42"/>
    </row>
    <row r="1078" spans="15:24" x14ac:dyDescent="0.4">
      <c r="O1078" s="50"/>
      <c r="T1078" s="43"/>
      <c r="U1078" s="42"/>
      <c r="V1078" s="42"/>
      <c r="W1078" s="42"/>
      <c r="X1078" s="42"/>
    </row>
    <row r="1079" spans="15:24" x14ac:dyDescent="0.4">
      <c r="O1079" s="50"/>
      <c r="T1079" s="43"/>
      <c r="U1079" s="42"/>
      <c r="V1079" s="42"/>
      <c r="W1079" s="42"/>
      <c r="X1079" s="42"/>
    </row>
    <row r="1080" spans="15:24" x14ac:dyDescent="0.4">
      <c r="O1080" s="50"/>
      <c r="T1080" s="43"/>
      <c r="U1080" s="42"/>
      <c r="V1080" s="42"/>
      <c r="W1080" s="42"/>
      <c r="X1080" s="42"/>
    </row>
    <row r="1081" spans="15:24" x14ac:dyDescent="0.4">
      <c r="T1081" s="43"/>
      <c r="U1081" s="42"/>
      <c r="V1081" s="42"/>
      <c r="W1081" s="42"/>
      <c r="X1081" s="42"/>
    </row>
    <row r="1082" spans="15:24" x14ac:dyDescent="0.4">
      <c r="T1082" s="43"/>
      <c r="U1082" s="42"/>
      <c r="V1082" s="42"/>
      <c r="W1082" s="42"/>
      <c r="X1082" s="42"/>
    </row>
    <row r="1083" spans="15:24" x14ac:dyDescent="0.4">
      <c r="T1083" s="43"/>
      <c r="U1083" s="42"/>
      <c r="V1083" s="42"/>
      <c r="W1083" s="42"/>
      <c r="X1083" s="42"/>
    </row>
    <row r="1084" spans="15:24" x14ac:dyDescent="0.4">
      <c r="T1084" s="43"/>
      <c r="U1084" s="42"/>
      <c r="V1084" s="42"/>
      <c r="W1084" s="42"/>
      <c r="X1084" s="42"/>
    </row>
  </sheetData>
  <autoFilter ref="A1:X1066" xr:uid="{B97404DB-8B78-48A9-9909-F04369C18D94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3F32-1BD8-448E-8B12-F8B5E086BA1F}">
  <dimension ref="A1:B13"/>
  <sheetViews>
    <sheetView showGridLines="0" workbookViewId="0"/>
  </sheetViews>
  <sheetFormatPr defaultRowHeight="13.15" x14ac:dyDescent="0.4"/>
  <cols>
    <col min="1" max="1" width="36" style="1" customWidth="1"/>
    <col min="2" max="2" width="22" style="1" customWidth="1"/>
    <col min="3" max="6" width="16" style="1" customWidth="1"/>
    <col min="7" max="16384" width="9.06640625" style="1"/>
  </cols>
  <sheetData>
    <row r="1" spans="1:2" x14ac:dyDescent="0.4">
      <c r="A1" s="90" t="s">
        <v>216</v>
      </c>
      <c r="B1" s="56"/>
    </row>
    <row r="3" spans="1:2" x14ac:dyDescent="0.4">
      <c r="A3" s="80" t="s">
        <v>215</v>
      </c>
      <c r="B3" s="89" t="s">
        <v>214</v>
      </c>
    </row>
    <row r="4" spans="1:2" x14ac:dyDescent="0.4">
      <c r="A4" s="80" t="s">
        <v>213</v>
      </c>
      <c r="B4" s="89">
        <v>7497</v>
      </c>
    </row>
    <row r="5" spans="1:2" x14ac:dyDescent="0.4">
      <c r="A5" s="80" t="s">
        <v>212</v>
      </c>
      <c r="B5" s="89">
        <v>11</v>
      </c>
    </row>
    <row r="6" spans="1:2" x14ac:dyDescent="0.4">
      <c r="A6" s="80" t="s">
        <v>211</v>
      </c>
      <c r="B6" s="89">
        <v>0.25</v>
      </c>
    </row>
    <row r="7" spans="1:2" x14ac:dyDescent="0.4">
      <c r="A7" s="80" t="s">
        <v>210</v>
      </c>
      <c r="B7" s="89" t="s">
        <v>209</v>
      </c>
    </row>
    <row r="8" spans="1:2" x14ac:dyDescent="0.4">
      <c r="A8" s="80" t="s">
        <v>208</v>
      </c>
      <c r="B8" s="89">
        <v>3</v>
      </c>
    </row>
    <row r="10" spans="1:2" x14ac:dyDescent="0.4">
      <c r="A10" s="1" t="s">
        <v>207</v>
      </c>
    </row>
    <row r="11" spans="1:2" x14ac:dyDescent="0.4">
      <c r="A11" s="1" t="s">
        <v>206</v>
      </c>
    </row>
    <row r="12" spans="1:2" x14ac:dyDescent="0.4">
      <c r="A12" s="1" t="s">
        <v>205</v>
      </c>
    </row>
    <row r="13" spans="1:2" x14ac:dyDescent="0.4">
      <c r="A13" s="1" t="s">
        <v>204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3BD8-F674-453E-9653-9D885B9DE5ED}">
  <dimension ref="A1:M78"/>
  <sheetViews>
    <sheetView showGridLines="0" workbookViewId="0">
      <selection activeCell="B20" sqref="B20"/>
    </sheetView>
  </sheetViews>
  <sheetFormatPr defaultRowHeight="13.15" x14ac:dyDescent="0.4"/>
  <cols>
    <col min="1" max="1" width="10" style="1" customWidth="1"/>
    <col min="2" max="2" width="18" style="1" customWidth="1"/>
    <col min="3" max="3" width="10" style="1" customWidth="1"/>
    <col min="4" max="4" width="12.59765625" style="1" bestFit="1" customWidth="1"/>
    <col min="5" max="5" width="12" style="1" customWidth="1"/>
    <col min="6" max="6" width="10" style="1" customWidth="1"/>
    <col min="7" max="7" width="24" style="1" customWidth="1"/>
    <col min="8" max="8" width="10" style="1" customWidth="1"/>
    <col min="9" max="9" width="8" style="1" customWidth="1"/>
    <col min="10" max="10" width="12" style="1" customWidth="1"/>
    <col min="11" max="12" width="14" style="1" customWidth="1"/>
    <col min="13" max="13" width="16" style="1" customWidth="1"/>
    <col min="14" max="16384" width="9.06640625" style="1"/>
  </cols>
  <sheetData>
    <row r="1" spans="1:13" x14ac:dyDescent="0.4">
      <c r="A1" s="82" t="s">
        <v>230</v>
      </c>
      <c r="B1" s="82" t="s">
        <v>229</v>
      </c>
      <c r="C1" s="82" t="s">
        <v>228</v>
      </c>
      <c r="D1" s="82" t="s">
        <v>227</v>
      </c>
      <c r="E1" s="82" t="s">
        <v>226</v>
      </c>
      <c r="F1" s="82" t="s">
        <v>225</v>
      </c>
      <c r="G1" s="82" t="s">
        <v>224</v>
      </c>
      <c r="H1" s="82" t="s">
        <v>223</v>
      </c>
      <c r="I1" s="82" t="s">
        <v>222</v>
      </c>
      <c r="J1" s="82" t="s">
        <v>221</v>
      </c>
      <c r="K1" s="82" t="s">
        <v>220</v>
      </c>
      <c r="L1" s="82" t="s">
        <v>219</v>
      </c>
      <c r="M1" s="82" t="s">
        <v>218</v>
      </c>
    </row>
    <row r="2" spans="1:13" x14ac:dyDescent="0.4">
      <c r="A2" s="88">
        <v>1</v>
      </c>
      <c r="B2" s="88" t="s">
        <v>255</v>
      </c>
      <c r="C2" s="88" t="s">
        <v>62</v>
      </c>
      <c r="D2" s="88" t="s">
        <v>21</v>
      </c>
      <c r="E2" s="88" t="s">
        <v>84</v>
      </c>
      <c r="F2" s="88" t="s">
        <v>63</v>
      </c>
      <c r="G2" s="88" t="s">
        <v>217</v>
      </c>
      <c r="H2" s="88"/>
      <c r="I2" s="88"/>
      <c r="J2" s="88"/>
      <c r="K2" s="88"/>
      <c r="L2" s="88"/>
      <c r="M2" s="88"/>
    </row>
    <row r="3" spans="1:13" x14ac:dyDescent="0.4">
      <c r="A3" s="88">
        <v>1</v>
      </c>
      <c r="B3" s="88" t="s">
        <v>256</v>
      </c>
      <c r="C3" s="88" t="s">
        <v>62</v>
      </c>
      <c r="D3" s="88" t="s">
        <v>22</v>
      </c>
      <c r="E3" s="88" t="s">
        <v>84</v>
      </c>
      <c r="F3" s="88" t="s">
        <v>63</v>
      </c>
      <c r="G3" s="88" t="s">
        <v>217</v>
      </c>
      <c r="H3" s="88"/>
      <c r="I3" s="88"/>
      <c r="J3" s="88"/>
      <c r="K3" s="88"/>
      <c r="L3" s="88"/>
      <c r="M3" s="88"/>
    </row>
    <row r="4" spans="1:13" x14ac:dyDescent="0.4">
      <c r="A4" s="88">
        <v>1</v>
      </c>
      <c r="B4" s="88" t="s">
        <v>257</v>
      </c>
      <c r="C4" s="88" t="s">
        <v>62</v>
      </c>
      <c r="D4" s="88" t="s">
        <v>23</v>
      </c>
      <c r="E4" s="88" t="s">
        <v>84</v>
      </c>
      <c r="F4" s="88" t="s">
        <v>63</v>
      </c>
      <c r="G4" s="88" t="s">
        <v>217</v>
      </c>
      <c r="H4" s="88"/>
      <c r="I4" s="88"/>
      <c r="J4" s="88"/>
      <c r="K4" s="88"/>
      <c r="L4" s="88"/>
      <c r="M4" s="88"/>
    </row>
    <row r="5" spans="1:13" x14ac:dyDescent="0.4">
      <c r="A5" s="88">
        <v>1</v>
      </c>
      <c r="B5" s="88" t="s">
        <v>258</v>
      </c>
      <c r="C5" s="88" t="s">
        <v>62</v>
      </c>
      <c r="D5" s="88" t="s">
        <v>250</v>
      </c>
      <c r="E5" s="88" t="s">
        <v>85</v>
      </c>
      <c r="F5" s="88" t="s">
        <v>60</v>
      </c>
      <c r="G5" s="88" t="s">
        <v>217</v>
      </c>
      <c r="H5" s="88"/>
      <c r="I5" s="88"/>
      <c r="J5" s="88"/>
      <c r="K5" s="88" t="s">
        <v>250</v>
      </c>
      <c r="L5" s="88"/>
      <c r="M5" s="88"/>
    </row>
    <row r="6" spans="1:13" x14ac:dyDescent="0.4">
      <c r="A6" s="88">
        <v>1</v>
      </c>
      <c r="B6" s="88" t="s">
        <v>259</v>
      </c>
      <c r="C6" s="88" t="s">
        <v>62</v>
      </c>
      <c r="D6" s="88" t="s">
        <v>66</v>
      </c>
      <c r="E6" s="88" t="s">
        <v>85</v>
      </c>
      <c r="F6" s="88" t="s">
        <v>60</v>
      </c>
      <c r="G6" s="88" t="s">
        <v>217</v>
      </c>
      <c r="H6" s="88"/>
      <c r="I6" s="88"/>
      <c r="J6" s="88"/>
      <c r="K6" s="88" t="s">
        <v>251</v>
      </c>
      <c r="L6" s="88"/>
      <c r="M6" s="88"/>
    </row>
    <row r="7" spans="1:13" x14ac:dyDescent="0.4">
      <c r="A7" s="88">
        <v>1</v>
      </c>
      <c r="B7" s="88" t="s">
        <v>274</v>
      </c>
      <c r="C7" s="88" t="s">
        <v>62</v>
      </c>
      <c r="D7" s="88" t="s">
        <v>67</v>
      </c>
      <c r="E7" s="88" t="s">
        <v>84</v>
      </c>
      <c r="F7" s="88" t="s">
        <v>61</v>
      </c>
      <c r="G7" s="88" t="s">
        <v>217</v>
      </c>
      <c r="H7" s="88"/>
      <c r="I7" s="88"/>
      <c r="J7" s="88">
        <v>500</v>
      </c>
      <c r="K7" s="88" t="s">
        <v>67</v>
      </c>
      <c r="L7" s="88"/>
      <c r="M7" s="88"/>
    </row>
    <row r="8" spans="1:13" x14ac:dyDescent="0.4">
      <c r="A8" s="88">
        <v>1</v>
      </c>
      <c r="B8" s="88" t="s">
        <v>187</v>
      </c>
      <c r="C8" s="88" t="s">
        <v>62</v>
      </c>
      <c r="D8" s="88" t="s">
        <v>24</v>
      </c>
      <c r="E8" s="88" t="s">
        <v>65</v>
      </c>
      <c r="F8" s="88" t="s">
        <v>63</v>
      </c>
      <c r="G8" s="88">
        <v>202604</v>
      </c>
      <c r="H8" s="88"/>
      <c r="I8" s="88"/>
      <c r="J8" s="88"/>
      <c r="K8" s="88" t="s">
        <v>24</v>
      </c>
      <c r="L8" s="88"/>
      <c r="M8" s="88"/>
    </row>
    <row r="9" spans="1:13" x14ac:dyDescent="0.4">
      <c r="A9" s="88">
        <v>1</v>
      </c>
      <c r="B9" s="88" t="s">
        <v>263</v>
      </c>
      <c r="C9" s="88" t="s">
        <v>62</v>
      </c>
      <c r="D9" s="88" t="s">
        <v>5</v>
      </c>
      <c r="E9" s="88" t="s">
        <v>65</v>
      </c>
      <c r="F9" s="88" t="s">
        <v>63</v>
      </c>
      <c r="G9" s="88" t="s">
        <v>217</v>
      </c>
      <c r="H9" s="88"/>
      <c r="I9" s="88"/>
      <c r="J9" s="88"/>
      <c r="K9" s="88" t="s">
        <v>5</v>
      </c>
      <c r="L9" s="88"/>
      <c r="M9" s="88"/>
    </row>
    <row r="10" spans="1:13" x14ac:dyDescent="0.4">
      <c r="A10" s="88">
        <v>1</v>
      </c>
      <c r="B10" s="88" t="s">
        <v>264</v>
      </c>
      <c r="C10" s="88" t="s">
        <v>62</v>
      </c>
      <c r="D10" s="88" t="s">
        <v>9</v>
      </c>
      <c r="E10" s="88" t="s">
        <v>65</v>
      </c>
      <c r="F10" s="88" t="s">
        <v>63</v>
      </c>
      <c r="G10" s="88" t="s">
        <v>217</v>
      </c>
      <c r="H10" s="88"/>
      <c r="I10" s="88"/>
      <c r="J10" s="88"/>
      <c r="K10" s="88" t="s">
        <v>9</v>
      </c>
      <c r="L10" s="88"/>
      <c r="M10" s="88"/>
    </row>
    <row r="11" spans="1:13" x14ac:dyDescent="0.4">
      <c r="A11" s="88">
        <v>1</v>
      </c>
      <c r="B11" s="88" t="s">
        <v>265</v>
      </c>
      <c r="C11" s="88" t="s">
        <v>62</v>
      </c>
      <c r="D11" s="88" t="s">
        <v>26</v>
      </c>
      <c r="E11" s="88" t="s">
        <v>86</v>
      </c>
      <c r="F11" s="88" t="s">
        <v>63</v>
      </c>
      <c r="G11" s="88" t="s">
        <v>217</v>
      </c>
      <c r="H11" s="88"/>
      <c r="I11" s="88"/>
      <c r="J11" s="88"/>
      <c r="K11" s="88" t="s">
        <v>26</v>
      </c>
      <c r="L11" s="88"/>
      <c r="M11" s="88"/>
    </row>
    <row r="12" spans="1:13" x14ac:dyDescent="0.4">
      <c r="A12" s="88">
        <v>1</v>
      </c>
      <c r="B12" s="88" t="s">
        <v>266</v>
      </c>
      <c r="C12" s="88" t="s">
        <v>62</v>
      </c>
      <c r="D12" s="88" t="s">
        <v>27</v>
      </c>
      <c r="E12" s="88" t="s">
        <v>86</v>
      </c>
      <c r="F12" s="88" t="s">
        <v>63</v>
      </c>
      <c r="G12" s="88" t="s">
        <v>217</v>
      </c>
      <c r="H12" s="88"/>
      <c r="I12" s="88"/>
      <c r="J12" s="88"/>
      <c r="K12" s="88" t="s">
        <v>27</v>
      </c>
      <c r="L12" s="88"/>
      <c r="M12" s="88"/>
    </row>
    <row r="13" spans="1:13" x14ac:dyDescent="0.4">
      <c r="A13" s="88">
        <v>1</v>
      </c>
      <c r="B13" s="88" t="s">
        <v>267</v>
      </c>
      <c r="C13" s="88" t="s">
        <v>62</v>
      </c>
      <c r="D13" s="88" t="s">
        <v>25</v>
      </c>
      <c r="E13" s="88" t="s">
        <v>86</v>
      </c>
      <c r="F13" s="88" t="s">
        <v>63</v>
      </c>
      <c r="G13" s="88" t="s">
        <v>217</v>
      </c>
      <c r="H13" s="88"/>
      <c r="I13" s="88"/>
      <c r="J13" s="88"/>
      <c r="K13" s="88" t="s">
        <v>25</v>
      </c>
      <c r="L13" s="88"/>
      <c r="M13" s="88"/>
    </row>
    <row r="14" spans="1:13" x14ac:dyDescent="0.4">
      <c r="A14" s="88">
        <v>1</v>
      </c>
      <c r="B14" s="88" t="s">
        <v>143</v>
      </c>
      <c r="C14" s="88" t="s">
        <v>62</v>
      </c>
      <c r="D14" s="88" t="s">
        <v>28</v>
      </c>
      <c r="E14" s="88" t="s">
        <v>87</v>
      </c>
      <c r="F14" s="88" t="s">
        <v>63</v>
      </c>
      <c r="G14" s="88">
        <v>202605</v>
      </c>
      <c r="H14" s="88"/>
      <c r="I14" s="88"/>
      <c r="J14" s="88"/>
      <c r="K14" s="88" t="s">
        <v>28</v>
      </c>
      <c r="L14" s="88"/>
      <c r="M14" s="88"/>
    </row>
    <row r="15" spans="1:13" x14ac:dyDescent="0.4">
      <c r="A15" s="88">
        <v>1</v>
      </c>
      <c r="B15" s="88" t="s">
        <v>185</v>
      </c>
      <c r="C15" s="88" t="s">
        <v>62</v>
      </c>
      <c r="D15" s="88" t="s">
        <v>29</v>
      </c>
      <c r="E15" s="88" t="s">
        <v>87</v>
      </c>
      <c r="F15" s="88" t="s">
        <v>63</v>
      </c>
      <c r="G15" s="88">
        <v>202605</v>
      </c>
      <c r="H15" s="88"/>
      <c r="I15" s="88"/>
      <c r="J15" s="88"/>
      <c r="K15" s="88" t="s">
        <v>29</v>
      </c>
      <c r="L15" s="88"/>
      <c r="M15" s="88"/>
    </row>
    <row r="16" spans="1:13" x14ac:dyDescent="0.4">
      <c r="A16" s="88">
        <v>1</v>
      </c>
      <c r="B16" s="88" t="s">
        <v>191</v>
      </c>
      <c r="C16" s="88" t="s">
        <v>62</v>
      </c>
      <c r="D16" s="88" t="s">
        <v>31</v>
      </c>
      <c r="E16" s="88" t="s">
        <v>87</v>
      </c>
      <c r="F16" s="88" t="s">
        <v>63</v>
      </c>
      <c r="G16" s="88">
        <v>202605</v>
      </c>
      <c r="H16" s="88"/>
      <c r="I16" s="88"/>
      <c r="J16" s="88"/>
      <c r="K16" s="88" t="s">
        <v>31</v>
      </c>
      <c r="L16" s="88"/>
      <c r="M16" s="88"/>
    </row>
    <row r="17" spans="1:13" x14ac:dyDescent="0.4">
      <c r="A17" s="88">
        <v>1</v>
      </c>
      <c r="B17" s="88" t="s">
        <v>140</v>
      </c>
      <c r="C17" s="88" t="s">
        <v>62</v>
      </c>
      <c r="D17" s="88" t="s">
        <v>32</v>
      </c>
      <c r="E17" s="88" t="s">
        <v>69</v>
      </c>
      <c r="F17" s="88" t="s">
        <v>63</v>
      </c>
      <c r="G17" s="88">
        <v>202605</v>
      </c>
      <c r="H17" s="88"/>
      <c r="I17" s="88"/>
      <c r="J17" s="88"/>
      <c r="K17" s="88" t="s">
        <v>32</v>
      </c>
      <c r="L17" s="88"/>
      <c r="M17" s="88"/>
    </row>
    <row r="18" spans="1:13" x14ac:dyDescent="0.4">
      <c r="A18" s="88">
        <v>1</v>
      </c>
      <c r="B18" s="88" t="s">
        <v>188</v>
      </c>
      <c r="C18" s="88" t="s">
        <v>62</v>
      </c>
      <c r="D18" s="88" t="s">
        <v>33</v>
      </c>
      <c r="E18" s="88" t="s">
        <v>69</v>
      </c>
      <c r="F18" s="88" t="s">
        <v>63</v>
      </c>
      <c r="G18" s="88">
        <v>202605</v>
      </c>
      <c r="H18" s="88"/>
      <c r="I18" s="88"/>
      <c r="J18" s="88"/>
      <c r="K18" s="88" t="s">
        <v>33</v>
      </c>
      <c r="L18" s="88"/>
      <c r="M18" s="88"/>
    </row>
    <row r="19" spans="1:13" x14ac:dyDescent="0.4">
      <c r="A19" s="88">
        <v>1</v>
      </c>
      <c r="B19" s="88" t="s">
        <v>305</v>
      </c>
      <c r="C19" s="88" t="s">
        <v>62</v>
      </c>
      <c r="D19" s="88" t="s">
        <v>34</v>
      </c>
      <c r="E19" s="88" t="s">
        <v>69</v>
      </c>
      <c r="F19" s="88" t="s">
        <v>63</v>
      </c>
      <c r="G19" s="88">
        <v>202605</v>
      </c>
      <c r="H19" s="88"/>
      <c r="I19" s="88"/>
      <c r="J19" s="88"/>
      <c r="K19" s="88" t="s">
        <v>34</v>
      </c>
      <c r="L19" s="88"/>
      <c r="M19" s="88"/>
    </row>
    <row r="20" spans="1:13" x14ac:dyDescent="0.4">
      <c r="A20" s="88">
        <v>1</v>
      </c>
      <c r="B20" s="88" t="s">
        <v>195</v>
      </c>
      <c r="C20" s="88" t="s">
        <v>62</v>
      </c>
      <c r="D20" s="88" t="s">
        <v>70</v>
      </c>
      <c r="E20" s="88" t="s">
        <v>69</v>
      </c>
      <c r="F20" s="88" t="s">
        <v>63</v>
      </c>
      <c r="G20" s="88">
        <v>202605</v>
      </c>
      <c r="H20" s="88"/>
      <c r="I20" s="88"/>
      <c r="J20" s="88"/>
      <c r="K20" s="88" t="s">
        <v>70</v>
      </c>
      <c r="L20" s="88"/>
      <c r="M20" s="88"/>
    </row>
    <row r="21" spans="1:13" x14ac:dyDescent="0.4">
      <c r="A21" s="88">
        <v>1</v>
      </c>
      <c r="B21" s="88" t="s">
        <v>35</v>
      </c>
      <c r="C21" s="88" t="s">
        <v>62</v>
      </c>
      <c r="D21" s="88" t="s">
        <v>35</v>
      </c>
      <c r="E21" s="88" t="s">
        <v>84</v>
      </c>
      <c r="F21" s="88" t="s">
        <v>63</v>
      </c>
      <c r="G21" s="88">
        <v>202604</v>
      </c>
      <c r="H21" s="88"/>
      <c r="I21" s="88"/>
      <c r="J21" s="88"/>
      <c r="K21" s="88" t="s">
        <v>35</v>
      </c>
      <c r="L21" s="88"/>
      <c r="M21" s="88"/>
    </row>
    <row r="22" spans="1:13" x14ac:dyDescent="0.4">
      <c r="A22" s="88">
        <v>1</v>
      </c>
      <c r="B22" s="88" t="s">
        <v>36</v>
      </c>
      <c r="C22" s="88" t="s">
        <v>62</v>
      </c>
      <c r="D22" s="88" t="s">
        <v>36</v>
      </c>
      <c r="E22" s="88" t="s">
        <v>84</v>
      </c>
      <c r="F22" s="88" t="s">
        <v>63</v>
      </c>
      <c r="G22" s="88">
        <v>202605</v>
      </c>
      <c r="H22" s="88"/>
      <c r="I22" s="88"/>
      <c r="J22" s="88"/>
      <c r="K22" s="88" t="s">
        <v>36</v>
      </c>
      <c r="L22" s="88"/>
      <c r="M22" s="88"/>
    </row>
    <row r="23" spans="1:13" x14ac:dyDescent="0.4">
      <c r="A23" s="88">
        <v>1</v>
      </c>
      <c r="B23" s="88" t="s">
        <v>157</v>
      </c>
      <c r="C23" s="88" t="s">
        <v>62</v>
      </c>
      <c r="D23" s="88" t="s">
        <v>37</v>
      </c>
      <c r="E23" s="88" t="s">
        <v>84</v>
      </c>
      <c r="F23" s="88" t="s">
        <v>63</v>
      </c>
      <c r="G23" s="88">
        <v>202604</v>
      </c>
      <c r="H23" s="88"/>
      <c r="I23" s="88"/>
      <c r="J23" s="88"/>
      <c r="K23" s="88" t="s">
        <v>37</v>
      </c>
      <c r="L23" s="88"/>
      <c r="M23" s="88"/>
    </row>
    <row r="24" spans="1:13" x14ac:dyDescent="0.4">
      <c r="A24" s="88">
        <v>1</v>
      </c>
      <c r="B24" s="88" t="s">
        <v>273</v>
      </c>
      <c r="C24" s="88" t="s">
        <v>62</v>
      </c>
      <c r="D24" s="88" t="s">
        <v>38</v>
      </c>
      <c r="E24" s="88" t="s">
        <v>69</v>
      </c>
      <c r="F24" s="88" t="s">
        <v>63</v>
      </c>
      <c r="G24" s="88" t="s">
        <v>217</v>
      </c>
      <c r="H24" s="88"/>
      <c r="I24" s="88"/>
      <c r="J24" s="88"/>
      <c r="K24" s="88" t="s">
        <v>38</v>
      </c>
      <c r="L24" s="88"/>
      <c r="M24" s="88"/>
    </row>
    <row r="25" spans="1:13" x14ac:dyDescent="0.4">
      <c r="A25" s="88">
        <v>1</v>
      </c>
      <c r="B25" s="88" t="s">
        <v>268</v>
      </c>
      <c r="C25" s="88" t="s">
        <v>62</v>
      </c>
      <c r="D25" s="88" t="s">
        <v>42</v>
      </c>
      <c r="E25" s="88" t="s">
        <v>84</v>
      </c>
      <c r="F25" s="88" t="s">
        <v>63</v>
      </c>
      <c r="G25" s="88" t="s">
        <v>217</v>
      </c>
      <c r="H25" s="88"/>
      <c r="I25" s="88"/>
      <c r="J25" s="88"/>
      <c r="K25" s="88" t="s">
        <v>42</v>
      </c>
      <c r="L25" s="88"/>
      <c r="M25" s="88"/>
    </row>
    <row r="26" spans="1:13" x14ac:dyDescent="0.4">
      <c r="A26" s="88">
        <v>1</v>
      </c>
      <c r="B26" s="88" t="s">
        <v>269</v>
      </c>
      <c r="C26" s="88" t="s">
        <v>62</v>
      </c>
      <c r="D26" s="88" t="s">
        <v>40</v>
      </c>
      <c r="E26" s="88" t="s">
        <v>84</v>
      </c>
      <c r="F26" s="88" t="s">
        <v>63</v>
      </c>
      <c r="G26" s="88" t="s">
        <v>217</v>
      </c>
      <c r="H26" s="88"/>
      <c r="I26" s="88"/>
      <c r="J26" s="88"/>
      <c r="K26" s="88" t="s">
        <v>40</v>
      </c>
      <c r="L26" s="88"/>
      <c r="M26" s="88"/>
    </row>
    <row r="27" spans="1:13" x14ac:dyDescent="0.4">
      <c r="A27" s="88">
        <v>1</v>
      </c>
      <c r="B27" s="88" t="s">
        <v>270</v>
      </c>
      <c r="C27" s="88" t="s">
        <v>62</v>
      </c>
      <c r="D27" s="88" t="s">
        <v>43</v>
      </c>
      <c r="E27" s="88" t="s">
        <v>84</v>
      </c>
      <c r="F27" s="88" t="s">
        <v>63</v>
      </c>
      <c r="G27" s="88" t="s">
        <v>217</v>
      </c>
      <c r="H27" s="88"/>
      <c r="I27" s="88"/>
      <c r="J27" s="88"/>
      <c r="K27" s="88" t="s">
        <v>43</v>
      </c>
      <c r="L27" s="88"/>
      <c r="M27" s="88"/>
    </row>
    <row r="28" spans="1:13" x14ac:dyDescent="0.4">
      <c r="A28" s="88">
        <v>1</v>
      </c>
      <c r="B28" s="88" t="s">
        <v>271</v>
      </c>
      <c r="C28" s="88" t="s">
        <v>62</v>
      </c>
      <c r="D28" s="88" t="s">
        <v>41</v>
      </c>
      <c r="E28" s="88" t="s">
        <v>84</v>
      </c>
      <c r="F28" s="88" t="s">
        <v>63</v>
      </c>
      <c r="G28" s="88" t="s">
        <v>217</v>
      </c>
      <c r="H28" s="88"/>
      <c r="I28" s="88"/>
      <c r="J28" s="88"/>
      <c r="K28" s="88" t="s">
        <v>41</v>
      </c>
      <c r="L28" s="88"/>
      <c r="M28" s="88"/>
    </row>
    <row r="29" spans="1:13" x14ac:dyDescent="0.4">
      <c r="A29" s="88">
        <v>1</v>
      </c>
      <c r="B29" s="88" t="s">
        <v>272</v>
      </c>
      <c r="C29" s="88" t="s">
        <v>62</v>
      </c>
      <c r="D29" s="88" t="s">
        <v>39</v>
      </c>
      <c r="E29" s="88" t="s">
        <v>84</v>
      </c>
      <c r="F29" s="88" t="s">
        <v>63</v>
      </c>
      <c r="G29" s="88" t="s">
        <v>217</v>
      </c>
      <c r="H29" s="88"/>
      <c r="I29" s="88"/>
      <c r="J29" s="88"/>
      <c r="K29" s="88" t="s">
        <v>39</v>
      </c>
      <c r="L29" s="88"/>
      <c r="M29" s="88"/>
    </row>
    <row r="30" spans="1:13" x14ac:dyDescent="0.4">
      <c r="A30" s="88">
        <v>1</v>
      </c>
      <c r="B30" s="88" t="s">
        <v>275</v>
      </c>
      <c r="C30" s="88" t="s">
        <v>62</v>
      </c>
      <c r="D30" s="88" t="s">
        <v>46</v>
      </c>
      <c r="E30" s="88" t="s">
        <v>87</v>
      </c>
      <c r="F30" s="88" t="s">
        <v>63</v>
      </c>
      <c r="G30" s="88" t="s">
        <v>217</v>
      </c>
      <c r="H30" s="88"/>
      <c r="I30" s="88"/>
      <c r="J30" s="88"/>
      <c r="K30" s="88" t="s">
        <v>46</v>
      </c>
      <c r="L30" s="88"/>
      <c r="M30" s="88"/>
    </row>
    <row r="31" spans="1:13" x14ac:dyDescent="0.4">
      <c r="A31" s="88">
        <v>1</v>
      </c>
      <c r="B31" s="88" t="s">
        <v>276</v>
      </c>
      <c r="C31" s="88" t="s">
        <v>62</v>
      </c>
      <c r="D31" s="88" t="s">
        <v>72</v>
      </c>
      <c r="E31" s="88" t="s">
        <v>87</v>
      </c>
      <c r="F31" s="88" t="s">
        <v>63</v>
      </c>
      <c r="G31" s="88" t="s">
        <v>217</v>
      </c>
      <c r="H31" s="88"/>
      <c r="I31" s="88"/>
      <c r="J31" s="88"/>
      <c r="K31" s="88" t="s">
        <v>72</v>
      </c>
      <c r="L31" s="88"/>
      <c r="M31" s="88"/>
    </row>
    <row r="32" spans="1:13" x14ac:dyDescent="0.4">
      <c r="A32" s="88">
        <v>1</v>
      </c>
      <c r="B32" s="88" t="s">
        <v>260</v>
      </c>
      <c r="C32" s="88" t="s">
        <v>62</v>
      </c>
      <c r="D32" s="88" t="s">
        <v>252</v>
      </c>
      <c r="E32" s="88" t="s">
        <v>85</v>
      </c>
      <c r="F32" s="88" t="s">
        <v>60</v>
      </c>
      <c r="G32" s="88" t="s">
        <v>217</v>
      </c>
      <c r="H32" s="88"/>
      <c r="I32" s="88"/>
      <c r="J32" s="88"/>
      <c r="K32" s="88" t="s">
        <v>252</v>
      </c>
      <c r="L32" s="88"/>
      <c r="M32" s="88"/>
    </row>
    <row r="33" spans="1:13" x14ac:dyDescent="0.4">
      <c r="A33" s="88">
        <v>1</v>
      </c>
      <c r="B33" s="88" t="s">
        <v>261</v>
      </c>
      <c r="C33" s="88" t="s">
        <v>62</v>
      </c>
      <c r="D33" s="88" t="s">
        <v>253</v>
      </c>
      <c r="E33" s="88" t="s">
        <v>85</v>
      </c>
      <c r="F33" s="88" t="s">
        <v>60</v>
      </c>
      <c r="G33" s="88" t="s">
        <v>217</v>
      </c>
      <c r="H33" s="88"/>
      <c r="I33" s="88"/>
      <c r="J33" s="88"/>
      <c r="K33" s="88" t="s">
        <v>253</v>
      </c>
      <c r="L33" s="88"/>
      <c r="M33" s="88"/>
    </row>
    <row r="34" spans="1:13" x14ac:dyDescent="0.4">
      <c r="A34" s="88">
        <v>1</v>
      </c>
      <c r="B34" s="88" t="s">
        <v>262</v>
      </c>
      <c r="C34" s="88" t="s">
        <v>62</v>
      </c>
      <c r="D34" s="88" t="s">
        <v>254</v>
      </c>
      <c r="E34" s="88" t="s">
        <v>85</v>
      </c>
      <c r="F34" s="88" t="s">
        <v>60</v>
      </c>
      <c r="G34" s="88" t="s">
        <v>217</v>
      </c>
      <c r="H34" s="88"/>
      <c r="I34" s="88"/>
      <c r="J34" s="88"/>
      <c r="K34" s="88" t="s">
        <v>254</v>
      </c>
      <c r="M34" s="88"/>
    </row>
    <row r="35" spans="1:13" x14ac:dyDescent="0.4">
      <c r="A35" s="88">
        <v>1</v>
      </c>
      <c r="B35" s="9" t="s">
        <v>313</v>
      </c>
      <c r="C35" s="88" t="s">
        <v>198</v>
      </c>
      <c r="D35" s="88" t="s">
        <v>44</v>
      </c>
      <c r="E35" s="88" t="s">
        <v>202</v>
      </c>
      <c r="F35" s="88" t="s">
        <v>63</v>
      </c>
      <c r="L35" s="88"/>
      <c r="M35" s="88"/>
    </row>
    <row r="36" spans="1:13" x14ac:dyDescent="0.4">
      <c r="A36" s="88">
        <v>1</v>
      </c>
      <c r="B36" s="9" t="s">
        <v>199</v>
      </c>
      <c r="C36" s="88" t="s">
        <v>198</v>
      </c>
      <c r="D36" s="88" t="s">
        <v>45</v>
      </c>
      <c r="E36" s="88" t="s">
        <v>202</v>
      </c>
      <c r="F36" s="88" t="s">
        <v>63</v>
      </c>
      <c r="G36" s="88"/>
      <c r="H36" s="88"/>
      <c r="I36" s="88"/>
      <c r="J36" s="88"/>
      <c r="K36" s="88"/>
      <c r="L36" s="88"/>
      <c r="M36" s="88"/>
    </row>
    <row r="37" spans="1:13" x14ac:dyDescent="0.4">
      <c r="M37" s="88"/>
    </row>
    <row r="38" spans="1:13" x14ac:dyDescent="0.4">
      <c r="M38" s="88"/>
    </row>
    <row r="40" spans="1:13" x14ac:dyDescent="0.4">
      <c r="C40" s="31"/>
      <c r="D40" s="31"/>
      <c r="E40" s="31"/>
      <c r="F40" s="31"/>
      <c r="G40" s="31"/>
    </row>
    <row r="41" spans="1:13" x14ac:dyDescent="0.4">
      <c r="C41" s="31"/>
      <c r="D41" s="31"/>
      <c r="E41" s="31"/>
      <c r="F41" s="31"/>
      <c r="G41" s="31"/>
    </row>
    <row r="42" spans="1:13" x14ac:dyDescent="0.4">
      <c r="C42" s="31"/>
      <c r="D42" s="31"/>
      <c r="E42" s="31"/>
      <c r="F42" s="31"/>
      <c r="G42" s="31"/>
    </row>
    <row r="43" spans="1:13" x14ac:dyDescent="0.4">
      <c r="C43" s="31"/>
      <c r="D43" s="31"/>
      <c r="E43" s="31"/>
      <c r="F43" s="31"/>
      <c r="G43" s="31"/>
    </row>
    <row r="44" spans="1:13" x14ac:dyDescent="0.4">
      <c r="C44" s="31"/>
      <c r="D44" s="31"/>
      <c r="E44" s="31"/>
      <c r="F44" s="31"/>
      <c r="G44" s="31"/>
    </row>
    <row r="45" spans="1:13" x14ac:dyDescent="0.4">
      <c r="C45" s="31"/>
      <c r="D45" s="31"/>
      <c r="E45" s="31"/>
      <c r="F45" s="31"/>
      <c r="G45" s="31"/>
    </row>
    <row r="46" spans="1:13" x14ac:dyDescent="0.4">
      <c r="C46" s="31"/>
      <c r="D46" s="31"/>
      <c r="E46" s="31"/>
      <c r="F46" s="31"/>
      <c r="G46" s="31"/>
    </row>
    <row r="47" spans="1:13" x14ac:dyDescent="0.4">
      <c r="C47" s="31"/>
      <c r="D47" s="31"/>
      <c r="E47" s="31"/>
      <c r="F47" s="31"/>
      <c r="G47" s="31"/>
    </row>
    <row r="48" spans="1:13" x14ac:dyDescent="0.4">
      <c r="C48" s="31"/>
      <c r="D48" s="31"/>
      <c r="E48" s="31"/>
      <c r="F48" s="31"/>
      <c r="G48" s="31"/>
    </row>
    <row r="49" spans="3:7" x14ac:dyDescent="0.4">
      <c r="C49" s="31"/>
      <c r="D49" s="31"/>
      <c r="E49" s="31"/>
      <c r="F49" s="31"/>
      <c r="G49" s="31"/>
    </row>
    <row r="50" spans="3:7" x14ac:dyDescent="0.4">
      <c r="C50" s="31"/>
      <c r="D50" s="31"/>
      <c r="E50" s="31"/>
      <c r="F50" s="31"/>
      <c r="G50" s="31"/>
    </row>
    <row r="51" spans="3:7" x14ac:dyDescent="0.4">
      <c r="C51" s="31"/>
      <c r="D51" s="31"/>
      <c r="E51" s="31"/>
      <c r="F51" s="31"/>
      <c r="G51" s="31"/>
    </row>
    <row r="52" spans="3:7" x14ac:dyDescent="0.4">
      <c r="C52" s="31"/>
      <c r="D52" s="31"/>
      <c r="E52" s="31"/>
      <c r="F52" s="31"/>
      <c r="G52" s="31"/>
    </row>
    <row r="53" spans="3:7" x14ac:dyDescent="0.4">
      <c r="C53" s="31"/>
      <c r="D53" s="31"/>
      <c r="E53" s="31"/>
      <c r="F53" s="31"/>
      <c r="G53" s="31"/>
    </row>
    <row r="54" spans="3:7" x14ac:dyDescent="0.4">
      <c r="C54" s="31"/>
      <c r="D54" s="31"/>
      <c r="E54" s="31"/>
      <c r="F54" s="31"/>
      <c r="G54" s="31"/>
    </row>
    <row r="55" spans="3:7" x14ac:dyDescent="0.4">
      <c r="C55" s="31" t="s">
        <v>148</v>
      </c>
      <c r="D55" s="31" t="s">
        <v>27</v>
      </c>
      <c r="E55" s="31" t="s">
        <v>62</v>
      </c>
      <c r="F55" s="31" t="s">
        <v>86</v>
      </c>
      <c r="G55" s="31" t="s">
        <v>63</v>
      </c>
    </row>
    <row r="56" spans="3:7" x14ac:dyDescent="0.4">
      <c r="C56" s="31" t="s">
        <v>68</v>
      </c>
      <c r="D56" s="31" t="s">
        <v>68</v>
      </c>
      <c r="E56" s="31" t="s">
        <v>62</v>
      </c>
      <c r="F56" s="31" t="s">
        <v>65</v>
      </c>
      <c r="G56" s="31" t="s">
        <v>63</v>
      </c>
    </row>
    <row r="57" spans="3:7" x14ac:dyDescent="0.4">
      <c r="C57" s="31" t="s">
        <v>143</v>
      </c>
      <c r="D57" s="31" t="s">
        <v>28</v>
      </c>
      <c r="E57" s="31" t="s">
        <v>62</v>
      </c>
      <c r="F57" s="31" t="s">
        <v>87</v>
      </c>
      <c r="G57" s="31" t="s">
        <v>63</v>
      </c>
    </row>
    <row r="58" spans="3:7" x14ac:dyDescent="0.4">
      <c r="C58" s="31" t="s">
        <v>185</v>
      </c>
      <c r="D58" s="31" t="s">
        <v>29</v>
      </c>
      <c r="E58" s="31" t="s">
        <v>62</v>
      </c>
      <c r="F58" s="31" t="s">
        <v>87</v>
      </c>
      <c r="G58" s="31" t="s">
        <v>63</v>
      </c>
    </row>
    <row r="59" spans="3:7" x14ac:dyDescent="0.4">
      <c r="C59" s="31" t="s">
        <v>191</v>
      </c>
      <c r="D59" s="31" t="s">
        <v>31</v>
      </c>
      <c r="E59" s="31" t="s">
        <v>62</v>
      </c>
      <c r="F59" s="31" t="s">
        <v>87</v>
      </c>
      <c r="G59" s="31" t="s">
        <v>63</v>
      </c>
    </row>
    <row r="60" spans="3:7" x14ac:dyDescent="0.4">
      <c r="C60" s="31" t="s">
        <v>140</v>
      </c>
      <c r="D60" s="31" t="s">
        <v>32</v>
      </c>
      <c r="E60" s="31" t="s">
        <v>62</v>
      </c>
      <c r="F60" s="31" t="s">
        <v>69</v>
      </c>
      <c r="G60" s="31" t="s">
        <v>63</v>
      </c>
    </row>
    <row r="61" spans="3:7" x14ac:dyDescent="0.4">
      <c r="C61" s="31" t="s">
        <v>188</v>
      </c>
      <c r="D61" s="31" t="s">
        <v>33</v>
      </c>
      <c r="E61" s="31" t="s">
        <v>62</v>
      </c>
      <c r="F61" s="31" t="s">
        <v>69</v>
      </c>
      <c r="G61" s="31" t="s">
        <v>63</v>
      </c>
    </row>
    <row r="62" spans="3:7" x14ac:dyDescent="0.4">
      <c r="C62" s="31" t="s">
        <v>196</v>
      </c>
      <c r="D62" s="31" t="s">
        <v>34</v>
      </c>
      <c r="E62" s="31" t="s">
        <v>62</v>
      </c>
      <c r="F62" s="31" t="s">
        <v>69</v>
      </c>
      <c r="G62" s="31" t="s">
        <v>63</v>
      </c>
    </row>
    <row r="63" spans="3:7" x14ac:dyDescent="0.4">
      <c r="C63" s="31" t="s">
        <v>195</v>
      </c>
      <c r="D63" s="31" t="s">
        <v>70</v>
      </c>
      <c r="E63" s="31" t="s">
        <v>62</v>
      </c>
      <c r="F63" s="31" t="s">
        <v>69</v>
      </c>
      <c r="G63" s="31" t="s">
        <v>63</v>
      </c>
    </row>
    <row r="64" spans="3:7" x14ac:dyDescent="0.4">
      <c r="C64" s="31" t="s">
        <v>35</v>
      </c>
      <c r="D64" s="31" t="s">
        <v>35</v>
      </c>
      <c r="E64" s="31" t="s">
        <v>62</v>
      </c>
      <c r="F64" s="31" t="s">
        <v>84</v>
      </c>
      <c r="G64" s="31" t="s">
        <v>63</v>
      </c>
    </row>
    <row r="65" spans="3:7" x14ac:dyDescent="0.4">
      <c r="C65" s="31" t="s">
        <v>36</v>
      </c>
      <c r="D65" s="31" t="s">
        <v>36</v>
      </c>
      <c r="E65" s="31" t="s">
        <v>62</v>
      </c>
      <c r="F65" s="31" t="s">
        <v>84</v>
      </c>
      <c r="G65" s="31" t="s">
        <v>63</v>
      </c>
    </row>
    <row r="66" spans="3:7" x14ac:dyDescent="0.4">
      <c r="C66" s="31" t="s">
        <v>157</v>
      </c>
      <c r="D66" s="31" t="s">
        <v>37</v>
      </c>
      <c r="E66" s="31" t="s">
        <v>62</v>
      </c>
      <c r="F66" s="31" t="s">
        <v>84</v>
      </c>
      <c r="G66" s="31" t="s">
        <v>63</v>
      </c>
    </row>
    <row r="67" spans="3:7" ht="14.25" x14ac:dyDescent="0.45">
      <c r="C67"/>
      <c r="D67"/>
      <c r="E67"/>
      <c r="F67"/>
      <c r="G67"/>
    </row>
    <row r="68" spans="3:7" x14ac:dyDescent="0.4">
      <c r="C68" s="31" t="s">
        <v>71</v>
      </c>
      <c r="D68" s="31" t="s">
        <v>72</v>
      </c>
      <c r="E68" s="31" t="s">
        <v>62</v>
      </c>
      <c r="F68" s="31" t="s">
        <v>87</v>
      </c>
      <c r="G68" s="31" t="s">
        <v>63</v>
      </c>
    </row>
    <row r="69" spans="3:7" x14ac:dyDescent="0.4">
      <c r="C69" s="31" t="s">
        <v>46</v>
      </c>
      <c r="D69" s="31" t="s">
        <v>46</v>
      </c>
      <c r="E69" s="31" t="s">
        <v>62</v>
      </c>
      <c r="F69" s="31" t="s">
        <v>87</v>
      </c>
      <c r="G69" s="31" t="s">
        <v>63</v>
      </c>
    </row>
    <row r="70" spans="3:7" x14ac:dyDescent="0.4">
      <c r="C70" s="31" t="s">
        <v>73</v>
      </c>
      <c r="D70" s="31" t="s">
        <v>74</v>
      </c>
      <c r="E70" s="31" t="s">
        <v>62</v>
      </c>
      <c r="F70" s="31" t="s">
        <v>85</v>
      </c>
      <c r="G70" s="31" t="s">
        <v>60</v>
      </c>
    </row>
    <row r="71" spans="3:7" x14ac:dyDescent="0.4">
      <c r="C71" s="31" t="s">
        <v>75</v>
      </c>
      <c r="D71" s="31" t="s">
        <v>76</v>
      </c>
      <c r="E71" s="31" t="s">
        <v>62</v>
      </c>
      <c r="F71" s="31" t="s">
        <v>85</v>
      </c>
      <c r="G71" s="31" t="s">
        <v>60</v>
      </c>
    </row>
    <row r="72" spans="3:7" x14ac:dyDescent="0.4">
      <c r="C72" s="31" t="s">
        <v>77</v>
      </c>
      <c r="D72" s="31" t="s">
        <v>47</v>
      </c>
      <c r="E72" s="31" t="s">
        <v>62</v>
      </c>
      <c r="F72" s="31" t="s">
        <v>85</v>
      </c>
      <c r="G72" s="31" t="s">
        <v>60</v>
      </c>
    </row>
    <row r="73" spans="3:7" x14ac:dyDescent="0.4">
      <c r="C73" s="31" t="s">
        <v>78</v>
      </c>
      <c r="D73" s="31" t="s">
        <v>38</v>
      </c>
      <c r="E73" s="31" t="s">
        <v>62</v>
      </c>
      <c r="F73" s="31" t="s">
        <v>69</v>
      </c>
      <c r="G73" s="31" t="s">
        <v>63</v>
      </c>
    </row>
    <row r="74" spans="3:7" x14ac:dyDescent="0.4">
      <c r="C74" s="31" t="s">
        <v>42</v>
      </c>
      <c r="D74" s="31" t="s">
        <v>60</v>
      </c>
      <c r="E74" s="31" t="s">
        <v>62</v>
      </c>
      <c r="F74" s="31" t="s">
        <v>84</v>
      </c>
      <c r="G74" s="31" t="s">
        <v>63</v>
      </c>
    </row>
    <row r="75" spans="3:7" x14ac:dyDescent="0.4">
      <c r="C75" s="31" t="s">
        <v>40</v>
      </c>
      <c r="D75" s="31" t="s">
        <v>79</v>
      </c>
      <c r="E75" s="31" t="s">
        <v>62</v>
      </c>
      <c r="F75" s="31" t="s">
        <v>84</v>
      </c>
      <c r="G75" s="31" t="s">
        <v>63</v>
      </c>
    </row>
    <row r="76" spans="3:7" x14ac:dyDescent="0.4">
      <c r="C76" s="31" t="s">
        <v>43</v>
      </c>
      <c r="D76" s="31" t="s">
        <v>61</v>
      </c>
      <c r="E76" s="31" t="s">
        <v>62</v>
      </c>
      <c r="F76" s="31" t="s">
        <v>84</v>
      </c>
      <c r="G76" s="31" t="s">
        <v>63</v>
      </c>
    </row>
    <row r="77" spans="3:7" x14ac:dyDescent="0.4">
      <c r="C77" s="31" t="s">
        <v>80</v>
      </c>
      <c r="D77" s="31" t="s">
        <v>81</v>
      </c>
      <c r="E77" s="31" t="s">
        <v>62</v>
      </c>
      <c r="F77" s="31" t="s">
        <v>84</v>
      </c>
      <c r="G77" s="31" t="s">
        <v>63</v>
      </c>
    </row>
    <row r="78" spans="3:7" x14ac:dyDescent="0.4">
      <c r="C78" s="31" t="s">
        <v>82</v>
      </c>
      <c r="D78" s="31" t="s">
        <v>83</v>
      </c>
      <c r="E78" s="31" t="s">
        <v>62</v>
      </c>
      <c r="F78" s="31" t="s">
        <v>84</v>
      </c>
      <c r="G78" s="31" t="s">
        <v>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23A5-0196-4393-BF81-7AB2552DE605}">
  <dimension ref="A1:AF46"/>
  <sheetViews>
    <sheetView showGridLines="0" workbookViewId="0">
      <selection activeCell="C19" sqref="C19"/>
    </sheetView>
  </sheetViews>
  <sheetFormatPr defaultRowHeight="13.15" x14ac:dyDescent="0.4"/>
  <cols>
    <col min="1" max="1" width="12.19921875" style="1" bestFit="1" customWidth="1"/>
    <col min="2" max="2" width="9.1328125" style="1" bestFit="1" customWidth="1"/>
    <col min="3" max="3" width="6.73046875" style="1" bestFit="1" customWidth="1"/>
    <col min="4" max="4" width="6.19921875" style="1" bestFit="1" customWidth="1"/>
    <col min="5" max="5" width="9.9296875" style="1" bestFit="1" customWidth="1"/>
    <col min="6" max="6" width="7.73046875" style="1" bestFit="1" customWidth="1"/>
    <col min="7" max="7" width="7.19921875" style="1" bestFit="1" customWidth="1"/>
    <col min="8" max="15" width="9.265625" style="1" bestFit="1" customWidth="1"/>
    <col min="16" max="16" width="10.19921875" style="1" bestFit="1" customWidth="1"/>
    <col min="17" max="17" width="9" style="1" bestFit="1" customWidth="1"/>
    <col min="18" max="18" width="6" style="1" bestFit="1" customWidth="1"/>
    <col min="19" max="19" width="6.33203125" style="1" bestFit="1" customWidth="1"/>
    <col min="20" max="21" width="6" style="1" bestFit="1" customWidth="1"/>
    <col min="22" max="22" width="14.19921875" style="1" bestFit="1" customWidth="1"/>
    <col min="23" max="23" width="5.19921875" style="1" bestFit="1" customWidth="1"/>
    <col min="24" max="24" width="14" style="1" customWidth="1"/>
    <col min="25" max="16384" width="9.06640625" style="1"/>
  </cols>
  <sheetData>
    <row r="1" spans="1:32" x14ac:dyDescent="0.4">
      <c r="A1" s="86" t="s">
        <v>229</v>
      </c>
      <c r="B1" s="86" t="s">
        <v>247</v>
      </c>
      <c r="C1" s="86" t="s">
        <v>228</v>
      </c>
      <c r="D1" s="86" t="s">
        <v>227</v>
      </c>
      <c r="E1" s="86" t="s">
        <v>219</v>
      </c>
      <c r="F1" s="86" t="s">
        <v>226</v>
      </c>
      <c r="G1" s="86" t="s">
        <v>225</v>
      </c>
      <c r="H1" s="86" t="s">
        <v>246</v>
      </c>
      <c r="I1" s="86" t="s">
        <v>245</v>
      </c>
      <c r="J1" s="86" t="s">
        <v>244</v>
      </c>
      <c r="K1" s="86" t="s">
        <v>243</v>
      </c>
      <c r="L1" s="86" t="s">
        <v>242</v>
      </c>
      <c r="M1" s="86" t="s">
        <v>241</v>
      </c>
      <c r="N1" s="86" t="s">
        <v>240</v>
      </c>
      <c r="O1" s="86" t="s">
        <v>239</v>
      </c>
      <c r="P1" s="86" t="s">
        <v>238</v>
      </c>
      <c r="Q1" s="86" t="s">
        <v>237</v>
      </c>
      <c r="R1" s="86" t="s">
        <v>236</v>
      </c>
      <c r="S1" s="86" t="s">
        <v>235</v>
      </c>
      <c r="T1" s="86" t="s">
        <v>234</v>
      </c>
      <c r="U1" s="86" t="s">
        <v>233</v>
      </c>
      <c r="V1" s="86" t="s">
        <v>232</v>
      </c>
      <c r="W1" s="86" t="s">
        <v>231</v>
      </c>
      <c r="X1" s="84"/>
      <c r="Y1" s="84"/>
      <c r="Z1" s="84"/>
      <c r="AA1" s="83"/>
      <c r="AB1" s="83"/>
      <c r="AC1" s="83"/>
      <c r="AD1" s="83"/>
      <c r="AE1" s="83"/>
      <c r="AF1" s="83"/>
    </row>
    <row r="2" spans="1:32" x14ac:dyDescent="0.4">
      <c r="A2" s="81" t="s">
        <v>255</v>
      </c>
      <c r="B2" s="81">
        <v>649180678</v>
      </c>
      <c r="C2" s="81" t="s">
        <v>62</v>
      </c>
      <c r="D2" s="81" t="s">
        <v>21</v>
      </c>
      <c r="E2" s="81" t="s">
        <v>277</v>
      </c>
      <c r="F2" s="81" t="s">
        <v>84</v>
      </c>
      <c r="G2" s="81" t="s">
        <v>63</v>
      </c>
      <c r="H2" s="91">
        <v>6694.5</v>
      </c>
      <c r="I2" s="91">
        <v>6693.5</v>
      </c>
      <c r="J2" s="91">
        <v>6694.5</v>
      </c>
      <c r="K2" s="91">
        <v>6694</v>
      </c>
      <c r="L2" s="91">
        <v>6794</v>
      </c>
      <c r="M2" s="91">
        <v>6742.5</v>
      </c>
      <c r="N2" s="91">
        <v>6742.5</v>
      </c>
      <c r="O2" s="91">
        <v>6631.5</v>
      </c>
      <c r="P2" s="91">
        <v>10075</v>
      </c>
      <c r="Q2" s="91"/>
      <c r="R2" s="91"/>
      <c r="S2" s="91"/>
      <c r="T2" s="91"/>
      <c r="U2" s="91"/>
      <c r="V2" s="85">
        <v>46090.384814814817</v>
      </c>
      <c r="W2" s="81" t="s">
        <v>278</v>
      </c>
      <c r="X2" s="81"/>
      <c r="Y2" s="81"/>
      <c r="Z2" s="81"/>
    </row>
    <row r="3" spans="1:32" x14ac:dyDescent="0.4">
      <c r="A3" s="81" t="s">
        <v>256</v>
      </c>
      <c r="B3" s="81">
        <v>750150196</v>
      </c>
      <c r="C3" s="81" t="s">
        <v>62</v>
      </c>
      <c r="D3" s="81" t="s">
        <v>22</v>
      </c>
      <c r="E3" s="81" t="s">
        <v>279</v>
      </c>
      <c r="F3" s="81" t="s">
        <v>84</v>
      </c>
      <c r="G3" s="81" t="s">
        <v>63</v>
      </c>
      <c r="H3" s="91">
        <v>24491.25</v>
      </c>
      <c r="I3" s="91">
        <v>24478.25</v>
      </c>
      <c r="J3" s="91">
        <v>24484.25</v>
      </c>
      <c r="K3" s="91">
        <v>24481.25</v>
      </c>
      <c r="L3" s="91">
        <v>24883.25</v>
      </c>
      <c r="M3" s="91">
        <v>24764.75</v>
      </c>
      <c r="N3" s="91">
        <v>24764.75</v>
      </c>
      <c r="O3" s="91">
        <v>24212.25</v>
      </c>
      <c r="P3" s="91">
        <v>2804</v>
      </c>
      <c r="Q3" s="91"/>
      <c r="R3" s="91"/>
      <c r="S3" s="91"/>
      <c r="T3" s="91"/>
      <c r="U3" s="91"/>
      <c r="V3" s="85">
        <v>46090.384814814817</v>
      </c>
      <c r="W3" s="81" t="s">
        <v>278</v>
      </c>
      <c r="X3" s="81"/>
      <c r="Y3" s="81"/>
      <c r="Z3" s="81"/>
    </row>
    <row r="4" spans="1:32" x14ac:dyDescent="0.4">
      <c r="A4" s="81" t="s">
        <v>257</v>
      </c>
      <c r="B4" s="81">
        <v>770561234</v>
      </c>
      <c r="C4" s="81" t="s">
        <v>62</v>
      </c>
      <c r="D4" s="81" t="s">
        <v>23</v>
      </c>
      <c r="E4" s="81" t="s">
        <v>280</v>
      </c>
      <c r="F4" s="81" t="s">
        <v>84</v>
      </c>
      <c r="G4" s="81" t="s">
        <v>63</v>
      </c>
      <c r="H4" s="91">
        <v>2476.9</v>
      </c>
      <c r="I4" s="91">
        <v>2474.6999999999998</v>
      </c>
      <c r="J4" s="91">
        <v>2476</v>
      </c>
      <c r="K4" s="91">
        <v>2475.35</v>
      </c>
      <c r="L4" s="91">
        <v>2543.4</v>
      </c>
      <c r="M4" s="91">
        <v>2524.9</v>
      </c>
      <c r="N4" s="91">
        <v>2524.9</v>
      </c>
      <c r="O4" s="91">
        <v>2434</v>
      </c>
      <c r="P4" s="91">
        <v>1238</v>
      </c>
      <c r="Q4" s="91"/>
      <c r="R4" s="91"/>
      <c r="S4" s="91"/>
      <c r="T4" s="91"/>
      <c r="U4" s="91"/>
      <c r="V4" s="85">
        <v>46090.384814814817</v>
      </c>
      <c r="W4" s="81" t="s">
        <v>278</v>
      </c>
      <c r="X4" s="81"/>
      <c r="Y4" s="81"/>
      <c r="Z4" s="81"/>
    </row>
    <row r="5" spans="1:32" x14ac:dyDescent="0.4">
      <c r="A5" s="81" t="s">
        <v>258</v>
      </c>
      <c r="B5" s="81">
        <v>638120304</v>
      </c>
      <c r="C5" s="81" t="s">
        <v>62</v>
      </c>
      <c r="D5" s="81" t="s">
        <v>64</v>
      </c>
      <c r="E5" s="81" t="s">
        <v>281</v>
      </c>
      <c r="F5" s="81" t="s">
        <v>85</v>
      </c>
      <c r="G5" s="81" t="s">
        <v>60</v>
      </c>
      <c r="H5" s="91">
        <v>5495</v>
      </c>
      <c r="I5" s="91">
        <v>5501</v>
      </c>
      <c r="J5" s="91">
        <v>5504</v>
      </c>
      <c r="K5" s="91">
        <v>5502.5</v>
      </c>
      <c r="L5" s="91">
        <v>5645</v>
      </c>
      <c r="M5" s="91">
        <v>5545</v>
      </c>
      <c r="N5" s="91">
        <v>5545</v>
      </c>
      <c r="O5" s="91">
        <v>5463</v>
      </c>
      <c r="P5" s="91">
        <v>1994</v>
      </c>
      <c r="Q5" s="91"/>
      <c r="R5" s="91"/>
      <c r="S5" s="91"/>
      <c r="T5" s="91"/>
      <c r="U5" s="91"/>
      <c r="V5" s="85">
        <v>46090.384814814817</v>
      </c>
      <c r="W5" s="81" t="s">
        <v>278</v>
      </c>
      <c r="X5" s="81"/>
      <c r="Y5" s="81"/>
      <c r="Z5" s="81"/>
    </row>
    <row r="6" spans="1:32" x14ac:dyDescent="0.4">
      <c r="A6" s="81" t="s">
        <v>259</v>
      </c>
      <c r="B6" s="81">
        <v>638120262</v>
      </c>
      <c r="C6" s="81" t="s">
        <v>62</v>
      </c>
      <c r="D6" s="81" t="s">
        <v>66</v>
      </c>
      <c r="E6" s="81" t="s">
        <v>282</v>
      </c>
      <c r="F6" s="81" t="s">
        <v>85</v>
      </c>
      <c r="G6" s="81" t="s">
        <v>60</v>
      </c>
      <c r="H6" s="91">
        <v>23227</v>
      </c>
      <c r="I6" s="91">
        <v>23184</v>
      </c>
      <c r="J6" s="91">
        <v>23242</v>
      </c>
      <c r="K6" s="91">
        <v>23213</v>
      </c>
      <c r="L6" s="91">
        <v>23768</v>
      </c>
      <c r="M6" s="91">
        <v>23369</v>
      </c>
      <c r="N6" s="91">
        <v>23369</v>
      </c>
      <c r="O6" s="91">
        <v>22955</v>
      </c>
      <c r="P6" s="91">
        <v>58</v>
      </c>
      <c r="Q6" s="91"/>
      <c r="R6" s="91"/>
      <c r="S6" s="91"/>
      <c r="T6" s="91"/>
      <c r="U6" s="91"/>
      <c r="V6" s="85">
        <v>46090.384814814817</v>
      </c>
      <c r="W6" s="81" t="s">
        <v>278</v>
      </c>
      <c r="X6" s="81"/>
      <c r="Y6" s="81"/>
      <c r="Z6" s="81"/>
    </row>
    <row r="7" spans="1:32" x14ac:dyDescent="0.4">
      <c r="A7" s="1" t="s">
        <v>274</v>
      </c>
      <c r="B7" s="1">
        <v>635680486</v>
      </c>
      <c r="C7" s="1" t="s">
        <v>62</v>
      </c>
      <c r="D7" s="1" t="s">
        <v>67</v>
      </c>
      <c r="E7" s="1" t="s">
        <v>311</v>
      </c>
      <c r="F7" s="1" t="s">
        <v>84</v>
      </c>
      <c r="G7" s="1" t="s">
        <v>61</v>
      </c>
      <c r="H7" s="93">
        <v>52490</v>
      </c>
      <c r="I7" s="93">
        <v>52135</v>
      </c>
      <c r="J7" s="93">
        <v>52185</v>
      </c>
      <c r="K7" s="93">
        <v>52160</v>
      </c>
      <c r="L7" s="93">
        <v>53800</v>
      </c>
      <c r="M7" s="93">
        <v>53130</v>
      </c>
      <c r="N7" s="93">
        <v>53130</v>
      </c>
      <c r="O7" s="93">
        <v>51025</v>
      </c>
      <c r="P7" s="93">
        <v>4322</v>
      </c>
      <c r="Q7" s="93"/>
      <c r="R7" s="93"/>
      <c r="S7" s="93"/>
      <c r="T7" s="93"/>
      <c r="U7" s="93"/>
      <c r="V7" s="92">
        <v>46090.384814814817</v>
      </c>
      <c r="W7" s="1" t="s">
        <v>278</v>
      </c>
    </row>
    <row r="8" spans="1:32" x14ac:dyDescent="0.4">
      <c r="A8" s="1" t="s">
        <v>187</v>
      </c>
      <c r="B8" s="1">
        <v>304037436</v>
      </c>
      <c r="C8" s="1" t="s">
        <v>62</v>
      </c>
      <c r="D8" s="1" t="s">
        <v>24</v>
      </c>
      <c r="E8" s="1" t="s">
        <v>283</v>
      </c>
      <c r="F8" s="1" t="s">
        <v>65</v>
      </c>
      <c r="G8" s="1" t="s">
        <v>63</v>
      </c>
      <c r="H8" s="93">
        <v>102.13</v>
      </c>
      <c r="I8" s="93">
        <v>102.11</v>
      </c>
      <c r="J8" s="93">
        <v>102.16</v>
      </c>
      <c r="K8" s="93">
        <v>102.13499999999999</v>
      </c>
      <c r="L8" s="93">
        <v>90.9</v>
      </c>
      <c r="M8" s="93">
        <v>98</v>
      </c>
      <c r="N8" s="93">
        <v>119.48</v>
      </c>
      <c r="O8" s="93">
        <v>98</v>
      </c>
      <c r="P8" s="93">
        <v>429857</v>
      </c>
      <c r="Q8" s="93"/>
      <c r="R8" s="93"/>
      <c r="S8" s="93"/>
      <c r="T8" s="93"/>
      <c r="U8" s="93"/>
      <c r="V8" s="92">
        <v>46090.384814814817</v>
      </c>
      <c r="W8" s="1" t="s">
        <v>278</v>
      </c>
    </row>
    <row r="9" spans="1:32" x14ac:dyDescent="0.4">
      <c r="A9" s="1" t="s">
        <v>263</v>
      </c>
      <c r="B9" s="1">
        <v>269460069</v>
      </c>
      <c r="C9" s="1" t="s">
        <v>62</v>
      </c>
      <c r="D9" s="1" t="s">
        <v>5</v>
      </c>
      <c r="E9" s="1" t="s">
        <v>284</v>
      </c>
      <c r="F9" s="1" t="s">
        <v>65</v>
      </c>
      <c r="G9" s="1" t="s">
        <v>63</v>
      </c>
      <c r="H9" s="93">
        <v>3.4980000000000002</v>
      </c>
      <c r="I9" s="93">
        <v>3.4950000000000001</v>
      </c>
      <c r="J9" s="93">
        <v>3.4990000000000001</v>
      </c>
      <c r="K9" s="93">
        <v>3.4969999999999999</v>
      </c>
      <c r="L9" s="93">
        <v>3.351</v>
      </c>
      <c r="M9" s="93">
        <v>3.4289999999999998</v>
      </c>
      <c r="N9" s="93">
        <v>3.6219999999999999</v>
      </c>
      <c r="O9" s="93">
        <v>3.4289999999999998</v>
      </c>
      <c r="P9" s="93">
        <v>12611</v>
      </c>
      <c r="Q9" s="93"/>
      <c r="R9" s="93"/>
      <c r="S9" s="93"/>
      <c r="T9" s="93"/>
      <c r="U9" s="93"/>
      <c r="V9" s="92">
        <v>46090.384814814817</v>
      </c>
      <c r="W9" s="1" t="s">
        <v>278</v>
      </c>
    </row>
    <row r="10" spans="1:32" x14ac:dyDescent="0.4">
      <c r="A10" s="1" t="s">
        <v>264</v>
      </c>
      <c r="B10" s="1">
        <v>600696533</v>
      </c>
      <c r="C10" s="1" t="s">
        <v>62</v>
      </c>
      <c r="D10" s="1" t="s">
        <v>9</v>
      </c>
      <c r="E10" s="1" t="s">
        <v>285</v>
      </c>
      <c r="F10" s="1" t="s">
        <v>65</v>
      </c>
      <c r="G10" s="1" t="s">
        <v>63</v>
      </c>
      <c r="H10" s="93">
        <v>2.8633000000000002</v>
      </c>
      <c r="I10" s="93">
        <v>2.8628</v>
      </c>
      <c r="J10" s="93">
        <v>2.8645999999999998</v>
      </c>
      <c r="K10" s="93">
        <v>2.8636999999999997</v>
      </c>
      <c r="L10" s="93">
        <v>2.6303999999999998</v>
      </c>
      <c r="M10" s="93">
        <v>2.7</v>
      </c>
      <c r="N10" s="93">
        <v>3.0407000000000002</v>
      </c>
      <c r="O10" s="93">
        <v>2.6825000000000001</v>
      </c>
      <c r="P10" s="93">
        <v>43129</v>
      </c>
      <c r="Q10" s="93"/>
      <c r="R10" s="93"/>
      <c r="S10" s="93"/>
      <c r="T10" s="93"/>
      <c r="U10" s="93"/>
      <c r="V10" s="92">
        <v>46090.384814814817</v>
      </c>
      <c r="W10" s="1" t="s">
        <v>278</v>
      </c>
    </row>
    <row r="11" spans="1:32" x14ac:dyDescent="0.4">
      <c r="A11" s="1" t="s">
        <v>265</v>
      </c>
      <c r="B11" s="1">
        <v>430360630</v>
      </c>
      <c r="C11" s="1" t="s">
        <v>62</v>
      </c>
      <c r="D11" s="1" t="s">
        <v>26</v>
      </c>
      <c r="E11" s="1" t="s">
        <v>286</v>
      </c>
      <c r="F11" s="1" t="s">
        <v>86</v>
      </c>
      <c r="G11" s="1" t="s">
        <v>63</v>
      </c>
      <c r="H11" s="93">
        <v>5152.7</v>
      </c>
      <c r="I11" s="93">
        <v>5155</v>
      </c>
      <c r="J11" s="93">
        <v>5155.7</v>
      </c>
      <c r="K11" s="93">
        <v>5155.3500000000004</v>
      </c>
      <c r="L11" s="93">
        <v>5197.8999999999996</v>
      </c>
      <c r="M11" s="93">
        <v>5236</v>
      </c>
      <c r="N11" s="93">
        <v>5244.3</v>
      </c>
      <c r="O11" s="93">
        <v>5060</v>
      </c>
      <c r="P11" s="93">
        <v>5510</v>
      </c>
      <c r="Q11" s="93"/>
      <c r="R11" s="93"/>
      <c r="S11" s="93"/>
      <c r="T11" s="93"/>
      <c r="U11" s="93"/>
      <c r="V11" s="92">
        <v>46090.384814814817</v>
      </c>
      <c r="W11" s="1" t="s">
        <v>278</v>
      </c>
    </row>
    <row r="12" spans="1:32" x14ac:dyDescent="0.4">
      <c r="A12" s="1" t="s">
        <v>266</v>
      </c>
      <c r="B12" s="1">
        <v>760200596</v>
      </c>
      <c r="C12" s="1" t="s">
        <v>62</v>
      </c>
      <c r="D12" s="1" t="s">
        <v>27</v>
      </c>
      <c r="E12" s="1" t="s">
        <v>287</v>
      </c>
      <c r="F12" s="1" t="s">
        <v>86</v>
      </c>
      <c r="G12" s="1" t="s">
        <v>63</v>
      </c>
      <c r="H12" s="93">
        <v>84.045000000000002</v>
      </c>
      <c r="I12" s="93">
        <v>84.14</v>
      </c>
      <c r="J12" s="93">
        <v>84.204999999999998</v>
      </c>
      <c r="K12" s="93">
        <v>84.172499999999999</v>
      </c>
      <c r="L12" s="93">
        <v>84.62</v>
      </c>
      <c r="M12" s="93">
        <v>84.805000000000007</v>
      </c>
      <c r="N12" s="93">
        <v>85.155000000000001</v>
      </c>
      <c r="O12" s="93">
        <v>80</v>
      </c>
      <c r="P12" s="93">
        <v>268</v>
      </c>
      <c r="Q12" s="93"/>
      <c r="R12" s="93"/>
      <c r="S12" s="93"/>
      <c r="T12" s="93"/>
      <c r="U12" s="93"/>
      <c r="V12" s="92">
        <v>46090.384814814817</v>
      </c>
      <c r="W12" s="1" t="s">
        <v>278</v>
      </c>
    </row>
    <row r="13" spans="1:32" x14ac:dyDescent="0.4">
      <c r="A13" s="1" t="s">
        <v>267</v>
      </c>
      <c r="B13" s="1">
        <v>712565973</v>
      </c>
      <c r="C13" s="1" t="s">
        <v>62</v>
      </c>
      <c r="D13" s="1" t="s">
        <v>25</v>
      </c>
      <c r="E13" s="1" t="s">
        <v>288</v>
      </c>
      <c r="F13" s="1" t="s">
        <v>86</v>
      </c>
      <c r="G13" s="1" t="s">
        <v>63</v>
      </c>
      <c r="H13" s="93">
        <v>5.7809999999999997</v>
      </c>
      <c r="I13" s="93">
        <v>5.7765000000000004</v>
      </c>
      <c r="J13" s="93">
        <v>5.7785000000000002</v>
      </c>
      <c r="K13" s="93">
        <v>5.7774999999999999</v>
      </c>
      <c r="L13" s="93">
        <v>5.835</v>
      </c>
      <c r="M13" s="93">
        <v>5.8</v>
      </c>
      <c r="N13" s="93">
        <v>5.8</v>
      </c>
      <c r="O13" s="93">
        <v>5.6784999999999997</v>
      </c>
      <c r="P13" s="93">
        <v>111</v>
      </c>
      <c r="Q13" s="93"/>
      <c r="R13" s="93"/>
      <c r="S13" s="93"/>
      <c r="T13" s="93"/>
      <c r="U13" s="93"/>
      <c r="V13" s="92">
        <v>46090.384814814817</v>
      </c>
      <c r="W13" s="1" t="s">
        <v>278</v>
      </c>
    </row>
    <row r="14" spans="1:32" x14ac:dyDescent="0.4">
      <c r="A14" s="1" t="s">
        <v>143</v>
      </c>
      <c r="B14" s="1">
        <v>671574022</v>
      </c>
      <c r="C14" s="1" t="s">
        <v>62</v>
      </c>
      <c r="D14" s="1" t="s">
        <v>28</v>
      </c>
      <c r="E14" s="1" t="s">
        <v>300</v>
      </c>
      <c r="F14" s="1" t="s">
        <v>87</v>
      </c>
      <c r="G14" s="1" t="s">
        <v>63</v>
      </c>
      <c r="H14" s="93">
        <v>468</v>
      </c>
      <c r="I14" s="93">
        <v>467.75</v>
      </c>
      <c r="J14" s="93">
        <v>468</v>
      </c>
      <c r="K14" s="93">
        <v>467.875</v>
      </c>
      <c r="L14" s="93">
        <v>460.5</v>
      </c>
      <c r="M14" s="93">
        <v>464</v>
      </c>
      <c r="N14" s="93">
        <v>476</v>
      </c>
      <c r="O14" s="93">
        <v>463</v>
      </c>
      <c r="P14" s="93">
        <v>121260</v>
      </c>
      <c r="Q14" s="93"/>
      <c r="R14" s="93"/>
      <c r="S14" s="93"/>
      <c r="T14" s="93"/>
      <c r="U14" s="93"/>
      <c r="V14" s="92">
        <v>46090.384814814817</v>
      </c>
      <c r="W14" s="1" t="s">
        <v>278</v>
      </c>
    </row>
    <row r="15" spans="1:32" x14ac:dyDescent="0.4">
      <c r="A15" s="1" t="s">
        <v>185</v>
      </c>
      <c r="B15" s="1">
        <v>642254817</v>
      </c>
      <c r="C15" s="1" t="s">
        <v>62</v>
      </c>
      <c r="D15" s="1" t="s">
        <v>29</v>
      </c>
      <c r="E15" s="1" t="s">
        <v>301</v>
      </c>
      <c r="F15" s="1" t="s">
        <v>87</v>
      </c>
      <c r="G15" s="1" t="s">
        <v>63</v>
      </c>
      <c r="H15" s="93">
        <v>622.75</v>
      </c>
      <c r="I15" s="93">
        <v>622.75</v>
      </c>
      <c r="J15" s="93">
        <v>623</v>
      </c>
      <c r="K15" s="93">
        <v>622.875</v>
      </c>
      <c r="L15" s="93">
        <v>616.75</v>
      </c>
      <c r="M15" s="93">
        <v>625</v>
      </c>
      <c r="N15" s="93">
        <v>641.75</v>
      </c>
      <c r="O15" s="93">
        <v>622</v>
      </c>
      <c r="P15" s="93">
        <v>34661</v>
      </c>
      <c r="Q15" s="93"/>
      <c r="R15" s="93"/>
      <c r="S15" s="93"/>
      <c r="T15" s="93"/>
      <c r="U15" s="93"/>
      <c r="V15" s="92">
        <v>46090.384814814817</v>
      </c>
      <c r="W15" s="1" t="s">
        <v>278</v>
      </c>
    </row>
    <row r="16" spans="1:32" x14ac:dyDescent="0.4">
      <c r="A16" s="1" t="s">
        <v>191</v>
      </c>
      <c r="B16" s="1">
        <v>665643569</v>
      </c>
      <c r="C16" s="1" t="s">
        <v>62</v>
      </c>
      <c r="D16" s="1" t="s">
        <v>31</v>
      </c>
      <c r="E16" s="1" t="s">
        <v>302</v>
      </c>
      <c r="F16" s="1" t="s">
        <v>87</v>
      </c>
      <c r="G16" s="1" t="s">
        <v>63</v>
      </c>
      <c r="H16" s="93">
        <v>1216.5</v>
      </c>
      <c r="I16" s="93">
        <v>1216.5</v>
      </c>
      <c r="J16" s="93">
        <v>1216.75</v>
      </c>
      <c r="K16" s="93">
        <v>1216.625</v>
      </c>
      <c r="L16" s="93">
        <v>1200.75</v>
      </c>
      <c r="M16" s="93">
        <v>1219.5</v>
      </c>
      <c r="N16" s="93">
        <v>1233.75</v>
      </c>
      <c r="O16" s="93">
        <v>1210.5</v>
      </c>
      <c r="P16" s="93">
        <v>62655</v>
      </c>
      <c r="Q16" s="93"/>
      <c r="R16" s="93"/>
      <c r="S16" s="93"/>
      <c r="T16" s="93"/>
      <c r="U16" s="93"/>
      <c r="V16" s="92">
        <v>46090.384814814817</v>
      </c>
      <c r="W16" s="1" t="s">
        <v>278</v>
      </c>
    </row>
    <row r="17" spans="1:23" x14ac:dyDescent="0.4">
      <c r="A17" s="1" t="s">
        <v>140</v>
      </c>
      <c r="B17" s="1">
        <v>634760175</v>
      </c>
      <c r="C17" s="1" t="s">
        <v>62</v>
      </c>
      <c r="D17" s="1" t="s">
        <v>32</v>
      </c>
      <c r="E17" s="1" t="s">
        <v>303</v>
      </c>
      <c r="F17" s="1" t="s">
        <v>69</v>
      </c>
      <c r="G17" s="1" t="s">
        <v>63</v>
      </c>
      <c r="H17" s="93">
        <v>0</v>
      </c>
      <c r="I17" s="93">
        <v>-100</v>
      </c>
      <c r="J17" s="93">
        <v>-100</v>
      </c>
      <c r="K17" s="93">
        <v>-100</v>
      </c>
      <c r="L17" s="93">
        <v>14.1</v>
      </c>
      <c r="M17" s="93">
        <v>0</v>
      </c>
      <c r="N17" s="93"/>
      <c r="O17" s="93"/>
      <c r="P17" s="93">
        <v>0</v>
      </c>
      <c r="Q17" s="93"/>
      <c r="R17" s="93"/>
      <c r="S17" s="93"/>
      <c r="T17" s="93"/>
      <c r="U17" s="93"/>
      <c r="V17" s="92">
        <v>46090.384814814817</v>
      </c>
      <c r="W17" s="1" t="s">
        <v>278</v>
      </c>
    </row>
    <row r="18" spans="1:23" x14ac:dyDescent="0.4">
      <c r="A18" s="1" t="s">
        <v>188</v>
      </c>
      <c r="B18" s="1">
        <v>634760204</v>
      </c>
      <c r="C18" s="1" t="s">
        <v>62</v>
      </c>
      <c r="D18" s="1" t="s">
        <v>33</v>
      </c>
      <c r="E18" s="1" t="s">
        <v>304</v>
      </c>
      <c r="F18" s="1" t="s">
        <v>69</v>
      </c>
      <c r="G18" s="1" t="s">
        <v>63</v>
      </c>
      <c r="H18" s="93">
        <v>0</v>
      </c>
      <c r="I18" s="93">
        <v>-100</v>
      </c>
      <c r="J18" s="93">
        <v>-100</v>
      </c>
      <c r="K18" s="93">
        <v>-100</v>
      </c>
      <c r="L18" s="93">
        <v>293.3</v>
      </c>
      <c r="M18" s="93">
        <v>0</v>
      </c>
      <c r="N18" s="93"/>
      <c r="O18" s="93"/>
      <c r="P18" s="93">
        <v>0</v>
      </c>
      <c r="Q18" s="93"/>
      <c r="R18" s="93"/>
      <c r="S18" s="93"/>
      <c r="T18" s="93"/>
      <c r="U18" s="93"/>
      <c r="V18" s="92">
        <v>46090.384814814817</v>
      </c>
      <c r="W18" s="1" t="s">
        <v>278</v>
      </c>
    </row>
    <row r="19" spans="1:23" x14ac:dyDescent="0.4">
      <c r="A19" s="1" t="s">
        <v>305</v>
      </c>
      <c r="B19" s="1">
        <v>707621000</v>
      </c>
      <c r="C19" s="1" t="s">
        <v>62</v>
      </c>
      <c r="D19" s="1" t="s">
        <v>34</v>
      </c>
      <c r="E19" s="1" t="s">
        <v>305</v>
      </c>
      <c r="F19" s="1" t="s">
        <v>69</v>
      </c>
      <c r="G19" s="1" t="s">
        <v>63</v>
      </c>
      <c r="H19" s="93">
        <v>0</v>
      </c>
      <c r="I19" s="93">
        <v>-1</v>
      </c>
      <c r="J19" s="93">
        <v>-1</v>
      </c>
      <c r="K19" s="93">
        <v>-1</v>
      </c>
      <c r="L19" s="93">
        <v>3230</v>
      </c>
      <c r="M19" s="93">
        <v>0</v>
      </c>
      <c r="N19" s="93"/>
      <c r="O19" s="93"/>
      <c r="P19" s="93">
        <v>0</v>
      </c>
      <c r="Q19" s="93"/>
      <c r="R19" s="93"/>
      <c r="S19" s="93"/>
      <c r="T19" s="93"/>
      <c r="U19" s="93"/>
      <c r="V19" s="92">
        <v>46090.384814814817</v>
      </c>
      <c r="W19" s="1" t="s">
        <v>278</v>
      </c>
    </row>
    <row r="20" spans="1:23" x14ac:dyDescent="0.4">
      <c r="A20" s="1" t="s">
        <v>195</v>
      </c>
      <c r="B20" s="1">
        <v>634760245</v>
      </c>
      <c r="C20" s="1" t="s">
        <v>62</v>
      </c>
      <c r="D20" s="1" t="s">
        <v>70</v>
      </c>
      <c r="E20" s="1" t="s">
        <v>306</v>
      </c>
      <c r="F20" s="1" t="s">
        <v>69</v>
      </c>
      <c r="G20" s="1" t="s">
        <v>63</v>
      </c>
      <c r="H20" s="93">
        <v>64.63</v>
      </c>
      <c r="I20" s="93">
        <v>64.62</v>
      </c>
      <c r="J20" s="93">
        <v>64.64</v>
      </c>
      <c r="K20" s="93">
        <v>64.63</v>
      </c>
      <c r="L20" s="93">
        <v>64.2</v>
      </c>
      <c r="M20" s="93">
        <v>64.2</v>
      </c>
      <c r="N20" s="93">
        <v>65.02</v>
      </c>
      <c r="O20" s="93">
        <v>64.08</v>
      </c>
      <c r="P20" s="93">
        <v>9893</v>
      </c>
      <c r="Q20" s="93"/>
      <c r="R20" s="93"/>
      <c r="S20" s="93"/>
      <c r="T20" s="93"/>
      <c r="U20" s="93"/>
      <c r="V20" s="92">
        <v>46090.384814814817</v>
      </c>
      <c r="W20" s="1" t="s">
        <v>278</v>
      </c>
    </row>
    <row r="21" spans="1:23" x14ac:dyDescent="0.4">
      <c r="A21" s="1" t="s">
        <v>35</v>
      </c>
      <c r="B21" s="1">
        <v>738739101</v>
      </c>
      <c r="C21" s="1" t="s">
        <v>62</v>
      </c>
      <c r="D21" s="1" t="s">
        <v>35</v>
      </c>
      <c r="E21" s="1" t="s">
        <v>307</v>
      </c>
      <c r="F21" s="1" t="s">
        <v>84</v>
      </c>
      <c r="G21" s="1" t="s">
        <v>63</v>
      </c>
      <c r="H21" s="93">
        <v>0</v>
      </c>
      <c r="I21" s="93">
        <v>-100</v>
      </c>
      <c r="J21" s="93">
        <v>-100</v>
      </c>
      <c r="K21" s="93">
        <v>-100</v>
      </c>
      <c r="L21" s="93">
        <v>234.57499999999999</v>
      </c>
      <c r="M21" s="93">
        <v>0</v>
      </c>
      <c r="N21" s="93"/>
      <c r="O21" s="93"/>
      <c r="P21" s="93">
        <v>0</v>
      </c>
      <c r="Q21" s="93"/>
      <c r="R21" s="93"/>
      <c r="S21" s="93"/>
      <c r="T21" s="93"/>
      <c r="U21" s="93"/>
      <c r="V21" s="92">
        <v>46090.384814814817</v>
      </c>
      <c r="W21" s="1" t="s">
        <v>278</v>
      </c>
    </row>
    <row r="22" spans="1:23" x14ac:dyDescent="0.4">
      <c r="A22" s="1" t="s">
        <v>36</v>
      </c>
      <c r="B22" s="1">
        <v>786686904</v>
      </c>
      <c r="C22" s="1" t="s">
        <v>62</v>
      </c>
      <c r="D22" s="1" t="s">
        <v>36</v>
      </c>
      <c r="E22" s="1" t="s">
        <v>308</v>
      </c>
      <c r="F22" s="1" t="s">
        <v>84</v>
      </c>
      <c r="G22" s="1" t="s">
        <v>63</v>
      </c>
      <c r="H22" s="93">
        <v>0</v>
      </c>
      <c r="I22" s="93">
        <v>-100</v>
      </c>
      <c r="J22" s="93">
        <v>-100</v>
      </c>
      <c r="K22" s="93">
        <v>-100</v>
      </c>
      <c r="L22" s="93">
        <v>348.07499999999999</v>
      </c>
      <c r="M22" s="93">
        <v>0</v>
      </c>
      <c r="N22" s="93"/>
      <c r="O22" s="93"/>
      <c r="P22" s="93">
        <v>0</v>
      </c>
      <c r="Q22" s="93"/>
      <c r="R22" s="93"/>
      <c r="S22" s="93"/>
      <c r="T22" s="93"/>
      <c r="U22" s="93"/>
      <c r="V22" s="92">
        <v>46090.384814814817</v>
      </c>
      <c r="W22" s="1" t="s">
        <v>278</v>
      </c>
    </row>
    <row r="23" spans="1:23" x14ac:dyDescent="0.4">
      <c r="A23" s="1" t="s">
        <v>157</v>
      </c>
      <c r="B23" s="1">
        <v>735014937</v>
      </c>
      <c r="C23" s="1" t="s">
        <v>62</v>
      </c>
      <c r="D23" s="1" t="s">
        <v>37</v>
      </c>
      <c r="E23" s="1" t="s">
        <v>309</v>
      </c>
      <c r="F23" s="1" t="s">
        <v>84</v>
      </c>
      <c r="G23" s="1" t="s">
        <v>63</v>
      </c>
      <c r="H23" s="93">
        <v>0</v>
      </c>
      <c r="I23" s="93">
        <v>-100</v>
      </c>
      <c r="J23" s="93">
        <v>-100</v>
      </c>
      <c r="K23" s="93">
        <v>-100</v>
      </c>
      <c r="L23" s="93">
        <v>95.625</v>
      </c>
      <c r="M23" s="93">
        <v>0</v>
      </c>
      <c r="N23" s="93"/>
      <c r="O23" s="93"/>
      <c r="P23" s="93">
        <v>0</v>
      </c>
      <c r="Q23" s="93"/>
      <c r="R23" s="93"/>
      <c r="S23" s="93"/>
      <c r="T23" s="93"/>
      <c r="U23" s="93"/>
      <c r="V23" s="92">
        <v>46090.384814814817</v>
      </c>
      <c r="W23" s="1" t="s">
        <v>278</v>
      </c>
    </row>
    <row r="24" spans="1:23" x14ac:dyDescent="0.4">
      <c r="A24" s="1" t="s">
        <v>273</v>
      </c>
      <c r="B24" s="1">
        <v>792232100</v>
      </c>
      <c r="C24" s="1" t="s">
        <v>62</v>
      </c>
      <c r="D24" s="1" t="s">
        <v>38</v>
      </c>
      <c r="E24" s="1" t="s">
        <v>289</v>
      </c>
      <c r="F24" s="1" t="s">
        <v>69</v>
      </c>
      <c r="G24" s="1" t="s">
        <v>63</v>
      </c>
      <c r="H24" s="93">
        <v>99.02</v>
      </c>
      <c r="I24" s="93">
        <v>99.02</v>
      </c>
      <c r="J24" s="93">
        <v>99.03</v>
      </c>
      <c r="K24" s="93">
        <v>99.025000000000006</v>
      </c>
      <c r="L24" s="93">
        <v>98.71</v>
      </c>
      <c r="M24" s="93">
        <v>99.04</v>
      </c>
      <c r="N24" s="93">
        <v>99.435000000000002</v>
      </c>
      <c r="O24" s="93">
        <v>98.965000000000003</v>
      </c>
      <c r="P24" s="93">
        <v>3043</v>
      </c>
      <c r="Q24" s="93"/>
      <c r="R24" s="93"/>
      <c r="S24" s="93"/>
      <c r="T24" s="93"/>
      <c r="U24" s="93"/>
      <c r="V24" s="92">
        <v>46090.384814814817</v>
      </c>
      <c r="W24" s="1" t="s">
        <v>278</v>
      </c>
    </row>
    <row r="25" spans="1:23" x14ac:dyDescent="0.4">
      <c r="A25" s="1" t="s">
        <v>268</v>
      </c>
      <c r="B25" s="1">
        <v>496647057</v>
      </c>
      <c r="C25" s="1" t="s">
        <v>62</v>
      </c>
      <c r="D25" s="1" t="s">
        <v>60</v>
      </c>
      <c r="E25" s="1" t="s">
        <v>290</v>
      </c>
      <c r="F25" s="1" t="s">
        <v>84</v>
      </c>
      <c r="G25" s="1" t="s">
        <v>63</v>
      </c>
      <c r="H25" s="93">
        <v>1.1616500000000001</v>
      </c>
      <c r="I25" s="93">
        <v>1.1614500000000001</v>
      </c>
      <c r="J25" s="93">
        <v>1.1615500000000001</v>
      </c>
      <c r="K25" s="93">
        <v>1.1615000000000002</v>
      </c>
      <c r="L25" s="93">
        <v>1.1655500000000001</v>
      </c>
      <c r="M25" s="93">
        <v>1.1604000000000001</v>
      </c>
      <c r="N25" s="93">
        <v>1.16245</v>
      </c>
      <c r="O25" s="93">
        <v>1.1560999999999999</v>
      </c>
      <c r="P25" s="93">
        <v>14661</v>
      </c>
      <c r="Q25" s="93"/>
      <c r="R25" s="93"/>
      <c r="S25" s="93"/>
      <c r="T25" s="93"/>
      <c r="U25" s="93"/>
      <c r="V25" s="92">
        <v>46090.384814814817</v>
      </c>
      <c r="W25" s="1" t="s">
        <v>278</v>
      </c>
    </row>
    <row r="26" spans="1:23" x14ac:dyDescent="0.4">
      <c r="A26" s="1" t="s">
        <v>269</v>
      </c>
      <c r="B26" s="1">
        <v>496647091</v>
      </c>
      <c r="C26" s="1" t="s">
        <v>62</v>
      </c>
      <c r="D26" s="1" t="s">
        <v>79</v>
      </c>
      <c r="E26" s="1" t="s">
        <v>291</v>
      </c>
      <c r="F26" s="1" t="s">
        <v>84</v>
      </c>
      <c r="G26" s="1" t="s">
        <v>63</v>
      </c>
      <c r="H26" s="93">
        <v>1.3347</v>
      </c>
      <c r="I26" s="93">
        <v>1.3344</v>
      </c>
      <c r="J26" s="93">
        <v>1.3346</v>
      </c>
      <c r="K26" s="93">
        <v>1.3345</v>
      </c>
      <c r="L26" s="93">
        <v>1.3387</v>
      </c>
      <c r="M26" s="93">
        <v>1.3351</v>
      </c>
      <c r="N26" s="93">
        <v>1.3351</v>
      </c>
      <c r="O26" s="93">
        <v>1.3283</v>
      </c>
      <c r="P26" s="93">
        <v>10401</v>
      </c>
      <c r="Q26" s="93"/>
      <c r="R26" s="93"/>
      <c r="S26" s="93"/>
      <c r="T26" s="93"/>
      <c r="U26" s="93"/>
      <c r="V26" s="92">
        <v>46090.384814814817</v>
      </c>
      <c r="W26" s="1" t="s">
        <v>278</v>
      </c>
    </row>
    <row r="27" spans="1:23" x14ac:dyDescent="0.4">
      <c r="A27" s="1" t="s">
        <v>270</v>
      </c>
      <c r="B27" s="1">
        <v>496647108</v>
      </c>
      <c r="C27" s="1" t="s">
        <v>62</v>
      </c>
      <c r="D27" s="1" t="s">
        <v>61</v>
      </c>
      <c r="E27" s="1" t="s">
        <v>292</v>
      </c>
      <c r="F27" s="1" t="s">
        <v>84</v>
      </c>
      <c r="G27" s="1" t="s">
        <v>63</v>
      </c>
      <c r="H27" s="93">
        <v>6.3670000000000003E-3</v>
      </c>
      <c r="I27" s="93">
        <v>6.3660000000000001E-3</v>
      </c>
      <c r="J27" s="93">
        <v>6.3670000000000003E-3</v>
      </c>
      <c r="K27" s="93">
        <v>6.3665000000000006E-3</v>
      </c>
      <c r="L27" s="93">
        <v>6.3879999999999996E-3</v>
      </c>
      <c r="M27" s="93">
        <v>6.3800000000000003E-3</v>
      </c>
      <c r="N27" s="93">
        <v>6.3800000000000003E-3</v>
      </c>
      <c r="O27" s="93">
        <v>6.3464999999999997E-3</v>
      </c>
      <c r="P27" s="93">
        <v>30276</v>
      </c>
      <c r="Q27" s="93"/>
      <c r="R27" s="93"/>
      <c r="S27" s="93"/>
      <c r="T27" s="93"/>
      <c r="U27" s="93"/>
      <c r="V27" s="92">
        <v>46090.384814814817</v>
      </c>
      <c r="W27" s="1" t="s">
        <v>278</v>
      </c>
    </row>
    <row r="28" spans="1:23" x14ac:dyDescent="0.4">
      <c r="A28" s="1" t="s">
        <v>271</v>
      </c>
      <c r="B28" s="1">
        <v>496879111</v>
      </c>
      <c r="C28" s="1" t="s">
        <v>62</v>
      </c>
      <c r="D28" s="1" t="s">
        <v>81</v>
      </c>
      <c r="E28" s="1" t="s">
        <v>293</v>
      </c>
      <c r="F28" s="1" t="s">
        <v>84</v>
      </c>
      <c r="G28" s="1" t="s">
        <v>63</v>
      </c>
      <c r="H28" s="93">
        <v>0.74080000000000001</v>
      </c>
      <c r="I28" s="93">
        <v>0.74070000000000003</v>
      </c>
      <c r="J28" s="93">
        <v>0.74080000000000001</v>
      </c>
      <c r="K28" s="93">
        <v>0.74075000000000002</v>
      </c>
      <c r="L28" s="93">
        <v>0.73919999999999997</v>
      </c>
      <c r="M28" s="93">
        <v>0.73875000000000002</v>
      </c>
      <c r="N28" s="93">
        <v>0.74139999999999995</v>
      </c>
      <c r="O28" s="93">
        <v>0.73799999999999999</v>
      </c>
      <c r="P28" s="93">
        <v>3189</v>
      </c>
      <c r="Q28" s="93"/>
      <c r="R28" s="93"/>
      <c r="S28" s="93"/>
      <c r="T28" s="93"/>
      <c r="U28" s="93"/>
      <c r="V28" s="92">
        <v>46090.384814814817</v>
      </c>
      <c r="W28" s="1" t="s">
        <v>278</v>
      </c>
    </row>
    <row r="29" spans="1:23" x14ac:dyDescent="0.4">
      <c r="A29" s="1" t="s">
        <v>272</v>
      </c>
      <c r="B29" s="1">
        <v>496647009</v>
      </c>
      <c r="C29" s="1" t="s">
        <v>62</v>
      </c>
      <c r="D29" s="1" t="s">
        <v>83</v>
      </c>
      <c r="E29" s="1" t="s">
        <v>294</v>
      </c>
      <c r="F29" s="1" t="s">
        <v>84</v>
      </c>
      <c r="G29" s="1" t="s">
        <v>63</v>
      </c>
      <c r="H29" s="93">
        <v>0.7</v>
      </c>
      <c r="I29" s="93">
        <v>0.69989999999999997</v>
      </c>
      <c r="J29" s="93">
        <v>0.7</v>
      </c>
      <c r="K29" s="93">
        <v>0.69994999999999996</v>
      </c>
      <c r="L29" s="93">
        <v>0.70189999999999997</v>
      </c>
      <c r="M29" s="93">
        <v>0.69835000000000003</v>
      </c>
      <c r="N29" s="93">
        <v>0.70155000000000001</v>
      </c>
      <c r="O29" s="93">
        <v>0.69489999999999996</v>
      </c>
      <c r="P29" s="93">
        <v>11221</v>
      </c>
      <c r="Q29" s="93"/>
      <c r="R29" s="93"/>
      <c r="S29" s="93"/>
      <c r="T29" s="93"/>
      <c r="U29" s="93"/>
      <c r="V29" s="92">
        <v>46090.384814814817</v>
      </c>
      <c r="W29" s="1" t="s">
        <v>278</v>
      </c>
    </row>
    <row r="30" spans="1:23" x14ac:dyDescent="0.4">
      <c r="A30" s="1" t="s">
        <v>275</v>
      </c>
      <c r="B30" s="1">
        <v>815824224</v>
      </c>
      <c r="C30" s="1" t="s">
        <v>62</v>
      </c>
      <c r="D30" s="1" t="s">
        <v>46</v>
      </c>
      <c r="E30" s="1" t="s">
        <v>295</v>
      </c>
      <c r="F30" s="1" t="s">
        <v>87</v>
      </c>
      <c r="G30" s="1" t="s">
        <v>63</v>
      </c>
      <c r="H30" s="93">
        <v>115.40625</v>
      </c>
      <c r="I30" s="93">
        <v>115.375</v>
      </c>
      <c r="J30" s="93">
        <v>115.40625</v>
      </c>
      <c r="K30" s="93">
        <v>115.390625</v>
      </c>
      <c r="L30" s="93">
        <v>116.1875</v>
      </c>
      <c r="M30" s="93">
        <v>115.8125</v>
      </c>
      <c r="N30" s="93">
        <v>115.84375</v>
      </c>
      <c r="O30" s="93">
        <v>115.0625</v>
      </c>
      <c r="P30" s="93">
        <v>116350</v>
      </c>
      <c r="Q30" s="93"/>
      <c r="R30" s="93"/>
      <c r="S30" s="93"/>
      <c r="T30" s="93"/>
      <c r="U30" s="93"/>
      <c r="V30" s="92">
        <v>46090.384814814817</v>
      </c>
      <c r="W30" s="1" t="s">
        <v>278</v>
      </c>
    </row>
    <row r="31" spans="1:23" x14ac:dyDescent="0.4">
      <c r="A31" s="1" t="s">
        <v>276</v>
      </c>
      <c r="B31" s="1">
        <v>815824229</v>
      </c>
      <c r="C31" s="1" t="s">
        <v>62</v>
      </c>
      <c r="D31" s="1" t="s">
        <v>72</v>
      </c>
      <c r="E31" s="1" t="s">
        <v>310</v>
      </c>
      <c r="F31" s="1" t="s">
        <v>87</v>
      </c>
      <c r="G31" s="1" t="s">
        <v>63</v>
      </c>
      <c r="H31" s="93">
        <v>111.984375</v>
      </c>
      <c r="I31" s="93">
        <v>111.984375</v>
      </c>
      <c r="J31" s="93">
        <v>112</v>
      </c>
      <c r="K31" s="93">
        <v>111.9921875</v>
      </c>
      <c r="L31" s="93">
        <v>112.4375</v>
      </c>
      <c r="M31" s="93">
        <v>112.1875</v>
      </c>
      <c r="N31" s="93">
        <v>112.203125</v>
      </c>
      <c r="O31" s="93">
        <v>111.828125</v>
      </c>
      <c r="P31" s="93">
        <v>637038</v>
      </c>
      <c r="Q31" s="93"/>
      <c r="R31" s="93"/>
      <c r="S31" s="93"/>
      <c r="T31" s="93"/>
      <c r="U31" s="93"/>
      <c r="V31" s="92">
        <v>46090.384814814817</v>
      </c>
      <c r="W31" s="1" t="s">
        <v>278</v>
      </c>
    </row>
    <row r="32" spans="1:23" x14ac:dyDescent="0.4">
      <c r="A32" s="1" t="s">
        <v>260</v>
      </c>
      <c r="B32" s="1">
        <v>813041669</v>
      </c>
      <c r="C32" s="1" t="s">
        <v>62</v>
      </c>
      <c r="D32" s="1" t="s">
        <v>74</v>
      </c>
      <c r="E32" s="1" t="s">
        <v>312</v>
      </c>
      <c r="F32" s="1" t="s">
        <v>85</v>
      </c>
      <c r="G32" s="1" t="s">
        <v>60</v>
      </c>
      <c r="H32" s="93">
        <v>126.5</v>
      </c>
      <c r="I32" s="93">
        <v>126.49</v>
      </c>
      <c r="J32" s="93">
        <v>126.5</v>
      </c>
      <c r="K32" s="93">
        <v>126.495</v>
      </c>
      <c r="L32" s="93">
        <v>126.93</v>
      </c>
      <c r="M32" s="93">
        <v>126.7</v>
      </c>
      <c r="N32" s="93">
        <v>126.7</v>
      </c>
      <c r="O32" s="93">
        <v>125.94</v>
      </c>
      <c r="P32" s="93">
        <v>353033</v>
      </c>
      <c r="Q32" s="93"/>
      <c r="R32" s="93"/>
      <c r="S32" s="93"/>
      <c r="T32" s="93"/>
      <c r="U32" s="93"/>
      <c r="V32" s="92">
        <v>46090.384814814817</v>
      </c>
      <c r="W32" s="1" t="s">
        <v>278</v>
      </c>
    </row>
    <row r="33" spans="1:23" x14ac:dyDescent="0.4">
      <c r="A33" s="1" t="s">
        <v>261</v>
      </c>
      <c r="B33" s="1">
        <v>813041681</v>
      </c>
      <c r="C33" s="1" t="s">
        <v>62</v>
      </c>
      <c r="D33" s="1" t="s">
        <v>76</v>
      </c>
      <c r="E33" s="1" t="s">
        <v>296</v>
      </c>
      <c r="F33" s="1" t="s">
        <v>85</v>
      </c>
      <c r="G33" s="1" t="s">
        <v>60</v>
      </c>
      <c r="H33" s="93">
        <v>111.38</v>
      </c>
      <c r="I33" s="93">
        <v>111.36</v>
      </c>
      <c r="J33" s="93">
        <v>111.38</v>
      </c>
      <c r="K33" s="93">
        <v>111.37</v>
      </c>
      <c r="L33" s="93">
        <v>110.88</v>
      </c>
      <c r="M33" s="93">
        <v>111</v>
      </c>
      <c r="N33" s="93">
        <v>111.64</v>
      </c>
      <c r="O33" s="93">
        <v>110.14</v>
      </c>
      <c r="P33" s="93">
        <v>49976</v>
      </c>
      <c r="Q33" s="93"/>
      <c r="R33" s="93"/>
      <c r="S33" s="93"/>
      <c r="T33" s="93"/>
      <c r="U33" s="93"/>
      <c r="V33" s="92">
        <v>46090.384814814817</v>
      </c>
      <c r="W33" s="1" t="s">
        <v>278</v>
      </c>
    </row>
    <row r="34" spans="1:23" x14ac:dyDescent="0.4">
      <c r="A34" s="1" t="s">
        <v>262</v>
      </c>
      <c r="B34" s="1">
        <v>813041663</v>
      </c>
      <c r="C34" s="1" t="s">
        <v>62</v>
      </c>
      <c r="D34" s="1" t="s">
        <v>47</v>
      </c>
      <c r="E34" s="1" t="s">
        <v>297</v>
      </c>
      <c r="F34" s="1" t="s">
        <v>85</v>
      </c>
      <c r="G34" s="1" t="s">
        <v>60</v>
      </c>
      <c r="H34" s="93">
        <v>117.61</v>
      </c>
      <c r="I34" s="93">
        <v>117.61</v>
      </c>
      <c r="J34" s="93">
        <v>117.62</v>
      </c>
      <c r="K34" s="93">
        <v>117.61500000000001</v>
      </c>
      <c r="L34" s="93">
        <v>118.6</v>
      </c>
      <c r="M34" s="93">
        <v>117.62</v>
      </c>
      <c r="N34" s="93">
        <v>117.84</v>
      </c>
      <c r="O34" s="93">
        <v>117.42</v>
      </c>
      <c r="P34" s="93">
        <v>81733</v>
      </c>
      <c r="Q34" s="93"/>
      <c r="R34" s="93"/>
      <c r="S34" s="93"/>
      <c r="T34" s="93"/>
      <c r="U34" s="93"/>
      <c r="V34" s="92">
        <v>46090.384814814817</v>
      </c>
      <c r="W34" s="1" t="s">
        <v>278</v>
      </c>
    </row>
    <row r="35" spans="1:23" x14ac:dyDescent="0.4">
      <c r="A35" s="1" t="s">
        <v>313</v>
      </c>
      <c r="B35" s="1">
        <v>479624278</v>
      </c>
      <c r="C35" s="1" t="s">
        <v>198</v>
      </c>
      <c r="D35" s="1" t="s">
        <v>44</v>
      </c>
      <c r="E35" s="1" t="s">
        <v>298</v>
      </c>
      <c r="F35" s="1" t="s">
        <v>202</v>
      </c>
      <c r="G35" s="1" t="s">
        <v>63</v>
      </c>
      <c r="H35" s="93">
        <v>67524.5</v>
      </c>
      <c r="I35" s="93">
        <v>67524.5</v>
      </c>
      <c r="J35" s="93">
        <v>67524.75</v>
      </c>
      <c r="K35" s="93">
        <v>67524.625</v>
      </c>
      <c r="L35" s="93">
        <v>67317.25</v>
      </c>
      <c r="M35" s="93"/>
      <c r="N35" s="93">
        <v>68748</v>
      </c>
      <c r="O35" s="93">
        <v>65471</v>
      </c>
      <c r="P35" s="93">
        <v>148.76280749</v>
      </c>
      <c r="Q35" s="93"/>
      <c r="R35" s="93"/>
      <c r="S35" s="93"/>
      <c r="T35" s="93"/>
      <c r="U35" s="93"/>
      <c r="V35" s="92">
        <v>46090.384814814817</v>
      </c>
      <c r="W35" s="1" t="s">
        <v>278</v>
      </c>
    </row>
    <row r="36" spans="1:23" x14ac:dyDescent="0.4">
      <c r="A36" s="1" t="s">
        <v>199</v>
      </c>
      <c r="B36" s="1">
        <v>495759171</v>
      </c>
      <c r="C36" s="1" t="s">
        <v>198</v>
      </c>
      <c r="D36" s="1" t="s">
        <v>45</v>
      </c>
      <c r="E36" s="1" t="s">
        <v>299</v>
      </c>
      <c r="F36" s="1" t="s">
        <v>202</v>
      </c>
      <c r="G36" s="1" t="s">
        <v>63</v>
      </c>
      <c r="H36" s="93">
        <v>1985.5</v>
      </c>
      <c r="I36" s="93">
        <v>1985.45</v>
      </c>
      <c r="J36" s="93">
        <v>1985.5</v>
      </c>
      <c r="K36" s="93">
        <v>1985.4749999999999</v>
      </c>
      <c r="L36" s="93">
        <v>1964.3</v>
      </c>
      <c r="M36" s="93"/>
      <c r="N36" s="93">
        <v>2013.05</v>
      </c>
      <c r="O36" s="93">
        <v>1914.8</v>
      </c>
      <c r="P36" s="93">
        <v>1704.4242436699999</v>
      </c>
      <c r="Q36" s="93"/>
      <c r="R36" s="93"/>
      <c r="S36" s="93"/>
      <c r="T36" s="93"/>
      <c r="U36" s="93"/>
      <c r="V36" s="92">
        <v>46090.384814814817</v>
      </c>
      <c r="W36" s="1" t="s">
        <v>278</v>
      </c>
    </row>
    <row r="37" spans="1:23" x14ac:dyDescent="0.4"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2"/>
    </row>
    <row r="38" spans="1:23" x14ac:dyDescent="0.4"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2"/>
    </row>
    <row r="39" spans="1:23" x14ac:dyDescent="0.4"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2"/>
    </row>
    <row r="40" spans="1:23" x14ac:dyDescent="0.4"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</row>
    <row r="41" spans="1:23" x14ac:dyDescent="0.4"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</row>
    <row r="42" spans="1:23" x14ac:dyDescent="0.4"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</row>
    <row r="43" spans="1:23" x14ac:dyDescent="0.4"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</row>
    <row r="44" spans="1:23" x14ac:dyDescent="0.4"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</row>
    <row r="45" spans="1:23" x14ac:dyDescent="0.4"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</row>
    <row r="46" spans="1:23" x14ac:dyDescent="0.4"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DE7A-BF08-4200-BB11-61B452324713}">
  <dimension ref="A1:C39"/>
  <sheetViews>
    <sheetView showGridLines="0" workbookViewId="0"/>
  </sheetViews>
  <sheetFormatPr defaultRowHeight="13.15" x14ac:dyDescent="0.4"/>
  <cols>
    <col min="1" max="1" width="22" style="81" customWidth="1"/>
    <col min="2" max="2" width="10" style="1" customWidth="1"/>
    <col min="3" max="3" width="110" style="1" customWidth="1"/>
    <col min="4" max="16384" width="9.06640625" style="1"/>
  </cols>
  <sheetData>
    <row r="1" spans="1:3" x14ac:dyDescent="0.4">
      <c r="A1" s="86" t="s">
        <v>232</v>
      </c>
      <c r="B1" s="86" t="s">
        <v>249</v>
      </c>
      <c r="C1" s="86" t="s">
        <v>248</v>
      </c>
    </row>
    <row r="2" spans="1:3" x14ac:dyDescent="0.4">
      <c r="A2" s="87">
        <v>46086.543078703704</v>
      </c>
      <c r="B2" s="84" t="s">
        <v>314</v>
      </c>
      <c r="C2" s="84" t="s">
        <v>315</v>
      </c>
    </row>
    <row r="3" spans="1:3" x14ac:dyDescent="0.4">
      <c r="A3" s="87">
        <v>46086.543090277781</v>
      </c>
      <c r="B3" s="84" t="s">
        <v>314</v>
      </c>
      <c r="C3" s="84" t="s">
        <v>316</v>
      </c>
    </row>
    <row r="4" spans="1:3" x14ac:dyDescent="0.4">
      <c r="A4" s="87">
        <v>46086.54310185185</v>
      </c>
      <c r="B4" s="84" t="s">
        <v>314</v>
      </c>
      <c r="C4" s="84" t="s">
        <v>317</v>
      </c>
    </row>
    <row r="5" spans="1:3" x14ac:dyDescent="0.4">
      <c r="A5" s="85">
        <v>46090.383530092593</v>
      </c>
      <c r="B5" s="1" t="s">
        <v>314</v>
      </c>
      <c r="C5" s="1" t="s">
        <v>315</v>
      </c>
    </row>
    <row r="6" spans="1:3" x14ac:dyDescent="0.4">
      <c r="A6" s="85">
        <v>46090.38354166667</v>
      </c>
      <c r="B6" s="1" t="s">
        <v>314</v>
      </c>
      <c r="C6" s="1" t="s">
        <v>316</v>
      </c>
    </row>
    <row r="7" spans="1:3" x14ac:dyDescent="0.4">
      <c r="A7" s="85">
        <v>46090.38354166667</v>
      </c>
      <c r="B7" s="81" t="s">
        <v>314</v>
      </c>
      <c r="C7" s="81" t="s">
        <v>317</v>
      </c>
    </row>
    <row r="8" spans="1:3" x14ac:dyDescent="0.4">
      <c r="A8" s="85"/>
      <c r="B8" s="81"/>
      <c r="C8" s="81"/>
    </row>
    <row r="9" spans="1:3" x14ac:dyDescent="0.4">
      <c r="A9" s="85"/>
      <c r="B9" s="81"/>
      <c r="C9" s="81"/>
    </row>
    <row r="10" spans="1:3" x14ac:dyDescent="0.4">
      <c r="A10" s="85"/>
    </row>
    <row r="11" spans="1:3" x14ac:dyDescent="0.4">
      <c r="A11" s="85"/>
    </row>
    <row r="12" spans="1:3" x14ac:dyDescent="0.4">
      <c r="A12" s="85"/>
    </row>
    <row r="13" spans="1:3" x14ac:dyDescent="0.4">
      <c r="A13" s="85"/>
    </row>
    <row r="14" spans="1:3" x14ac:dyDescent="0.4">
      <c r="A14" s="85"/>
    </row>
    <row r="15" spans="1:3" x14ac:dyDescent="0.4">
      <c r="A15" s="85"/>
    </row>
    <row r="16" spans="1:3" x14ac:dyDescent="0.4">
      <c r="A16" s="85"/>
    </row>
    <row r="17" spans="1:1" x14ac:dyDescent="0.4">
      <c r="A17" s="85"/>
    </row>
    <row r="18" spans="1:1" x14ac:dyDescent="0.4">
      <c r="A18" s="85"/>
    </row>
    <row r="19" spans="1:1" x14ac:dyDescent="0.4">
      <c r="A19" s="85"/>
    </row>
    <row r="20" spans="1:1" x14ac:dyDescent="0.4">
      <c r="A20" s="85"/>
    </row>
    <row r="21" spans="1:1" x14ac:dyDescent="0.4">
      <c r="A21" s="85"/>
    </row>
    <row r="22" spans="1:1" x14ac:dyDescent="0.4">
      <c r="A22" s="85"/>
    </row>
    <row r="23" spans="1:1" x14ac:dyDescent="0.4">
      <c r="A23" s="85"/>
    </row>
    <row r="24" spans="1:1" x14ac:dyDescent="0.4">
      <c r="A24" s="85"/>
    </row>
    <row r="25" spans="1:1" x14ac:dyDescent="0.4">
      <c r="A25" s="85"/>
    </row>
    <row r="26" spans="1:1" x14ac:dyDescent="0.4">
      <c r="A26" s="85"/>
    </row>
    <row r="27" spans="1:1" x14ac:dyDescent="0.4">
      <c r="A27" s="85"/>
    </row>
    <row r="28" spans="1:1" x14ac:dyDescent="0.4">
      <c r="A28" s="85"/>
    </row>
    <row r="29" spans="1:1" x14ac:dyDescent="0.4">
      <c r="A29" s="85"/>
    </row>
    <row r="30" spans="1:1" x14ac:dyDescent="0.4">
      <c r="A30" s="85"/>
    </row>
    <row r="31" spans="1:1" x14ac:dyDescent="0.4">
      <c r="A31" s="85"/>
    </row>
    <row r="32" spans="1:1" x14ac:dyDescent="0.4">
      <c r="A32" s="85"/>
    </row>
    <row r="33" spans="1:1" x14ac:dyDescent="0.4">
      <c r="A33" s="85"/>
    </row>
    <row r="34" spans="1:1" x14ac:dyDescent="0.4">
      <c r="A34" s="85"/>
    </row>
    <row r="35" spans="1:1" x14ac:dyDescent="0.4">
      <c r="A35" s="85"/>
    </row>
    <row r="36" spans="1:1" x14ac:dyDescent="0.4">
      <c r="A36" s="85"/>
    </row>
    <row r="37" spans="1:1" x14ac:dyDescent="0.4">
      <c r="A37" s="85"/>
    </row>
    <row r="38" spans="1:1" x14ac:dyDescent="0.4">
      <c r="A38" s="85"/>
    </row>
    <row r="39" spans="1:1" x14ac:dyDescent="0.4">
      <c r="A39" s="8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Blotter</vt:lpstr>
      <vt:lpstr>Cash_Mgmt</vt:lpstr>
      <vt:lpstr>NAV</vt:lpstr>
      <vt:lpstr>PLB</vt:lpstr>
      <vt:lpstr>PLB_chart</vt:lpstr>
      <vt:lpstr>Multiplier</vt:lpstr>
      <vt:lpstr>Trades</vt:lpstr>
      <vt:lpstr>Config</vt:lpstr>
      <vt:lpstr>Symbols</vt:lpstr>
      <vt:lpstr>Prices</vt:lpstr>
      <vt:lpstr>Log</vt:lpstr>
      <vt:lpstr>NAV!Print_Area</vt:lpstr>
      <vt:lpstr>PLB!Print_Area</vt:lpstr>
      <vt:lpstr>PLB_chart!Print_Area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Patrese</dc:creator>
  <cp:lastModifiedBy>Simone Patrese</cp:lastModifiedBy>
  <cp:lastPrinted>2026-03-04T09:30:03Z</cp:lastPrinted>
  <dcterms:created xsi:type="dcterms:W3CDTF">2023-04-21T08:37:04Z</dcterms:created>
  <dcterms:modified xsi:type="dcterms:W3CDTF">2026-03-09T08:49:31Z</dcterms:modified>
</cp:coreProperties>
</file>