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587" documentId="13_ncr:1_{6F5069F1-F0E7-4440-AA6D-4AFA11BBED1B}" xr6:coauthVersionLast="47" xr6:coauthVersionMax="47" xr10:uidLastSave="{51E59DA7-6D39-42AA-AEDE-610B11AB486B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4" i="3" l="1"/>
  <c r="W71" i="6"/>
  <c r="V71" i="6"/>
  <c r="U71" i="6"/>
  <c r="T71" i="6" s="1"/>
  <c r="W70" i="6"/>
  <c r="V70" i="6"/>
  <c r="U70" i="6"/>
  <c r="T70" i="6" s="1"/>
  <c r="R10" i="2"/>
  <c r="N10" i="2"/>
  <c r="E10" i="2" a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10" i="2" l="1"/>
  <c r="R24" i="3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L20" i="3" l="1"/>
  <c r="S20" i="3" s="1"/>
  <c r="T20" i="3" s="1"/>
  <c r="N20" i="3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C4" i="2"/>
  <c r="U4" i="2" s="1"/>
  <c r="J19" i="3"/>
  <c r="R19" i="3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0" i="3" l="1"/>
  <c r="E9" i="2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C12" i="3" l="1" a="1"/>
  <c r="C12" i="3" s="1"/>
  <c r="M4" i="2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sharedStrings.xml><?xml version="1.0" encoding="utf-8"?>
<sst xmlns="http://schemas.openxmlformats.org/spreadsheetml/2006/main" count="1469" uniqueCount="346">
  <si>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</si>
  <si>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</si>
  <si>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</si>
  <si>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</si>
  <si>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</si>
  <si>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</si>
  <si>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</si>
  <si>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</si>
  <si>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</si>
  <si>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</si>
  <si>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</si>
  <si>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</si>
  <si>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</si>
  <si>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</si>
  <si>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</si>
  <si>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</si>
  <si>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</si>
  <si>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</si>
  <si>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</si>
  <si>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</si>
  <si>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</si>
  <si>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</si>
  <si>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</si>
  <si>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</si>
  <si>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</si>
  <si>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</si>
  <si>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</si>
  <si>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</si>
  <si>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</si>
  <si>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</si>
  <si>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</si>
  <si>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</si>
  <si>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</si>
  <si>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</si>
  <si>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</si>
  <si>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</si>
  <si>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</si>
  <si>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</si>
  <si>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</si>
  <si>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</si>
  <si>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</si>
  <si>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</si>
  <si>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</si>
  <si>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</si>
  <si>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</si>
  <si>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</si>
  <si>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</si>
  <si>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</si>
  <si>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</si>
  <si>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</si>
  <si>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</si>
  <si>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</si>
  <si>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</si>
  <si>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</si>
  <si>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</si>
  <si>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</si>
  <si>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</si>
  <si>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</si>
  <si>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</si>
  <si>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</si>
  <si>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</si>
  <si>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</si>
  <si>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</si>
  <si>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</si>
  <si>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</si>
  <si>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</si>
  <si>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</si>
  <si>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</si>
  <si>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</si>
  <si>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</si>
  <si>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</si>
  <si>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</si>
  <si>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</si>
  <si>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</si>
  <si>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</si>
  <si>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</si>
  <si>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</si>
  <si>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</si>
  <si>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</si>
  <si>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</si>
  <si>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</si>
  <si>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</si>
  <si>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</si>
  <si>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</si>
  <si>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</si>
  <si>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</si>
  <si>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</si>
  <si>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</si>
  <si>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</si>
  <si>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</si>
  <si>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</si>
  <si>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</si>
  <si>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</si>
  <si>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</si>
  <si>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</si>
  <si>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</si>
  <si>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</si>
  <si>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</si>
  <si>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</si>
  <si>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</si>
  <si>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</si>
  <si>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</si>
  <si>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</si>
  <si>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</si>
  <si>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</si>
  <si>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</si>
  <si>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</si>
  <si>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</si>
  <si>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</si>
  <si>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</si>
  <si>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</si>
  <si>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</si>
  <si>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</si>
  <si>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</si>
  <si>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</si>
  <si>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</si>
  <si>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</si>
  <si>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</si>
  <si>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</si>
  <si>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</si>
  <si>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</si>
  <si>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</si>
  <si>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</si>
  <si>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</si>
  <si>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</si>
  <si>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</si>
  <si>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</si>
  <si>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</si>
  <si>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</si>
  <si>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</si>
  <si>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</si>
  <si>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</si>
  <si>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</si>
  <si>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</si>
  <si>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</si>
  <si>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</si>
  <si>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</si>
  <si>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</si>
  <si>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</si>
  <si>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</si>
  <si>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</si>
  <si>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</si>
  <si>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</si>
  <si>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</si>
  <si>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</si>
  <si>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</si>
  <si>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</si>
  <si>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</si>
  <si>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</si>
  <si>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</si>
  <si>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</si>
  <si>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</si>
  <si>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</si>
  <si>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</si>
  <si>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</si>
  <si>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</si>
  <si>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</si>
  <si>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</si>
  <si>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</si>
  <si>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</si>
  <si>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</si>
  <si>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</si>
  <si>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</si>
  <si>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</si>
  <si>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</si>
  <si>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</si>
  <si>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</si>
  <si>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</si>
  <si>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</si>
  <si>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</si>
  <si>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</si>
  <si>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</si>
  <si>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</si>
  <si>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</si>
  <si>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</si>
  <si>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</si>
  <si>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</si>
  <si>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</si>
  <si>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</si>
  <si>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</si>
  <si>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</si>
  <si>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</si>
  <si>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</si>
  <si>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</si>
  <si>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</si>
  <si>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</si>
  <si>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</si>
  <si>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</si>
  <si>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</si>
  <si>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</si>
  <si>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</si>
  <si>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</si>
  <si>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</si>
  <si>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</si>
  <si>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</si>
  <si>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</si>
  <si>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</si>
  <si>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</si>
  <si>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</si>
  <si>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</si>
  <si>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</si>
  <si>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</si>
  <si>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</si>
  <si>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</si>
  <si>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</si>
  <si>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</si>
  <si>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</si>
  <si>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</si>
  <si>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</si>
  <si>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</si>
  <si>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</si>
  <si>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</si>
  <si>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</si>
  <si>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</si>
  <si>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</si>
  <si>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</si>
  <si>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</si>
  <si>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</si>
  <si>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</si>
  <si>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</si>
  <si>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</si>
  <si>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</si>
  <si>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</si>
  <si>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</si>
  <si>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</si>
  <si>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</si>
  <si>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</si>
  <si>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</si>
  <si>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</si>
  <si>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</si>
  <si>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</si>
  <si>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</si>
  <si>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</si>
  <si>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</si>
  <si>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</si>
  <si>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</si>
  <si>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</si>
  <si>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</si>
  <si>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</si>
  <si>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</si>
  <si>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</si>
  <si>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</si>
  <si>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</si>
  <si>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</si>
  <si>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</si>
  <si>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</si>
  <si>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</si>
  <si>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</si>
  <si>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</si>
  <si>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</si>
  <si>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</si>
  <si>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</si>
  <si>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</si>
  <si>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</si>
  <si>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</si>
  <si>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</si>
  <si>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</si>
  <si>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</si>
  <si>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</si>
  <si>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</si>
  <si>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</si>
  <si>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</si>
  <si>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</si>
  <si>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</si>
  <si>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</si>
  <si>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</si>
  <si>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</si>
  <si>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</si>
  <si>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</si>
  <si>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</si>
  <si>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</si>
  <si>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</si>
  <si>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</si>
  <si>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</si>
  <si>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</si>
  <si>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</si>
  <si>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</si>
  <si>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</si>
  <si>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</si>
  <si>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</si>
  <si>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</si>
  <si>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</si>
  <si>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</si>
  <si>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</si>
  <si>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</si>
  <si>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</si>
  <si>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</si>
  <si>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</si>
  <si>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</si>
  <si>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</si>
  <si>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</si>
  <si>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</si>
  <si>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</si>
  <si>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</si>
  <si>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</si>
  <si>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</si>
  <si>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</si>
  <si>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</si>
  <si>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</si>
  <si>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</si>
  <si>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</si>
  <si>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</si>
  <si>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</si>
  <si>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</si>
  <si>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</si>
  <si>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</si>
  <si>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</si>
  <si>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</si>
  <si>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</si>
  <si>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</si>
  <si>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</si>
  <si>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</si>
  <si>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</si>
  <si>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</si>
  <si>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</si>
  <si>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</si>
  <si>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</si>
  <si>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</si>
  <si>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</si>
  <si>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</si>
  <si>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</si>
  <si>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NKD</t>
  </si>
  <si>
    <t>NKDM6</t>
  </si>
  <si>
    <t>NKD 12JUN26</t>
  </si>
  <si>
    <t>Long NKD Futures</t>
  </si>
  <si>
    <t>OGM6 C5500</t>
  </si>
  <si>
    <t>OGM6 C4930</t>
  </si>
  <si>
    <t>C</t>
  </si>
  <si>
    <t>OG</t>
  </si>
  <si>
    <t>Long GC Call Spread</t>
  </si>
  <si>
    <t>GC JUN26 4930 C</t>
  </si>
  <si>
    <t>GC JUN26 5500 C</t>
  </si>
  <si>
    <t>RISK</t>
  </si>
  <si>
    <t>Close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</si>
  <si>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</si>
  <si>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</si>
  <si>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</si>
  <si>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</si>
  <si>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</si>
  <si>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</si>
  <si>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</si>
  <si>
    <t>EUR 15JUN26</t>
  </si>
  <si>
    <t>INFO</t>
  </si>
  <si>
    <t>Starting. host=127.0.0.1 port=7497 clientId=11 mktDataType=3 interval=0.25s</t>
  </si>
  <si>
    <t>Connected to TWS.</t>
  </si>
  <si>
    <t>Loaded 38 contracts from Symbols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</si>
</sst>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5.5731100143264323E-2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8.6077510632010856E-2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1086.0775106320109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9.7108999999995227E-4</c:v>
                </c:pt>
                <c:pt idx="3">
                  <c:v>-8.6131300000000799E-3</c:v>
                </c:pt>
                <c:pt idx="4">
                  <c:v>-8.6131300000000799E-3</c:v>
                </c:pt>
                <c:pt idx="5">
                  <c:v>1.7621869999999928E-2</c:v>
                </c:pt>
                <c:pt idx="6">
                  <c:v>7.715869999999958E-3</c:v>
                </c:pt>
                <c:pt idx="7">
                  <c:v>-1.1435050000000446E-3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1.9425190632011091E-2</c:v>
                </c:pt>
                <c:pt idx="2">
                  <c:v>2.0396280632011043E-2</c:v>
                </c:pt>
                <c:pt idx="3">
                  <c:v>1.4682060632011051E-2</c:v>
                </c:pt>
                <c:pt idx="4">
                  <c:v>3.0054590632011102E-2</c:v>
                </c:pt>
                <c:pt idx="5">
                  <c:v>7.4665330632011084E-2</c:v>
                </c:pt>
                <c:pt idx="6">
                  <c:v>7.4770290632011127E-2</c:v>
                </c:pt>
                <c:pt idx="7">
                  <c:v>8.1832790632011321E-2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3" zoomScaleNormal="93" workbookViewId="0">
      <selection activeCell="B29" sqref="B29"/>
    </sheetView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53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46128</v>
      </c>
    </row>
    <row r="2" spans="2:11" x14ac:dyDescent="0.4">
      <c r="B2" s="32" t="s">
        <v>107</v>
      </c>
      <c r="C2" s="37" t="s">
        <v>333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1086077.5106320109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86077.510632010832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8.6077510632010856E-2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5.5731100143264323E-2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33355.279999999955</v>
      </c>
      <c r="D7" s="3">
        <f ca="1">C7/C3</f>
        <v>3.0711693846408653E-2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119432.79063201079</v>
      </c>
      <c r="D8" s="3">
        <f ca="1">C5+D7</f>
        <v>0.11678920447841951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1184731.25</v>
      </c>
      <c r="D9" s="3">
        <f ca="1">C9/$C$3</f>
        <v>1.0908348975116706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10010</v>
      </c>
      <c r="D10" s="3">
        <f t="shared" ref="D10:D14" ca="1" si="0">C10/$C$3</f>
        <v>9.2166534174664711E-3</v>
      </c>
      <c r="H10" s="44"/>
    </row>
    <row r="11" spans="2:11" x14ac:dyDescent="0.4">
      <c r="B11" s="32" t="s">
        <v>110</v>
      </c>
      <c r="C11" s="28">
        <f t="array" ref="C11">SUM((F19:F212="Put")*(M19:M212))</f>
        <v>3870</v>
      </c>
      <c r="D11" s="3">
        <f t="shared" ca="1" si="0"/>
        <v>3.5632815909685555E-3</v>
      </c>
    </row>
    <row r="12" spans="2:11" x14ac:dyDescent="0.4">
      <c r="B12" s="32" t="s">
        <v>111</v>
      </c>
      <c r="C12" s="28">
        <f t="array" ref="C12">SUM((PLB!G4:G999="O")*(PLB!E4:E999))</f>
        <v>2114.5950000000012</v>
      </c>
      <c r="D12" s="3">
        <f t="shared" ca="1" si="0"/>
        <v>1.9470019214093428E-3</v>
      </c>
    </row>
    <row r="13" spans="2:11" x14ac:dyDescent="0.4">
      <c r="B13" s="32" t="s">
        <v>132</v>
      </c>
      <c r="C13" s="28">
        <f t="array" ref="C13">SUM((PLB!G4:G999="O")*(PLB!D4:D999))</f>
        <v>80861.700632010892</v>
      </c>
      <c r="D13" s="3">
        <f t="shared" ca="1" si="0"/>
        <v>7.4452973973244144E-2</v>
      </c>
      <c r="F13" s="59"/>
      <c r="G13" s="59"/>
    </row>
    <row r="14" spans="2:11" x14ac:dyDescent="0.4">
      <c r="B14" s="32" t="s">
        <v>133</v>
      </c>
      <c r="C14" s="28">
        <f>C12+C13</f>
        <v>82976.295632010893</v>
      </c>
      <c r="D14" s="3">
        <f t="shared" ca="1" si="0"/>
        <v>7.6399975894653485E-2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332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4244.7199999999539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1986.5461873597799</v>
      </c>
      <c r="L19" s="29">
        <f t="shared" ref="L19" si="2">IF(I19=0,IF(H19&gt;0,X19,Y19),Z19)</f>
        <v>2375.0500000000002</v>
      </c>
      <c r="M19" s="28">
        <f t="shared" ref="M19" si="3">I19*J19*L19</f>
        <v>118752.50000000001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19425.190632011014</v>
      </c>
      <c r="O19" s="29">
        <f>VLOOKUP(D19,Multiplier!B:H,3,0)</f>
        <v>140</v>
      </c>
      <c r="P19" s="27"/>
      <c r="Q19" s="27"/>
      <c r="R19" s="28">
        <f t="shared" ref="R19" si="4">(1-Q19)*P19*J19*H19</f>
        <v>0</v>
      </c>
      <c r="S19" s="29">
        <f>IF(OR(F19="Futures",F19="Spot"),IF(I19=0,0,IF(I19&gt;0,L19-O19,L19+O19)),0)</f>
        <v>2235.0500000000002</v>
      </c>
      <c r="T19" s="3">
        <f t="shared" ref="T19" si="5">IF(S19&gt;0,IF(ISNUMBER(S19/L19-1),S19/L19-1,0),0)</f>
        <v>-5.8946127449948427E-2</v>
      </c>
      <c r="U19" s="29">
        <f>IF(OR(F19="Futures",F19="Spot"),IF(I19=0,0,IF(I19&gt;0,K19-P19,K19+P19)),0)</f>
        <v>1986.5461873597799</v>
      </c>
      <c r="V19" s="3">
        <f t="shared" ref="V19" si="6">IF(U19&gt;0,IF(ISNUMBER(U19/L19-1),U19/L19-1,0),0)</f>
        <v>-0.16357710896200939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2375.0500000000002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0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3267.6666666666665</v>
      </c>
      <c r="M20" s="28">
        <f t="shared" ref="M20" si="9">I20*J20*L20</f>
        <v>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971.09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0</v>
      </c>
      <c r="T20" s="3">
        <f t="shared" ref="T20" si="11">IF(S20&gt;0,IF(ISNUMBER(S20/L20-1),S20/L20-1,0),0)</f>
        <v>0</v>
      </c>
      <c r="U20" s="29">
        <f t="shared" ref="U20" si="12">IF(OR(F20="Futures",F20="Stocks"),IF(I20=0,0,IF(I20&gt;0,K20-P20,K20+P20)),0)</f>
        <v>0</v>
      </c>
      <c r="V20" s="3">
        <f t="shared" ref="V20" si="13">IF(U20&gt;0,IF(ISNUMBER(U20/L20-1),U20/L20-1,0),0)</f>
        <v>0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3267.6666666666665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3477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1.41</v>
      </c>
      <c r="M21" s="28">
        <f t="shared" ref="M21:M22" si="16">I21*J21*L21</f>
        <v>4230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-6397.1100000000033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1.41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0.34762999999999999</v>
      </c>
      <c r="L22" s="29">
        <f t="shared" si="15"/>
        <v>0.12</v>
      </c>
      <c r="M22" s="28">
        <f t="shared" si="16"/>
        <v>-360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682.88999999999987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0.12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5.4700987999999997</v>
      </c>
      <c r="L23" s="29">
        <f t="shared" ref="L23" si="23">IF(I23=0,IF(H23&gt;0,X23,Y23),Z23)</f>
        <v>6.085</v>
      </c>
      <c r="M23" s="28">
        <f t="shared" ref="M23" si="24">I23*J23*L23</f>
        <v>152125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15372.529999999999</v>
      </c>
      <c r="O23" s="29">
        <f>VLOOKUP(D23,Multiplier!B:H,3,0)</f>
        <v>0.1918</v>
      </c>
      <c r="P23" s="27"/>
      <c r="Q23" s="27"/>
      <c r="R23" s="28">
        <f t="shared" ref="R23" si="25">(1-Q23)*P23*J23*H23</f>
        <v>0</v>
      </c>
      <c r="S23" s="29">
        <f t="shared" ref="S23" si="26">IF(OR(F23="Futures",F23="Spot"),IF(I23=0,0,IF(I23&gt;0,L23-O23,L23+O23)),0)</f>
        <v>5.8932000000000002</v>
      </c>
      <c r="T23" s="3">
        <f t="shared" ref="T23" si="27">IF(S23&gt;0,IF(ISNUMBER(S23/L23-1),S23/L23-1,0),0)</f>
        <v>-3.1520131470829882E-2</v>
      </c>
      <c r="U23" s="29">
        <f t="shared" ref="U23" si="28">IF(OR(F23="Futures",F23="Stocks"),IF(I23=0,0,IF(I23&gt;0,K23-P23,K23+P23)),0)</f>
        <v>5.4700987999999997</v>
      </c>
      <c r="V23" s="3">
        <f t="shared" ref="V23" si="29">IF(U23&gt;0,IF(ISNUMBER(U23/L23-1),U23/L23-1,0),0)</f>
        <v>-0.10105196384552184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6.085</v>
      </c>
      <c r="AB23" s="29"/>
    </row>
    <row r="24" spans="2:28" x14ac:dyDescent="0.4">
      <c r="B24" s="9" t="s">
        <v>322</v>
      </c>
      <c r="C24" s="10">
        <v>5</v>
      </c>
      <c r="D24" s="10" t="s">
        <v>321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1</v>
      </c>
      <c r="J24" s="28">
        <f>VLOOKUP(D24,Multiplier!B:D,2,0)</f>
        <v>5</v>
      </c>
      <c r="K24" s="29">
        <f t="shared" ref="K24" si="30">L24-N24/(H24*J24)</f>
        <v>49667.851999999999</v>
      </c>
      <c r="L24" s="29">
        <f t="shared" ref="L24" si="31">IF(I24=0,IF(H24&gt;0,X24,Y24),Z24)</f>
        <v>58590</v>
      </c>
      <c r="M24" s="28">
        <f t="shared" ref="M24" si="32">I24*J24*L24</f>
        <v>292950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44610.739999999991</v>
      </c>
      <c r="O24" s="29">
        <f>VLOOKUP(D24,Multiplier!B:H,3,0)</f>
        <v>1749</v>
      </c>
      <c r="P24" s="27">
        <f>-1749*3</f>
        <v>-5247</v>
      </c>
      <c r="Q24" s="27"/>
      <c r="R24" s="28">
        <f t="shared" ref="R24" si="33">(1-Q24)*P24*J24*H24</f>
        <v>-26235</v>
      </c>
      <c r="S24" s="29">
        <f t="shared" ref="S24" si="34">IF(OR(F24="Futures",F24="Spot"),IF(I24=0,0,IF(I24&gt;0,L24-O24,L24+O24)),0)</f>
        <v>56841</v>
      </c>
      <c r="T24" s="3">
        <f t="shared" ref="T24" si="35">IF(S24&gt;0,IF(ISNUMBER(S24/L24-1),S24/L24-1,0),0)</f>
        <v>-2.9851510496671785E-2</v>
      </c>
      <c r="U24" s="29">
        <f t="shared" ref="U24" si="36">IF(OR(F24="Futures",F24="Stocks"),IF(I24=0,0,IF(I24&gt;0,K24-P24,K24+P24)),0)</f>
        <v>54914.851999999999</v>
      </c>
      <c r="V24" s="3">
        <f t="shared" ref="V24" si="37">IF(U24&gt;0,IF(ISNUMBER(U24/L24-1),U24/L24-1,0),0)</f>
        <v>-6.272654036525005E-2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51468.333333333336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58590</v>
      </c>
      <c r="AB24" s="29"/>
    </row>
    <row r="25" spans="2:28" x14ac:dyDescent="0.4">
      <c r="B25" s="9" t="s">
        <v>325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16.399999999999999</v>
      </c>
      <c r="M25" s="28">
        <f t="shared" ref="M25:M26" si="40">I25*J25*L25</f>
        <v>-1639.9999999999998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997.48000000000025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16.399999999999999</v>
      </c>
      <c r="AB25" s="29"/>
    </row>
    <row r="26" spans="2:28" x14ac:dyDescent="0.4">
      <c r="B26" s="9" t="s">
        <v>326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</v>
      </c>
      <c r="L26" s="29">
        <f t="shared" si="39"/>
        <v>116.5</v>
      </c>
      <c r="M26" s="28">
        <f t="shared" si="40"/>
        <v>11650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-892.52000000000044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116.5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1.17215</v>
      </c>
      <c r="L27" s="99">
        <f t="shared" ref="L27" si="47">IF(I27=0,IF(H27&gt;0,X27,Y27),Z27)</f>
        <v>1.1834499999999999</v>
      </c>
      <c r="M27" s="28">
        <f t="shared" ref="M27" si="48">I27*J27*L27</f>
        <v>739656.24999999988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7062.4999999998836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1.1739999999999999</v>
      </c>
      <c r="T27" s="3">
        <f t="shared" ref="T27" si="51">IF(S27&gt;0,IF(ISNUMBER(S27/L27-1),S27/L27-1,0),0)</f>
        <v>-7.9851282267945356E-3</v>
      </c>
      <c r="U27" s="29">
        <f t="shared" ref="U27" si="52">IF(OR(F27="Futures",F27="Stocks"),IF(I27=0,0,IF(I27&gt;0,K27-P27,K27+P27)),0)</f>
        <v>1.157975</v>
      </c>
      <c r="V27" s="3">
        <f t="shared" ref="V27" si="53">IF(U27&gt;0,IF(ISNUMBER(U27/L27-1),U27/L27-1,0),0)</f>
        <v>-2.1526046727787351E-2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1.17215</v>
      </c>
      <c r="Z27" s="35">
        <f>IF(C$2="Last",IF(ISNUMBER(VLOOKUP(B27,Prices!A:L,8,0)),VLOOKUP(B27,Prices!A:L,8,0),0),IF(ISNUMBER(VLOOKUP(B27,Prices!A:L,12,0)),VLOOKUP(B27,Prices!A:L,12,0),0))</f>
        <v>1.1834499999999999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G5" sqref="G5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895</v>
      </c>
      <c r="H4" s="6">
        <f>-G4</f>
        <v>-895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4244.7199999999539</v>
      </c>
      <c r="H13" s="6">
        <f>SUM(H3:H12)</f>
        <v>33355.279999999955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57333.059999999896</v>
      </c>
      <c r="J6" s="70">
        <f t="shared" ref="J6" si="9">E6-F6-G6-H6+I6</f>
        <v>1086077.5106320109</v>
      </c>
      <c r="K6" s="70">
        <f t="shared" ref="K6" si="10">K5+C6</f>
        <v>1000</v>
      </c>
      <c r="L6" s="71">
        <f t="shared" ref="L6" si="11">J6/K6</f>
        <v>1086.0775106320109</v>
      </c>
      <c r="M6" s="72">
        <f t="shared" ref="M6" si="12">L6/$L$3-1</f>
        <v>8.6077510632010856E-2</v>
      </c>
      <c r="N6" s="73">
        <f t="shared" ref="N6" si="13">L6/L5-1</f>
        <v>5.5731100143264323E-2</v>
      </c>
      <c r="O6" s="75">
        <f>STDEVP(N$4:N6)*SQRT(12)</f>
        <v>7.8828744479476132E-2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D4" sqref="D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19425.190632011014</v>
      </c>
      <c r="E4" s="6">
        <f t="array" ref="E4">SUM((Blotter!B$19:C$1013=C4)*(Blotter!R$19:R$1013)*1)</f>
        <v>0</v>
      </c>
      <c r="F4" s="30">
        <f t="shared" ref="F4" si="3">IF(ISNUMBER(D4/E4),D4/E4,0)</f>
        <v>0</v>
      </c>
      <c r="G4" s="36" t="str">
        <f t="array" ref="G4">IF(SUM((Blotter!C$19:C$1013=PLB!C4)*(Blotter!M$19:M$1013))=0,"C","O")</f>
        <v>O</v>
      </c>
      <c r="H4" s="16">
        <f t="shared" ref="H4:H9" si="4">J3+D4</f>
        <v>1019425.190632011</v>
      </c>
      <c r="I4" s="16"/>
      <c r="J4" s="16">
        <f t="shared" si="0"/>
        <v>1019425.190632011</v>
      </c>
      <c r="K4" s="3">
        <f t="shared" ref="K4:K9" si="5">H4/J3-1</f>
        <v>1.9425190632011091E-2</v>
      </c>
      <c r="L4" s="3">
        <f t="shared" ref="L4:L9" si="6">(1+K4)*(1+L3)-1</f>
        <v>1.9425190632011091E-2</v>
      </c>
      <c r="M4" s="6">
        <f>O3-IF(G4="O",E4,-D4)</f>
        <v>1000000</v>
      </c>
      <c r="N4" s="16">
        <f t="shared" ref="N4:N9" si="7">I4</f>
        <v>0</v>
      </c>
      <c r="O4" s="6">
        <f t="shared" si="1"/>
        <v>1000000</v>
      </c>
      <c r="P4" s="3">
        <f t="shared" ref="P4:P9" si="8">M4/O3-1</f>
        <v>0</v>
      </c>
      <c r="Q4" s="3">
        <f t="shared" ref="Q4:Q9" si="9">(1+P4)*(1+Q3)-1</f>
        <v>0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971.09</v>
      </c>
      <c r="E5" s="6">
        <f t="array" ref="E5">SUM((Blotter!B$19:C$1013=C5)*(Blotter!R$19:R$1013)*1)</f>
        <v>9000</v>
      </c>
      <c r="F5" s="30">
        <f t="shared" ref="F5" si="12">IF(ISNUMBER(D5/E5),D5/E5,0)</f>
        <v>0.10789888888888889</v>
      </c>
      <c r="G5" s="36" t="str">
        <f t="array" ref="G5">IF(SUM((Blotter!C$19:C$1013=PLB!C5)*(Blotter!M$19:M$1013))=0,"C","O")</f>
        <v>C</v>
      </c>
      <c r="H5" s="16">
        <f t="shared" si="4"/>
        <v>1020396.280632011</v>
      </c>
      <c r="I5" s="16"/>
      <c r="J5" s="16">
        <f t="shared" si="0"/>
        <v>1020396.280632011</v>
      </c>
      <c r="K5" s="3">
        <f t="shared" si="5"/>
        <v>9.525858384937802E-4</v>
      </c>
      <c r="L5" s="3">
        <f t="shared" si="6"/>
        <v>2.0396280632011043E-2</v>
      </c>
      <c r="M5" s="6">
        <f t="shared" ref="M5:M8" si="13">O4-IF(G5="O",E5,-D5)</f>
        <v>1000971.09</v>
      </c>
      <c r="N5" s="16">
        <f t="shared" si="7"/>
        <v>0</v>
      </c>
      <c r="O5" s="6">
        <f t="shared" si="1"/>
        <v>1000971.09</v>
      </c>
      <c r="P5" s="3">
        <f t="shared" si="8"/>
        <v>9.7108999999995227E-4</v>
      </c>
      <c r="Q5" s="3">
        <f t="shared" si="9"/>
        <v>9.7108999999995227E-4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-5714.220000000003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-0.59621127227880844</v>
      </c>
      <c r="G6" s="36" t="str">
        <f t="array" ref="G6">IF(SUM((Blotter!C$19:C$1013=PLB!C6)*(Blotter!M$19:M$1013))=0,"C","O")</f>
        <v>O</v>
      </c>
      <c r="H6" s="16">
        <f t="shared" si="4"/>
        <v>1014682.060632011</v>
      </c>
      <c r="I6" s="16"/>
      <c r="J6" s="16">
        <f t="shared" si="0"/>
        <v>1014682.060632011</v>
      </c>
      <c r="K6" s="3">
        <f t="shared" si="5"/>
        <v>-5.6000008119009292E-3</v>
      </c>
      <c r="L6" s="3">
        <f t="shared" si="6"/>
        <v>1.4682060632011051E-2</v>
      </c>
      <c r="M6" s="6">
        <f t="shared" si="13"/>
        <v>991386.87</v>
      </c>
      <c r="N6" s="16">
        <f t="shared" si="7"/>
        <v>0</v>
      </c>
      <c r="O6" s="6">
        <f t="shared" si="1"/>
        <v>991386.87</v>
      </c>
      <c r="P6" s="3">
        <f t="shared" si="8"/>
        <v>-9.5749218891026944E-3</v>
      </c>
      <c r="Q6" s="3">
        <f t="shared" si="9"/>
        <v>-8.6131300000000799E-3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15372.529999999999</v>
      </c>
      <c r="E7" s="6">
        <f t="array" ref="E7">SUM((Blotter!B$19:C$1013=C7)*(Blotter!R$19:R$1013)*1)</f>
        <v>0</v>
      </c>
      <c r="F7" s="30">
        <f t="shared" ref="F7" si="19">IF(ISNUMBER(D7/E7),D7/E7,0)</f>
        <v>0</v>
      </c>
      <c r="G7" s="36" t="str">
        <f t="array" ref="G7">IF(SUM((Blotter!C$19:C$1013=PLB!C7)*(Blotter!M$19:M$1013))=0,"C","O")</f>
        <v>O</v>
      </c>
      <c r="H7" s="16">
        <f t="shared" si="4"/>
        <v>1030054.5906320111</v>
      </c>
      <c r="I7" s="16"/>
      <c r="J7" s="16">
        <f t="shared" si="0"/>
        <v>1030054.5906320111</v>
      </c>
      <c r="K7" s="3">
        <f t="shared" si="5"/>
        <v>1.5150095381034845E-2</v>
      </c>
      <c r="L7" s="3">
        <f t="shared" si="6"/>
        <v>3.0054590632011102E-2</v>
      </c>
      <c r="M7" s="6">
        <f t="shared" si="13"/>
        <v>991386.87</v>
      </c>
      <c r="N7" s="16">
        <f t="shared" si="7"/>
        <v>0</v>
      </c>
      <c r="O7" s="6">
        <f t="shared" si="1"/>
        <v>991386.87</v>
      </c>
      <c r="P7" s="3">
        <f t="shared" si="8"/>
        <v>0</v>
      </c>
      <c r="Q7" s="3">
        <f t="shared" si="9"/>
        <v>-8.6131300000000799E-3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44610.739999999991</v>
      </c>
      <c r="E8" s="6">
        <f t="array" ref="E8">SUM((Blotter!B$19:C$1013=C8)*(Blotter!R$19:R$1013)*1)</f>
        <v>-26235</v>
      </c>
      <c r="F8" s="30">
        <f t="shared" ref="F8" si="22">IF(ISNUMBER(D8/E8),D8/E8,0)</f>
        <v>-1.7004284352963595</v>
      </c>
      <c r="G8" s="36" t="str">
        <f t="array" ref="G8">IF(SUM((Blotter!C$19:C$1013=PLB!C8)*(Blotter!M$19:M$1013))=0,"C","O")</f>
        <v>O</v>
      </c>
      <c r="H8" s="16">
        <f t="shared" si="4"/>
        <v>1074665.3306320109</v>
      </c>
      <c r="I8" s="16"/>
      <c r="J8" s="16">
        <f t="shared" si="0"/>
        <v>1074665.3306320109</v>
      </c>
      <c r="K8" s="3">
        <f t="shared" si="5"/>
        <v>4.3309102649237374E-2</v>
      </c>
      <c r="L8" s="3">
        <f t="shared" si="6"/>
        <v>7.4665330632011084E-2</v>
      </c>
      <c r="M8" s="6">
        <f t="shared" si="13"/>
        <v>1017621.87</v>
      </c>
      <c r="N8" s="16">
        <f t="shared" si="7"/>
        <v>0</v>
      </c>
      <c r="O8" s="6">
        <f t="shared" si="1"/>
        <v>1017621.87</v>
      </c>
      <c r="P8" s="3">
        <f t="shared" si="8"/>
        <v>2.6462928644596539E-2</v>
      </c>
      <c r="Q8" s="3">
        <f t="shared" si="9"/>
        <v>1.7621869999999928E-2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324</v>
      </c>
      <c r="W8" s="1" t="s">
        <v>334</v>
      </c>
      <c r="X8" s="1" t="s">
        <v>335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104.95999999999981</v>
      </c>
      <c r="E9" s="6">
        <f t="array" ref="E9">SUM((Blotter!B$19:C$1013=C9)*(Blotter!R$19:R$1013)*1)</f>
        <v>9906</v>
      </c>
      <c r="F9" s="30">
        <f t="shared" ref="F9" si="25">IF(ISNUMBER(D9/E9),D9/E9,0)</f>
        <v>1.0595598627094671E-2</v>
      </c>
      <c r="G9" s="36" t="str">
        <f t="array" ref="G9">IF(SUM((Blotter!C$19:C$1013=PLB!C9)*(Blotter!M$19:M$1013))=0,"C","O")</f>
        <v>O</v>
      </c>
      <c r="H9" s="16">
        <f t="shared" si="4"/>
        <v>1074770.2906320109</v>
      </c>
      <c r="I9" s="16"/>
      <c r="J9" s="16">
        <f t="shared" ref="J9" si="26">H9+I9</f>
        <v>1074770.2906320109</v>
      </c>
      <c r="K9" s="3">
        <f t="shared" si="5"/>
        <v>9.7667615217789105E-5</v>
      </c>
      <c r="L9" s="3">
        <f t="shared" si="6"/>
        <v>7.4770290632011127E-2</v>
      </c>
      <c r="M9" s="6">
        <f t="shared" ref="M9" si="27">O8-IF(G9="O",E9,-D9)</f>
        <v>1007715.87</v>
      </c>
      <c r="N9" s="16">
        <f t="shared" si="7"/>
        <v>0</v>
      </c>
      <c r="O9" s="6">
        <f t="shared" ref="O9" si="28">M9+N9</f>
        <v>1007715.87</v>
      </c>
      <c r="P9" s="3">
        <f t="shared" si="8"/>
        <v>-9.7344606007730983E-3</v>
      </c>
      <c r="Q9" s="3">
        <f t="shared" si="9"/>
        <v>7.715869999999958E-3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329</v>
      </c>
      <c r="W9" s="49" t="s">
        <v>337</v>
      </c>
      <c r="X9" s="1" t="s">
        <v>336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7062.4999999998836</v>
      </c>
      <c r="E10" s="6">
        <f t="array" ref="E10">SUM((Blotter!B$19:C$1013=C10)*(Blotter!R$19:R$1013)*1)</f>
        <v>8859.375</v>
      </c>
      <c r="F10" s="30">
        <f t="shared" ref="F10" si="31">IF(ISNUMBER(D10/E10),D10/E10,0)</f>
        <v>0.7971781305114507</v>
      </c>
      <c r="G10" s="36" t="str">
        <f t="array" ref="G10">IF(SUM((Blotter!C$19:C$1013=PLB!C10)*(Blotter!M$19:M$1013))=0,"C","O")</f>
        <v>O</v>
      </c>
      <c r="H10" s="16">
        <f t="shared" ref="H10" si="32">J9+D10</f>
        <v>1081832.7906320109</v>
      </c>
      <c r="I10" s="16"/>
      <c r="J10" s="16">
        <f t="shared" ref="J10" si="33">H10+I10</f>
        <v>1081832.7906320109</v>
      </c>
      <c r="K10" s="3">
        <f t="shared" ref="K10" si="34">H10/J9-1</f>
        <v>6.5711715903935541E-3</v>
      </c>
      <c r="L10" s="3">
        <f t="shared" ref="L10" si="35">(1+K10)*(1+L9)-1</f>
        <v>8.1832790632011321E-2</v>
      </c>
      <c r="M10" s="6">
        <f t="shared" ref="M10" si="36">O9-IF(G10="O",E10,-D10)</f>
        <v>998856.495</v>
      </c>
      <c r="N10" s="16">
        <f t="shared" ref="N10" si="37">I10</f>
        <v>0</v>
      </c>
      <c r="O10" s="6">
        <f t="shared" ref="O10" si="38">M10+N10</f>
        <v>998856.495</v>
      </c>
      <c r="P10" s="3">
        <f t="shared" ref="P10" si="39">M10/O9-1</f>
        <v>-8.7915406155110176E-3</v>
      </c>
      <c r="Q10" s="3">
        <f t="shared" ref="Q10" si="40">(1+P10)*(1+Q9)-1</f>
        <v>-1.1435050000000446E-3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340</v>
      </c>
      <c r="W10" s="49" t="s">
        <v>338</v>
      </c>
      <c r="X10" s="1" t="s">
        <v>339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opLeftCell="A11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321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322</v>
      </c>
      <c r="E60" s="1" t="s">
        <v>323</v>
      </c>
      <c r="F60" s="1" t="s">
        <v>78</v>
      </c>
      <c r="G60" s="1" t="s">
        <v>321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322</v>
      </c>
      <c r="E61" s="1" t="s">
        <v>323</v>
      </c>
      <c r="F61" s="1" t="s">
        <v>78</v>
      </c>
      <c r="G61" s="1" t="s">
        <v>321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322</v>
      </c>
      <c r="E62" s="1" t="s">
        <v>323</v>
      </c>
      <c r="F62" s="1" t="s">
        <v>78</v>
      </c>
      <c r="G62" s="1" t="s">
        <v>321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322</v>
      </c>
      <c r="E63" s="1" t="s">
        <v>323</v>
      </c>
      <c r="F63" s="1" t="s">
        <v>78</v>
      </c>
      <c r="G63" s="1" t="s">
        <v>321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322</v>
      </c>
      <c r="E64" s="1" t="s">
        <v>323</v>
      </c>
      <c r="F64" s="1" t="s">
        <v>78</v>
      </c>
      <c r="G64" s="1" t="s">
        <v>321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322</v>
      </c>
      <c r="E65" s="1" t="s">
        <v>323</v>
      </c>
      <c r="F65" s="1" t="s">
        <v>78</v>
      </c>
      <c r="G65" s="1" t="s">
        <v>321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322</v>
      </c>
      <c r="E66" s="1" t="s">
        <v>323</v>
      </c>
      <c r="F66" s="1" t="s">
        <v>78</v>
      </c>
      <c r="G66" s="1" t="s">
        <v>321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326</v>
      </c>
      <c r="E67" s="1" t="s">
        <v>330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327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68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325</v>
      </c>
      <c r="E68" s="1" t="s">
        <v>331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327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A69" s="1" t="s">
        <v>292</v>
      </c>
      <c r="B69" s="1" t="s">
        <v>59</v>
      </c>
      <c r="C69" s="1" t="s">
        <v>58</v>
      </c>
      <c r="D69" s="1" t="s">
        <v>267</v>
      </c>
      <c r="E69" s="1" t="s">
        <v>341</v>
      </c>
      <c r="F69" s="1" t="s">
        <v>78</v>
      </c>
      <c r="G69" s="1" t="s">
        <v>56</v>
      </c>
      <c r="H69" s="1">
        <v>125000</v>
      </c>
      <c r="J69" s="44">
        <v>46188</v>
      </c>
      <c r="L69" s="44">
        <v>46125</v>
      </c>
      <c r="M69" s="1" t="s">
        <v>85</v>
      </c>
      <c r="N69" s="1">
        <v>5</v>
      </c>
      <c r="O69" s="1">
        <v>1.17215</v>
      </c>
      <c r="P69" s="1">
        <v>732593.75</v>
      </c>
      <c r="Q69" s="1">
        <v>-12.35</v>
      </c>
      <c r="R69" s="1" t="s">
        <v>59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1.17215</v>
      </c>
      <c r="X69" s="42"/>
    </row>
    <row r="70" spans="1:24" x14ac:dyDescent="0.4">
      <c r="A70" s="1" t="s">
        <v>292</v>
      </c>
      <c r="B70" s="1" t="s">
        <v>59</v>
      </c>
      <c r="C70" s="1" t="s">
        <v>58</v>
      </c>
      <c r="D70" s="1" t="s">
        <v>282</v>
      </c>
      <c r="E70" s="1" t="s">
        <v>293</v>
      </c>
      <c r="F70" s="1" t="s">
        <v>63</v>
      </c>
      <c r="G70" s="1" t="s">
        <v>34</v>
      </c>
      <c r="H70" s="1">
        <v>10</v>
      </c>
      <c r="J70" s="44">
        <v>46156</v>
      </c>
      <c r="L70" s="44">
        <v>46125</v>
      </c>
      <c r="M70" s="1" t="s">
        <v>291</v>
      </c>
      <c r="N70" s="1">
        <v>-2</v>
      </c>
      <c r="O70" s="1">
        <v>3268</v>
      </c>
      <c r="P70" s="1">
        <v>-65360</v>
      </c>
      <c r="Q70" s="1">
        <v>-5.94</v>
      </c>
      <c r="R70" s="1" t="s">
        <v>59</v>
      </c>
      <c r="T70" s="43">
        <f>IF(ISNUMBER(VLOOKUP(U70,Blotter!B:C,2,0)),VLOOKUP(U70,Blotter!B:C,2,0),"")</f>
        <v>2</v>
      </c>
      <c r="U70" s="42" t="str">
        <f t="shared" ref="U70:U71" si="44">D70</f>
        <v>CCK6</v>
      </c>
      <c r="V70" s="42">
        <f t="shared" ref="V70:V71" si="45">N70</f>
        <v>-2</v>
      </c>
      <c r="W70" s="42">
        <f t="shared" ref="W70:W71" si="46">O70</f>
        <v>3268</v>
      </c>
      <c r="X70" s="42"/>
    </row>
    <row r="71" spans="1:24" x14ac:dyDescent="0.4">
      <c r="A71" s="1" t="s">
        <v>292</v>
      </c>
      <c r="B71" s="1" t="s">
        <v>59</v>
      </c>
      <c r="C71" s="1" t="s">
        <v>58</v>
      </c>
      <c r="D71" s="1" t="s">
        <v>282</v>
      </c>
      <c r="E71" s="1" t="s">
        <v>293</v>
      </c>
      <c r="F71" s="1" t="s">
        <v>63</v>
      </c>
      <c r="G71" s="1" t="s">
        <v>34</v>
      </c>
      <c r="H71" s="1">
        <v>10</v>
      </c>
      <c r="J71" s="44">
        <v>46156</v>
      </c>
      <c r="L71" s="44">
        <v>46125</v>
      </c>
      <c r="M71" s="1" t="s">
        <v>291</v>
      </c>
      <c r="N71" s="1">
        <v>-1</v>
      </c>
      <c r="O71" s="1">
        <v>3267</v>
      </c>
      <c r="P71" s="1">
        <v>-32670</v>
      </c>
      <c r="Q71" s="1">
        <v>-2.97</v>
      </c>
      <c r="R71" s="1" t="s">
        <v>59</v>
      </c>
      <c r="T71" s="43">
        <f>IF(ISNUMBER(VLOOKUP(U71,Blotter!B:C,2,0)),VLOOKUP(U71,Blotter!B:C,2,0),"")</f>
        <v>2</v>
      </c>
      <c r="U71" s="42" t="str">
        <f t="shared" si="44"/>
        <v>CCK6</v>
      </c>
      <c r="V71" s="42">
        <f t="shared" si="45"/>
        <v>-1</v>
      </c>
      <c r="W71" s="42">
        <f t="shared" si="46"/>
        <v>3267</v>
      </c>
      <c r="X71" s="42"/>
    </row>
    <row r="72" spans="1:24" x14ac:dyDescent="0.4">
      <c r="T72" s="43"/>
      <c r="U72" s="42"/>
      <c r="V72" s="42"/>
      <c r="W72" s="42"/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/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322</v>
      </c>
      <c r="C6" s="88" t="s">
        <v>58</v>
      </c>
      <c r="D6" s="88" t="s">
        <v>321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321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325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327</v>
      </c>
      <c r="J38" s="88">
        <v>100</v>
      </c>
      <c r="K38" s="88" t="s">
        <v>328</v>
      </c>
    </row>
    <row r="39" spans="1:13" x14ac:dyDescent="0.4">
      <c r="A39" s="88">
        <v>1</v>
      </c>
      <c r="B39" s="9" t="s">
        <v>326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327</v>
      </c>
      <c r="J39" s="88">
        <v>100</v>
      </c>
      <c r="K39" s="88" t="s">
        <v>328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I30" sqref="I30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7067.5</v>
      </c>
      <c r="I2" s="91">
        <v>7067.25</v>
      </c>
      <c r="J2" s="91">
        <v>7067.5</v>
      </c>
      <c r="K2" s="91">
        <v>7067.375</v>
      </c>
      <c r="L2" s="91">
        <v>7060.5</v>
      </c>
      <c r="M2" s="91">
        <v>7057.25</v>
      </c>
      <c r="N2" s="91">
        <v>7078.5</v>
      </c>
      <c r="O2" s="91">
        <v>7055.5</v>
      </c>
      <c r="P2" s="91">
        <v>90518</v>
      </c>
      <c r="Q2" s="91"/>
      <c r="R2" s="91"/>
      <c r="S2" s="91"/>
      <c r="T2" s="91"/>
      <c r="U2" s="91"/>
      <c r="V2" s="85">
        <v>46128.481365740743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26448.5</v>
      </c>
      <c r="I3" s="91">
        <v>26447.75</v>
      </c>
      <c r="J3" s="91">
        <v>26448.5</v>
      </c>
      <c r="K3" s="91">
        <v>26448.125</v>
      </c>
      <c r="L3" s="91">
        <v>26365.5</v>
      </c>
      <c r="M3" s="91">
        <v>26350</v>
      </c>
      <c r="N3" s="91">
        <v>26488</v>
      </c>
      <c r="O3" s="91">
        <v>26345</v>
      </c>
      <c r="P3" s="91">
        <v>60884</v>
      </c>
      <c r="Q3" s="91"/>
      <c r="R3" s="91"/>
      <c r="S3" s="91"/>
      <c r="T3" s="91"/>
      <c r="U3" s="91"/>
      <c r="V3" s="85">
        <v>46128.481365740743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2724.3</v>
      </c>
      <c r="I4" s="91">
        <v>2724.2</v>
      </c>
      <c r="J4" s="91">
        <v>2724.4</v>
      </c>
      <c r="K4" s="91">
        <v>2724.3</v>
      </c>
      <c r="L4" s="91">
        <v>2725.5</v>
      </c>
      <c r="M4" s="91">
        <v>2724.6</v>
      </c>
      <c r="N4" s="91">
        <v>2731</v>
      </c>
      <c r="O4" s="91">
        <v>2722.8</v>
      </c>
      <c r="P4" s="91">
        <v>9535</v>
      </c>
      <c r="Q4" s="91"/>
      <c r="R4" s="91"/>
      <c r="S4" s="91"/>
      <c r="T4" s="91"/>
      <c r="U4" s="91"/>
      <c r="V4" s="85">
        <v>46128.481365740743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24311</v>
      </c>
      <c r="I5" s="91">
        <v>24309</v>
      </c>
      <c r="J5" s="91">
        <v>24312</v>
      </c>
      <c r="K5" s="91">
        <v>24310.5</v>
      </c>
      <c r="L5" s="91">
        <v>24258</v>
      </c>
      <c r="M5" s="91">
        <v>24276</v>
      </c>
      <c r="N5" s="91">
        <v>24356</v>
      </c>
      <c r="O5" s="91">
        <v>24222</v>
      </c>
      <c r="P5" s="91">
        <v>6818</v>
      </c>
      <c r="Q5" s="91"/>
      <c r="R5" s="91"/>
      <c r="S5" s="91"/>
      <c r="T5" s="91"/>
      <c r="U5" s="91"/>
      <c r="V5" s="85">
        <v>46128.481365740743</v>
      </c>
      <c r="W5" s="81" t="s">
        <v>258</v>
      </c>
      <c r="X5" s="81"/>
      <c r="Y5" s="81"/>
      <c r="Z5" s="81"/>
    </row>
    <row r="6" spans="1:32" x14ac:dyDescent="0.4">
      <c r="A6" s="81" t="s">
        <v>322</v>
      </c>
      <c r="B6" s="81">
        <v>635680489</v>
      </c>
      <c r="C6" s="81" t="s">
        <v>58</v>
      </c>
      <c r="D6" s="81" t="s">
        <v>321</v>
      </c>
      <c r="E6" s="81" t="s">
        <v>322</v>
      </c>
      <c r="F6" s="81" t="s">
        <v>78</v>
      </c>
      <c r="G6" s="81" t="s">
        <v>59</v>
      </c>
      <c r="H6" s="91">
        <v>59410</v>
      </c>
      <c r="I6" s="91">
        <v>59420</v>
      </c>
      <c r="J6" s="91">
        <v>59430</v>
      </c>
      <c r="K6" s="91">
        <v>59425</v>
      </c>
      <c r="L6" s="91">
        <v>58590</v>
      </c>
      <c r="M6" s="91">
        <v>58645</v>
      </c>
      <c r="N6" s="91">
        <v>59805</v>
      </c>
      <c r="O6" s="91">
        <v>58585</v>
      </c>
      <c r="P6" s="91">
        <v>1989</v>
      </c>
      <c r="Q6" s="91"/>
      <c r="R6" s="91"/>
      <c r="S6" s="91"/>
      <c r="T6" s="91"/>
      <c r="U6" s="91"/>
      <c r="V6" s="85">
        <v>46128.481365740743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46128.481365740743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2.7570000000000001</v>
      </c>
      <c r="I8" s="93">
        <v>2.7570000000000001</v>
      </c>
      <c r="J8" s="93">
        <v>2.758</v>
      </c>
      <c r="K8" s="93">
        <v>2.7575000000000003</v>
      </c>
      <c r="L8" s="93">
        <v>2.7669999999999999</v>
      </c>
      <c r="M8" s="93">
        <v>2.7679999999999998</v>
      </c>
      <c r="N8" s="93">
        <v>2.7770000000000001</v>
      </c>
      <c r="O8" s="93">
        <v>2.7410000000000001</v>
      </c>
      <c r="P8" s="93">
        <v>4043</v>
      </c>
      <c r="Q8" s="93"/>
      <c r="R8" s="93"/>
      <c r="S8" s="93"/>
      <c r="T8" s="93"/>
      <c r="U8" s="93"/>
      <c r="V8" s="92">
        <v>46128.481365740743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3.0274999999999999</v>
      </c>
      <c r="I9" s="93">
        <v>3.0276999999999998</v>
      </c>
      <c r="J9" s="93">
        <v>3.0284</v>
      </c>
      <c r="K9" s="93">
        <v>3.0280499999999999</v>
      </c>
      <c r="L9" s="93">
        <v>3.0051000000000001</v>
      </c>
      <c r="M9" s="93">
        <v>2.9980000000000002</v>
      </c>
      <c r="N9" s="93">
        <v>3.0348999999999999</v>
      </c>
      <c r="O9" s="93">
        <v>2.9849999999999999</v>
      </c>
      <c r="P9" s="93">
        <v>5521</v>
      </c>
      <c r="Q9" s="93"/>
      <c r="R9" s="93"/>
      <c r="S9" s="93"/>
      <c r="T9" s="93"/>
      <c r="U9" s="93"/>
      <c r="V9" s="92">
        <v>46128.481365740743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>
        <v>4838.1000000000004</v>
      </c>
      <c r="I10" s="93">
        <v>4837.7</v>
      </c>
      <c r="J10" s="93">
        <v>4838.1000000000004</v>
      </c>
      <c r="K10" s="93">
        <v>4837.8999999999996</v>
      </c>
      <c r="L10" s="93">
        <v>4823.6000000000004</v>
      </c>
      <c r="M10" s="93">
        <v>4813.6000000000004</v>
      </c>
      <c r="N10" s="93">
        <v>4861.3</v>
      </c>
      <c r="O10" s="93">
        <v>4812.3999999999996</v>
      </c>
      <c r="P10" s="93">
        <v>43133</v>
      </c>
      <c r="Q10" s="93"/>
      <c r="R10" s="93"/>
      <c r="S10" s="93"/>
      <c r="T10" s="93"/>
      <c r="U10" s="93"/>
      <c r="V10" s="92">
        <v>46128.481365740743</v>
      </c>
      <c r="W10" s="1" t="s">
        <v>258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80.209999999999994</v>
      </c>
      <c r="I11" s="93">
        <v>80.099999999999994</v>
      </c>
      <c r="J11" s="93">
        <v>80.13</v>
      </c>
      <c r="K11" s="93">
        <v>80.114999999999995</v>
      </c>
      <c r="L11" s="93">
        <v>79.915000000000006</v>
      </c>
      <c r="M11" s="93">
        <v>79.894999999999996</v>
      </c>
      <c r="N11" s="93">
        <v>81.165000000000006</v>
      </c>
      <c r="O11" s="93">
        <v>79.894999999999996</v>
      </c>
      <c r="P11" s="93">
        <v>312</v>
      </c>
      <c r="Q11" s="93"/>
      <c r="R11" s="93"/>
      <c r="S11" s="93"/>
      <c r="T11" s="93"/>
      <c r="U11" s="93"/>
      <c r="V11" s="92">
        <v>46128.481365740743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6.0945</v>
      </c>
      <c r="I12" s="93">
        <v>6.0934999999999997</v>
      </c>
      <c r="J12" s="93">
        <v>6.0949999999999998</v>
      </c>
      <c r="K12" s="93">
        <v>6.0942499999999997</v>
      </c>
      <c r="L12" s="93">
        <v>6.085</v>
      </c>
      <c r="M12" s="93">
        <v>6.0754999999999999</v>
      </c>
      <c r="N12" s="93">
        <v>6.1319999999999997</v>
      </c>
      <c r="O12" s="93">
        <v>6.0754999999999999</v>
      </c>
      <c r="P12" s="93">
        <v>7554</v>
      </c>
      <c r="Q12" s="93"/>
      <c r="R12" s="93"/>
      <c r="S12" s="93"/>
      <c r="T12" s="93"/>
      <c r="U12" s="93"/>
      <c r="V12" s="92">
        <v>46128.481365740743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450.75</v>
      </c>
      <c r="I13" s="93">
        <v>450.75</v>
      </c>
      <c r="J13" s="93">
        <v>451</v>
      </c>
      <c r="K13" s="93">
        <v>450.875</v>
      </c>
      <c r="L13" s="93">
        <v>451.25</v>
      </c>
      <c r="M13" s="93">
        <v>451</v>
      </c>
      <c r="N13" s="93">
        <v>452.75</v>
      </c>
      <c r="O13" s="93">
        <v>449.75</v>
      </c>
      <c r="P13" s="93">
        <v>21091</v>
      </c>
      <c r="Q13" s="93"/>
      <c r="R13" s="93"/>
      <c r="S13" s="93"/>
      <c r="T13" s="93"/>
      <c r="U13" s="93"/>
      <c r="V13" s="92">
        <v>46128.481365740743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602.25</v>
      </c>
      <c r="I14" s="93">
        <v>602</v>
      </c>
      <c r="J14" s="93">
        <v>602.25</v>
      </c>
      <c r="K14" s="93">
        <v>602.125</v>
      </c>
      <c r="L14" s="93">
        <v>593.75</v>
      </c>
      <c r="M14" s="93">
        <v>593</v>
      </c>
      <c r="N14" s="93">
        <v>602.75</v>
      </c>
      <c r="O14" s="93">
        <v>590.75</v>
      </c>
      <c r="P14" s="93">
        <v>8824</v>
      </c>
      <c r="Q14" s="93"/>
      <c r="R14" s="93"/>
      <c r="S14" s="93"/>
      <c r="T14" s="93"/>
      <c r="U14" s="93"/>
      <c r="V14" s="92">
        <v>46128.481365740743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1166.25</v>
      </c>
      <c r="I15" s="93">
        <v>1166.25</v>
      </c>
      <c r="J15" s="93">
        <v>1166.5</v>
      </c>
      <c r="K15" s="93">
        <v>1166.375</v>
      </c>
      <c r="L15" s="93">
        <v>1167</v>
      </c>
      <c r="M15" s="93">
        <v>1165.75</v>
      </c>
      <c r="N15" s="93">
        <v>1169.5</v>
      </c>
      <c r="O15" s="93">
        <v>1164</v>
      </c>
      <c r="P15" s="93">
        <v>25067</v>
      </c>
      <c r="Q15" s="93"/>
      <c r="R15" s="93"/>
      <c r="S15" s="93"/>
      <c r="T15" s="93"/>
      <c r="U15" s="93"/>
      <c r="V15" s="92">
        <v>46128.481365740743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13.63</v>
      </c>
      <c r="I16" s="93">
        <v>13.62</v>
      </c>
      <c r="J16" s="93">
        <v>13.63</v>
      </c>
      <c r="K16" s="93">
        <v>13.625</v>
      </c>
      <c r="L16" s="93">
        <v>13.51</v>
      </c>
      <c r="M16" s="93">
        <v>13.58</v>
      </c>
      <c r="N16" s="93">
        <v>13.68</v>
      </c>
      <c r="O16" s="93">
        <v>13.55</v>
      </c>
      <c r="P16" s="93">
        <v>6355</v>
      </c>
      <c r="Q16" s="93"/>
      <c r="R16" s="93"/>
      <c r="S16" s="93"/>
      <c r="T16" s="93"/>
      <c r="U16" s="93"/>
      <c r="V16" s="92">
        <v>46128.481365740743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299.35000000000002</v>
      </c>
      <c r="I17" s="93">
        <v>299.2</v>
      </c>
      <c r="J17" s="93">
        <v>299.35000000000002</v>
      </c>
      <c r="K17" s="93">
        <v>299.27499999999998</v>
      </c>
      <c r="L17" s="93">
        <v>304.25</v>
      </c>
      <c r="M17" s="93">
        <v>302.75</v>
      </c>
      <c r="N17" s="93">
        <v>303.60000000000002</v>
      </c>
      <c r="O17" s="93">
        <v>298.8</v>
      </c>
      <c r="P17" s="93">
        <v>457</v>
      </c>
      <c r="Q17" s="93"/>
      <c r="R17" s="93"/>
      <c r="S17" s="93"/>
      <c r="T17" s="93"/>
      <c r="U17" s="93"/>
      <c r="V17" s="92">
        <v>46128.481365740743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3469</v>
      </c>
      <c r="I18" s="93">
        <v>3469</v>
      </c>
      <c r="J18" s="93">
        <v>3473</v>
      </c>
      <c r="K18" s="93">
        <v>3471</v>
      </c>
      <c r="L18" s="93">
        <v>3477</v>
      </c>
      <c r="M18" s="93">
        <v>3436</v>
      </c>
      <c r="N18" s="93">
        <v>3473</v>
      </c>
      <c r="O18" s="93">
        <v>3367</v>
      </c>
      <c r="P18" s="93">
        <v>293</v>
      </c>
      <c r="Q18" s="93"/>
      <c r="R18" s="93"/>
      <c r="S18" s="93"/>
      <c r="T18" s="93"/>
      <c r="U18" s="93"/>
      <c r="V18" s="92">
        <v>46128.481365740743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75.92</v>
      </c>
      <c r="I19" s="93">
        <v>75.91</v>
      </c>
      <c r="J19" s="93">
        <v>75.930000000000007</v>
      </c>
      <c r="K19" s="93">
        <v>75.92</v>
      </c>
      <c r="L19" s="93">
        <v>75.11</v>
      </c>
      <c r="M19" s="93">
        <v>75.150000000000006</v>
      </c>
      <c r="N19" s="93">
        <v>76.09</v>
      </c>
      <c r="O19" s="93">
        <v>75.08</v>
      </c>
      <c r="P19" s="93">
        <v>1977</v>
      </c>
      <c r="Q19" s="93"/>
      <c r="R19" s="93"/>
      <c r="S19" s="93"/>
      <c r="T19" s="93"/>
      <c r="U19" s="93"/>
      <c r="V19" s="92">
        <v>46128.481365740743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-100</v>
      </c>
      <c r="I20" s="93">
        <v>-100</v>
      </c>
      <c r="J20" s="93">
        <v>-100</v>
      </c>
      <c r="K20" s="93">
        <v>-100</v>
      </c>
      <c r="L20" s="93">
        <v>252.6</v>
      </c>
      <c r="M20" s="93">
        <v>252.55</v>
      </c>
      <c r="N20" s="93">
        <v>253.52500000000001</v>
      </c>
      <c r="O20" s="93">
        <v>251.55</v>
      </c>
      <c r="P20" s="93">
        <v>2158</v>
      </c>
      <c r="Q20" s="93"/>
      <c r="R20" s="93"/>
      <c r="S20" s="93"/>
      <c r="T20" s="93"/>
      <c r="U20" s="93"/>
      <c r="V20" s="92">
        <v>46128.481365740743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0</v>
      </c>
      <c r="I21" s="93">
        <v>-100</v>
      </c>
      <c r="J21" s="93">
        <v>-100</v>
      </c>
      <c r="K21" s="93">
        <v>-100</v>
      </c>
      <c r="L21" s="93">
        <v>370.95</v>
      </c>
      <c r="M21" s="93">
        <v>374.95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46128.481365740743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0</v>
      </c>
      <c r="I22" s="93">
        <v>-100</v>
      </c>
      <c r="J22" s="93">
        <v>-100</v>
      </c>
      <c r="K22" s="93">
        <v>-100</v>
      </c>
      <c r="L22" s="93">
        <v>90.7</v>
      </c>
      <c r="M22" s="93">
        <v>0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46128.481365740743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97.974999999999994</v>
      </c>
      <c r="I23" s="93">
        <v>97.984999999999999</v>
      </c>
      <c r="J23" s="93">
        <v>97.99</v>
      </c>
      <c r="K23" s="93">
        <v>97.987499999999997</v>
      </c>
      <c r="L23" s="93">
        <v>97.85</v>
      </c>
      <c r="M23" s="93">
        <v>97.82</v>
      </c>
      <c r="N23" s="93">
        <v>98.004999999999995</v>
      </c>
      <c r="O23" s="93">
        <v>97.63</v>
      </c>
      <c r="P23" s="93">
        <v>3910</v>
      </c>
      <c r="Q23" s="93"/>
      <c r="R23" s="93"/>
      <c r="S23" s="93"/>
      <c r="T23" s="93"/>
      <c r="U23" s="93"/>
      <c r="V23" s="92">
        <v>46128.481365740743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1.1811499999999999</v>
      </c>
      <c r="I24" s="93">
        <v>1.1811</v>
      </c>
      <c r="J24" s="93">
        <v>1.1811499999999999</v>
      </c>
      <c r="K24" s="93">
        <v>1.181125</v>
      </c>
      <c r="L24" s="93">
        <v>1.1834499999999999</v>
      </c>
      <c r="M24" s="93">
        <v>1.1830000000000001</v>
      </c>
      <c r="N24" s="93">
        <v>1.1856500000000001</v>
      </c>
      <c r="O24" s="93">
        <v>1.18085</v>
      </c>
      <c r="P24" s="93">
        <v>39932</v>
      </c>
      <c r="Q24" s="93"/>
      <c r="R24" s="93"/>
      <c r="S24" s="93"/>
      <c r="T24" s="93"/>
      <c r="U24" s="93"/>
      <c r="V24" s="92">
        <v>46128.481365740743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1.3542000000000001</v>
      </c>
      <c r="I25" s="93">
        <v>1.3541000000000001</v>
      </c>
      <c r="J25" s="93">
        <v>1.3542000000000001</v>
      </c>
      <c r="K25" s="93">
        <v>1.3541500000000002</v>
      </c>
      <c r="L25" s="93">
        <v>1.3573999999999999</v>
      </c>
      <c r="M25" s="93">
        <v>1.3554999999999999</v>
      </c>
      <c r="N25" s="93">
        <v>1.3593</v>
      </c>
      <c r="O25" s="93">
        <v>1.3542000000000001</v>
      </c>
      <c r="P25" s="93">
        <v>20246</v>
      </c>
      <c r="Q25" s="93"/>
      <c r="R25" s="93"/>
      <c r="S25" s="93"/>
      <c r="T25" s="93"/>
      <c r="U25" s="93"/>
      <c r="V25" s="92">
        <v>46128.481365740743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6.3185000000000003E-3</v>
      </c>
      <c r="I26" s="93">
        <v>6.3185000000000003E-3</v>
      </c>
      <c r="J26" s="93">
        <v>6.319E-3</v>
      </c>
      <c r="K26" s="93">
        <v>6.3187499999999997E-3</v>
      </c>
      <c r="L26" s="93">
        <v>6.3210000000000002E-3</v>
      </c>
      <c r="M26" s="93">
        <v>6.3245000000000003E-3</v>
      </c>
      <c r="N26" s="93">
        <v>6.3499999999999997E-3</v>
      </c>
      <c r="O26" s="93">
        <v>6.3165000000000001E-3</v>
      </c>
      <c r="P26" s="93">
        <v>57246</v>
      </c>
      <c r="Q26" s="93"/>
      <c r="R26" s="93"/>
      <c r="S26" s="93"/>
      <c r="T26" s="93"/>
      <c r="U26" s="93"/>
      <c r="V26" s="92">
        <v>46128.481365740743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0.73014999999999997</v>
      </c>
      <c r="I27" s="93">
        <v>0.73009999999999997</v>
      </c>
      <c r="J27" s="93">
        <v>0.73014999999999997</v>
      </c>
      <c r="K27" s="93">
        <v>0.73012499999999991</v>
      </c>
      <c r="L27" s="93">
        <v>0.73024999999999995</v>
      </c>
      <c r="M27" s="93">
        <v>0.7298</v>
      </c>
      <c r="N27" s="93">
        <v>0.73114999999999997</v>
      </c>
      <c r="O27" s="93">
        <v>0.72975000000000001</v>
      </c>
      <c r="P27" s="93">
        <v>8273</v>
      </c>
      <c r="Q27" s="93"/>
      <c r="R27" s="93"/>
      <c r="S27" s="93"/>
      <c r="T27" s="93"/>
      <c r="U27" s="93"/>
      <c r="V27" s="92">
        <v>46128.481365740743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0.71625000000000005</v>
      </c>
      <c r="I28" s="93">
        <v>0.71619999999999995</v>
      </c>
      <c r="J28" s="93">
        <v>0.71625000000000005</v>
      </c>
      <c r="K28" s="93">
        <v>0.716225</v>
      </c>
      <c r="L28" s="93">
        <v>0.71679999999999999</v>
      </c>
      <c r="M28" s="93">
        <v>0.71640000000000004</v>
      </c>
      <c r="N28" s="93">
        <v>0.71909999999999996</v>
      </c>
      <c r="O28" s="93">
        <v>0.7157</v>
      </c>
      <c r="P28" s="93">
        <v>42282</v>
      </c>
      <c r="Q28" s="93"/>
      <c r="R28" s="93"/>
      <c r="S28" s="93"/>
      <c r="T28" s="93"/>
      <c r="U28" s="93"/>
      <c r="V28" s="92">
        <v>46128.481365740743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114.15625</v>
      </c>
      <c r="I29" s="93">
        <v>114.125</v>
      </c>
      <c r="J29" s="93">
        <v>114.15625</v>
      </c>
      <c r="K29" s="93">
        <v>114.140625</v>
      </c>
      <c r="L29" s="93">
        <v>114.34375</v>
      </c>
      <c r="M29" s="93">
        <v>114.1875</v>
      </c>
      <c r="N29" s="93">
        <v>114.46875</v>
      </c>
      <c r="O29" s="93">
        <v>114.15625</v>
      </c>
      <c r="P29" s="93">
        <v>31155</v>
      </c>
      <c r="Q29" s="93"/>
      <c r="R29" s="93"/>
      <c r="S29" s="93"/>
      <c r="T29" s="93"/>
      <c r="U29" s="93"/>
      <c r="V29" s="92">
        <v>46128.481365740743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111.390625</v>
      </c>
      <c r="I30" s="93">
        <v>111.375</v>
      </c>
      <c r="J30" s="93">
        <v>111.390625</v>
      </c>
      <c r="K30" s="93">
        <v>111.3828125</v>
      </c>
      <c r="L30" s="93">
        <v>111.359375</v>
      </c>
      <c r="M30" s="93">
        <v>111.359375</v>
      </c>
      <c r="N30" s="93">
        <v>111.53125</v>
      </c>
      <c r="O30" s="93">
        <v>111.34375</v>
      </c>
      <c r="P30" s="93">
        <v>187972</v>
      </c>
      <c r="Q30" s="93"/>
      <c r="R30" s="93"/>
      <c r="S30" s="93"/>
      <c r="T30" s="93"/>
      <c r="U30" s="93"/>
      <c r="V30" s="92">
        <v>46128.481365740743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125.44</v>
      </c>
      <c r="I31" s="93">
        <v>125.44</v>
      </c>
      <c r="J31" s="93">
        <v>125.45</v>
      </c>
      <c r="K31" s="93">
        <v>125.44499999999999</v>
      </c>
      <c r="L31" s="93">
        <v>125.29</v>
      </c>
      <c r="M31" s="93">
        <v>125.32</v>
      </c>
      <c r="N31" s="93">
        <v>125.62</v>
      </c>
      <c r="O31" s="93">
        <v>125.32</v>
      </c>
      <c r="P31" s="93">
        <v>279289</v>
      </c>
      <c r="Q31" s="93"/>
      <c r="R31" s="93"/>
      <c r="S31" s="93"/>
      <c r="T31" s="93"/>
      <c r="U31" s="93"/>
      <c r="V31" s="92">
        <v>46128.481365740743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>
        <v>107.8</v>
      </c>
      <c r="I32" s="93">
        <v>107.78</v>
      </c>
      <c r="J32" s="93">
        <v>107.8</v>
      </c>
      <c r="K32" s="93">
        <v>107.78999999999999</v>
      </c>
      <c r="L32" s="93">
        <v>107.62</v>
      </c>
      <c r="M32" s="93">
        <v>107.6</v>
      </c>
      <c r="N32" s="93">
        <v>108.04</v>
      </c>
      <c r="O32" s="93">
        <v>107.52</v>
      </c>
      <c r="P32" s="93">
        <v>45454</v>
      </c>
      <c r="Q32" s="93"/>
      <c r="R32" s="93"/>
      <c r="S32" s="93"/>
      <c r="T32" s="93"/>
      <c r="U32" s="93"/>
      <c r="V32" s="92">
        <v>46128.481365740743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>
        <v>117.53</v>
      </c>
      <c r="I33" s="93">
        <v>117.53</v>
      </c>
      <c r="J33" s="93">
        <v>117.54</v>
      </c>
      <c r="K33" s="93">
        <v>117.535</v>
      </c>
      <c r="L33" s="93">
        <v>117.38</v>
      </c>
      <c r="M33" s="93">
        <v>117.46</v>
      </c>
      <c r="N33" s="93">
        <v>117.79</v>
      </c>
      <c r="O33" s="93">
        <v>117.46</v>
      </c>
      <c r="P33" s="93">
        <v>85988</v>
      </c>
      <c r="Q33" s="93"/>
      <c r="R33" s="93"/>
      <c r="S33" s="93"/>
      <c r="T33" s="93"/>
      <c r="U33" s="93"/>
      <c r="V33" s="92">
        <v>46128.481365740743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74821.5</v>
      </c>
      <c r="I34" s="93">
        <v>74821.25</v>
      </c>
      <c r="J34" s="93">
        <v>74821.5</v>
      </c>
      <c r="K34" s="93">
        <v>74821.375</v>
      </c>
      <c r="L34" s="93">
        <v>75012.5</v>
      </c>
      <c r="M34" s="93"/>
      <c r="N34" s="93">
        <v>75446.5</v>
      </c>
      <c r="O34" s="93">
        <v>73937.5</v>
      </c>
      <c r="P34" s="93">
        <v>62.95814507</v>
      </c>
      <c r="Q34" s="93"/>
      <c r="R34" s="93"/>
      <c r="S34" s="93"/>
      <c r="T34" s="93"/>
      <c r="U34" s="93"/>
      <c r="V34" s="92">
        <v>46128.481365740743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2346.4499999999998</v>
      </c>
      <c r="I35" s="93">
        <v>2346.0500000000002</v>
      </c>
      <c r="J35" s="93">
        <v>2346.1</v>
      </c>
      <c r="K35" s="93">
        <v>2346.0749999999998</v>
      </c>
      <c r="L35" s="93">
        <v>2375.0500000000002</v>
      </c>
      <c r="M35" s="93"/>
      <c r="N35" s="93">
        <v>2386.85</v>
      </c>
      <c r="O35" s="93">
        <v>2323.9499999999998</v>
      </c>
      <c r="P35" s="93">
        <v>1263.4804576199999</v>
      </c>
      <c r="Q35" s="93"/>
      <c r="R35" s="93"/>
      <c r="S35" s="93"/>
      <c r="T35" s="93"/>
      <c r="U35" s="93"/>
      <c r="V35" s="92">
        <v>46128.481365740743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1.33</v>
      </c>
      <c r="I36" s="93">
        <v>1.28</v>
      </c>
      <c r="J36" s="93">
        <v>1.31</v>
      </c>
      <c r="K36" s="93">
        <v>1.2949999999999999</v>
      </c>
      <c r="L36" s="93">
        <v>1.41</v>
      </c>
      <c r="M36" s="93"/>
      <c r="N36" s="93">
        <v>1.46</v>
      </c>
      <c r="O36" s="93">
        <v>1.28</v>
      </c>
      <c r="P36" s="93">
        <v>95</v>
      </c>
      <c r="Q36" s="93">
        <v>0.63865588978220611</v>
      </c>
      <c r="R36" s="93">
        <v>-0.14465314617937799</v>
      </c>
      <c r="S36" s="93">
        <v>1.4388128895769861E-2</v>
      </c>
      <c r="T36" s="93">
        <v>6.0347494708476113E-2</v>
      </c>
      <c r="U36" s="93">
        <v>-6.8421829273718204E-2</v>
      </c>
      <c r="V36" s="92">
        <v>46128.481365740743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0.1</v>
      </c>
      <c r="I37" s="93">
        <v>0.09</v>
      </c>
      <c r="J37" s="93">
        <v>0.1</v>
      </c>
      <c r="K37" s="93">
        <v>9.5000000000000001E-2</v>
      </c>
      <c r="L37" s="93">
        <v>0.12</v>
      </c>
      <c r="M37" s="93"/>
      <c r="N37" s="93">
        <v>0.1</v>
      </c>
      <c r="O37" s="93">
        <v>0.1</v>
      </c>
      <c r="P37" s="93">
        <v>7</v>
      </c>
      <c r="Q37" s="93"/>
      <c r="R37" s="93"/>
      <c r="S37" s="93"/>
      <c r="T37" s="93"/>
      <c r="U37" s="93"/>
      <c r="V37" s="92">
        <v>46128.481365740743</v>
      </c>
      <c r="W37" s="1" t="s">
        <v>258</v>
      </c>
    </row>
    <row r="38" spans="1:23" x14ac:dyDescent="0.4">
      <c r="A38" s="1" t="s">
        <v>325</v>
      </c>
      <c r="B38" s="1">
        <v>766128347</v>
      </c>
      <c r="C38" s="1" t="s">
        <v>303</v>
      </c>
      <c r="D38" s="1" t="s">
        <v>26</v>
      </c>
      <c r="E38" s="1" t="s">
        <v>325</v>
      </c>
      <c r="F38" s="1" t="s">
        <v>80</v>
      </c>
      <c r="G38" s="1" t="s">
        <v>59</v>
      </c>
      <c r="H38" s="93">
        <v>16.399999999999999</v>
      </c>
      <c r="I38" s="93">
        <v>14.6</v>
      </c>
      <c r="J38" s="93">
        <v>15.9</v>
      </c>
      <c r="K38" s="93">
        <v>15.25</v>
      </c>
      <c r="L38" s="93">
        <v>16.399999999999999</v>
      </c>
      <c r="M38" s="93"/>
      <c r="N38" s="93">
        <v>17.399999999999999</v>
      </c>
      <c r="O38" s="93">
        <v>16.399999999999999</v>
      </c>
      <c r="P38" s="93">
        <v>103</v>
      </c>
      <c r="Q38" s="93">
        <v>0.27093050918244271</v>
      </c>
      <c r="R38" s="93">
        <v>8.0287505687109614E-2</v>
      </c>
      <c r="S38" s="93">
        <v>3.433257159560456E-4</v>
      </c>
      <c r="T38" s="93">
        <v>2.337249328106962</v>
      </c>
      <c r="U38" s="93">
        <v>-0.74355577437130016</v>
      </c>
      <c r="V38" s="92">
        <v>46128.481365740743</v>
      </c>
      <c r="W38" s="1" t="s">
        <v>258</v>
      </c>
    </row>
    <row r="39" spans="1:23" x14ac:dyDescent="0.4">
      <c r="A39" s="1" t="s">
        <v>326</v>
      </c>
      <c r="B39" s="1">
        <v>842622669</v>
      </c>
      <c r="C39" s="1" t="s">
        <v>303</v>
      </c>
      <c r="D39" s="1" t="s">
        <v>26</v>
      </c>
      <c r="E39" s="1" t="s">
        <v>326</v>
      </c>
      <c r="F39" s="1" t="s">
        <v>80</v>
      </c>
      <c r="G39" s="1" t="s">
        <v>59</v>
      </c>
      <c r="H39" s="93">
        <v>-1</v>
      </c>
      <c r="I39" s="93">
        <v>114.2</v>
      </c>
      <c r="J39" s="93">
        <v>116.5</v>
      </c>
      <c r="K39" s="93">
        <v>115.35</v>
      </c>
      <c r="L39" s="93">
        <v>116.5</v>
      </c>
      <c r="M39" s="93"/>
      <c r="N39" s="93"/>
      <c r="O39" s="93"/>
      <c r="P39" s="93">
        <v>0</v>
      </c>
      <c r="Q39" s="93">
        <v>0.24180469956730305</v>
      </c>
      <c r="R39" s="93">
        <v>0.41350082272940392</v>
      </c>
      <c r="S39" s="93">
        <v>1.0049341986775498E-3</v>
      </c>
      <c r="T39" s="93">
        <v>6.174061775384672</v>
      </c>
      <c r="U39" s="93">
        <v>-1.8525787677119467</v>
      </c>
      <c r="V39" s="92">
        <v>46128.481365740743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68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46127.469976851855</v>
      </c>
      <c r="B2" s="84" t="s">
        <v>342</v>
      </c>
      <c r="C2" s="84" t="s">
        <v>343</v>
      </c>
    </row>
    <row r="3" spans="1:3" x14ac:dyDescent="0.4">
      <c r="A3" s="87">
        <v>46127.469976851855</v>
      </c>
      <c r="B3" s="84" t="s">
        <v>342</v>
      </c>
      <c r="C3" s="84" t="s">
        <v>344</v>
      </c>
    </row>
    <row r="4" spans="1:3" x14ac:dyDescent="0.4">
      <c r="A4" s="87">
        <v>46127.469988425924</v>
      </c>
      <c r="B4" s="84" t="s">
        <v>342</v>
      </c>
      <c r="C4" s="84" t="s">
        <v>345</v>
      </c>
    </row>
    <row r="5" spans="1:3" x14ac:dyDescent="0.4">
      <c r="A5" s="85">
        <v>46127.471296296295</v>
      </c>
      <c r="B5" s="1" t="s">
        <v>342</v>
      </c>
      <c r="C5" s="1" t="s">
        <v>343</v>
      </c>
    </row>
    <row r="6" spans="1:3" x14ac:dyDescent="0.4">
      <c r="A6" s="85">
        <v>46127.471307870372</v>
      </c>
      <c r="B6" s="1" t="s">
        <v>342</v>
      </c>
      <c r="C6" s="1" t="s">
        <v>344</v>
      </c>
    </row>
    <row r="7" spans="1:3" x14ac:dyDescent="0.4">
      <c r="A7" s="85">
        <v>46127.471307870372</v>
      </c>
      <c r="B7" s="81" t="s">
        <v>342</v>
      </c>
      <c r="C7" s="81" t="s">
        <v>345</v>
      </c>
    </row>
    <row r="8" spans="1:3" x14ac:dyDescent="0.4">
      <c r="A8" s="85">
        <v>46127.475798611114</v>
      </c>
      <c r="B8" s="81" t="s">
        <v>342</v>
      </c>
      <c r="C8" s="81" t="s">
        <v>343</v>
      </c>
    </row>
    <row r="9" spans="1:3" x14ac:dyDescent="0.4">
      <c r="A9" s="85">
        <v>46127.475798611114</v>
      </c>
      <c r="B9" s="81" t="s">
        <v>342</v>
      </c>
      <c r="C9" s="81" t="s">
        <v>344</v>
      </c>
    </row>
    <row r="10" spans="1:3" x14ac:dyDescent="0.4">
      <c r="A10" s="85">
        <v>46127.475810185184</v>
      </c>
      <c r="B10" s="1" t="s">
        <v>342</v>
      </c>
      <c r="C10" s="1" t="s">
        <v>345</v>
      </c>
    </row>
    <row r="11" spans="1:3" x14ac:dyDescent="0.4">
      <c r="A11" s="85">
        <v>46128.480752314812</v>
      </c>
      <c r="B11" s="1" t="s">
        <v>342</v>
      </c>
      <c r="C11" s="1" t="s">
        <v>343</v>
      </c>
    </row>
    <row r="12" spans="1:3" x14ac:dyDescent="0.4">
      <c r="A12" s="85">
        <v>46128.480763888889</v>
      </c>
      <c r="B12" s="1" t="s">
        <v>342</v>
      </c>
      <c r="C12" s="1" t="s">
        <v>344</v>
      </c>
    </row>
    <row r="13" spans="1:3" x14ac:dyDescent="0.4">
      <c r="A13" s="85">
        <v>46128.480763888889</v>
      </c>
      <c r="B13" s="1" t="s">
        <v>342</v>
      </c>
      <c r="C13" s="1" t="s">
        <v>345</v>
      </c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  <row r="53" spans="1:1" x14ac:dyDescent="0.4">
      <c r="A53" s="85"/>
    </row>
    <row r="54" spans="1:1" x14ac:dyDescent="0.4">
      <c r="A54" s="85"/>
    </row>
    <row r="55" spans="1:1" x14ac:dyDescent="0.4">
      <c r="A55" s="85"/>
    </row>
    <row r="56" spans="1:1" x14ac:dyDescent="0.4">
      <c r="A56" s="85"/>
    </row>
    <row r="57" spans="1:1" x14ac:dyDescent="0.4">
      <c r="A57" s="85"/>
    </row>
    <row r="58" spans="1:1" x14ac:dyDescent="0.4">
      <c r="A58" s="85"/>
    </row>
    <row r="59" spans="1:1" x14ac:dyDescent="0.4">
      <c r="A59" s="85"/>
    </row>
    <row r="60" spans="1:1" x14ac:dyDescent="0.4">
      <c r="A60" s="85"/>
    </row>
    <row r="61" spans="1:1" x14ac:dyDescent="0.4">
      <c r="A61" s="85"/>
    </row>
    <row r="62" spans="1:1" x14ac:dyDescent="0.4">
      <c r="A62" s="85"/>
    </row>
    <row r="63" spans="1:1" x14ac:dyDescent="0.4">
      <c r="A63" s="85"/>
    </row>
    <row r="64" spans="1:1" x14ac:dyDescent="0.4">
      <c r="A64" s="85"/>
    </row>
    <row r="65" spans="1:1" x14ac:dyDescent="0.4">
      <c r="A65" s="85"/>
    </row>
    <row r="66" spans="1:1" x14ac:dyDescent="0.4">
      <c r="A66" s="85"/>
    </row>
    <row r="67" spans="1:1" x14ac:dyDescent="0.4">
      <c r="A67" s="85"/>
    </row>
    <row r="68" spans="1:1" x14ac:dyDescent="0.4">
      <c r="A68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2026-04-16T09:33:13Z</dcterms:modified>
</cp:coreProperties>
</file>