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601c1c2ba3d9f4/Trading/The Strategy Project/1XW Website/"/>
    </mc:Choice>
  </mc:AlternateContent>
  <xr:revisionPtr revIDLastSave="7" documentId="8_{CA9234CC-17F3-4882-8228-B49B2DC97DFE}" xr6:coauthVersionLast="47" xr6:coauthVersionMax="47" xr10:uidLastSave="{E1359F3C-377E-48B9-B290-1F60C8029D86}"/>
  <bookViews>
    <workbookView xWindow="-98" yWindow="-98" windowWidth="22695" windowHeight="14476" xr2:uid="{00000000-000D-0000-FFFF-FFFF00000000}"/>
  </bookViews>
  <sheets>
    <sheet name="Blotter" sheetId="3" r:id="rId1"/>
    <sheet name="Cash_Mgmt" sheetId="7" r:id="rId2"/>
    <sheet name="NAV" sheetId="9" r:id="rId3"/>
    <sheet name="PLB" sheetId="2" r:id="rId4"/>
    <sheet name="PLB_chart" sheetId="8" r:id="rId5"/>
    <sheet name="Multiplier" sheetId="4" r:id="rId6"/>
    <sheet name="Trades" sheetId="6" r:id="rId7"/>
    <sheet name="Data_IB" sheetId="5" r:id="rId8"/>
  </sheets>
  <externalReferences>
    <externalReference r:id="rId9"/>
  </externalReferences>
  <definedNames>
    <definedName name="_xlnm._FilterDatabase" localSheetId="0" hidden="1">Blotter!$G$19:$G$48</definedName>
    <definedName name="_xlnm._FilterDatabase" localSheetId="7" hidden="1">Data_IB!$B$68:$S$68</definedName>
    <definedName name="_xlnm._FilterDatabase" localSheetId="6" hidden="1">Trades!$A$1:$X$1066</definedName>
    <definedName name="DynDate">OFFSET(NAV!$B$3,0,0,COUNTA(NAV!$B:$B),1)</definedName>
    <definedName name="DynITD">OFFSET(NAV!$M$3,0,0,COUNTA(NAV!$M:$M)-1,1)</definedName>
    <definedName name="DynMTD">OFFSET(NAV!$N$3,0,0,COUNTA(NAV!$N:$N)-1,1)</definedName>
    <definedName name="DynNAV">OFFSET(NAV!$L$3,0,0,COUNTA(NAV!$L:$L)-1,1)</definedName>
    <definedName name="_xlnm.Print_Area" localSheetId="2">NAV!$A$25:$P$78</definedName>
    <definedName name="_xlnm.Print_Area" localSheetId="3">PLB!$A$1:$X$55</definedName>
    <definedName name="_xlnm.Print_Area" localSheetId="4">PLB_chart!$A$1:$V$39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084" i="6" l="1"/>
  <c r="W1084" i="6"/>
  <c r="V1084" i="6"/>
  <c r="U1084" i="6"/>
  <c r="T1084" i="6"/>
  <c r="X1083" i="6"/>
  <c r="W1083" i="6"/>
  <c r="V1083" i="6"/>
  <c r="U1083" i="6"/>
  <c r="T1083" i="6" s="1"/>
  <c r="X1082" i="6"/>
  <c r="W1082" i="6"/>
  <c r="V1082" i="6"/>
  <c r="U1082" i="6"/>
  <c r="T1082" i="6"/>
  <c r="X1081" i="6"/>
  <c r="W1081" i="6"/>
  <c r="V1081" i="6"/>
  <c r="U1081" i="6"/>
  <c r="T1081" i="6"/>
  <c r="X1080" i="6"/>
  <c r="W1080" i="6"/>
  <c r="V1080" i="6"/>
  <c r="U1080" i="6"/>
  <c r="T1080" i="6" s="1"/>
  <c r="X1079" i="6"/>
  <c r="W1079" i="6"/>
  <c r="V1079" i="6"/>
  <c r="U1079" i="6"/>
  <c r="T1079" i="6" s="1"/>
  <c r="X1078" i="6"/>
  <c r="W1078" i="6"/>
  <c r="V1078" i="6"/>
  <c r="U1078" i="6"/>
  <c r="T1078" i="6" s="1"/>
  <c r="X1077" i="6"/>
  <c r="W1077" i="6"/>
  <c r="V1077" i="6"/>
  <c r="U1077" i="6"/>
  <c r="T1077" i="6"/>
  <c r="X1076" i="6"/>
  <c r="W1076" i="6"/>
  <c r="V1076" i="6"/>
  <c r="U1076" i="6"/>
  <c r="T1076" i="6"/>
  <c r="X1075" i="6"/>
  <c r="W1075" i="6"/>
  <c r="V1075" i="6"/>
  <c r="U1075" i="6"/>
  <c r="T1075" i="6" s="1"/>
  <c r="X1074" i="6"/>
  <c r="W1074" i="6"/>
  <c r="V1074" i="6"/>
  <c r="U1074" i="6"/>
  <c r="T1074" i="6" s="1"/>
  <c r="X1073" i="6"/>
  <c r="W1073" i="6"/>
  <c r="V1073" i="6"/>
  <c r="U1073" i="6"/>
  <c r="T1073" i="6" s="1"/>
  <c r="X1072" i="6"/>
  <c r="W1072" i="6"/>
  <c r="V1072" i="6"/>
  <c r="U1072" i="6"/>
  <c r="T1072" i="6"/>
  <c r="X1071" i="6"/>
  <c r="W1071" i="6"/>
  <c r="V1071" i="6"/>
  <c r="U1071" i="6"/>
  <c r="T1071" i="6"/>
  <c r="X1070" i="6"/>
  <c r="W1070" i="6"/>
  <c r="V1070" i="6"/>
  <c r="U1070" i="6"/>
  <c r="T1070" i="6" s="1"/>
  <c r="X1069" i="6"/>
  <c r="W1069" i="6"/>
  <c r="V1069" i="6"/>
  <c r="U1069" i="6"/>
  <c r="T1069" i="6"/>
  <c r="X1068" i="6"/>
  <c r="W1068" i="6"/>
  <c r="V1068" i="6"/>
  <c r="U1068" i="6"/>
  <c r="T1068" i="6"/>
  <c r="X1067" i="6"/>
  <c r="W1067" i="6"/>
  <c r="V1067" i="6"/>
  <c r="U1067" i="6"/>
  <c r="T1067" i="6"/>
  <c r="X1066" i="6"/>
  <c r="W1066" i="6"/>
  <c r="V1066" i="6"/>
  <c r="U1066" i="6"/>
  <c r="T1066" i="6" s="1"/>
  <c r="X1065" i="6"/>
  <c r="W1065" i="6"/>
  <c r="V1065" i="6"/>
  <c r="U1065" i="6"/>
  <c r="T1065" i="6" s="1"/>
  <c r="X1064" i="6"/>
  <c r="W1064" i="6"/>
  <c r="V1064" i="6"/>
  <c r="U1064" i="6"/>
  <c r="T1064" i="6" s="1"/>
  <c r="X1063" i="6"/>
  <c r="W1063" i="6"/>
  <c r="V1063" i="6"/>
  <c r="U1063" i="6"/>
  <c r="T1063" i="6" s="1"/>
  <c r="X1062" i="6"/>
  <c r="W1062" i="6"/>
  <c r="V1062" i="6"/>
  <c r="U1062" i="6"/>
  <c r="T1062" i="6" s="1"/>
  <c r="X1061" i="6"/>
  <c r="W1061" i="6"/>
  <c r="V1061" i="6"/>
  <c r="U1061" i="6"/>
  <c r="T1061" i="6" s="1"/>
  <c r="X1060" i="6"/>
  <c r="W1060" i="6"/>
  <c r="V1060" i="6"/>
  <c r="U1060" i="6"/>
  <c r="T1060" i="6" s="1"/>
  <c r="X1059" i="6"/>
  <c r="W1059" i="6"/>
  <c r="V1059" i="6"/>
  <c r="U1059" i="6"/>
  <c r="T1059" i="6" s="1"/>
  <c r="X1058" i="6"/>
  <c r="W1058" i="6"/>
  <c r="V1058" i="6"/>
  <c r="U1058" i="6"/>
  <c r="T1058" i="6" s="1"/>
  <c r="X1057" i="6"/>
  <c r="W1057" i="6"/>
  <c r="V1057" i="6"/>
  <c r="U1057" i="6"/>
  <c r="T1057" i="6" s="1"/>
  <c r="X1056" i="6"/>
  <c r="W1056" i="6"/>
  <c r="V1056" i="6"/>
  <c r="U1056" i="6"/>
  <c r="T1056" i="6" s="1"/>
  <c r="X1055" i="6"/>
  <c r="W1055" i="6"/>
  <c r="V1055" i="6"/>
  <c r="U1055" i="6"/>
  <c r="T1055" i="6" s="1"/>
  <c r="X1054" i="6"/>
  <c r="W1054" i="6"/>
  <c r="V1054" i="6"/>
  <c r="U1054" i="6"/>
  <c r="T1054" i="6" s="1"/>
  <c r="X1053" i="6"/>
  <c r="W1053" i="6"/>
  <c r="V1053" i="6"/>
  <c r="U1053" i="6"/>
  <c r="T1053" i="6" s="1"/>
  <c r="X1052" i="6"/>
  <c r="W1052" i="6"/>
  <c r="V1052" i="6"/>
  <c r="U1052" i="6"/>
  <c r="T1052" i="6" s="1"/>
  <c r="X1051" i="6"/>
  <c r="W1051" i="6"/>
  <c r="V1051" i="6"/>
  <c r="U1051" i="6"/>
  <c r="T1051" i="6" s="1"/>
  <c r="X1050" i="6"/>
  <c r="W1050" i="6"/>
  <c r="V1050" i="6"/>
  <c r="U1050" i="6"/>
  <c r="T1050" i="6" s="1"/>
  <c r="X1049" i="6"/>
  <c r="W1049" i="6"/>
  <c r="V1049" i="6"/>
  <c r="U1049" i="6"/>
  <c r="T1049" i="6" s="1"/>
  <c r="X1048" i="6"/>
  <c r="W1048" i="6"/>
  <c r="V1048" i="6"/>
  <c r="U1048" i="6"/>
  <c r="T1048" i="6" s="1"/>
  <c r="X1047" i="6"/>
  <c r="W1047" i="6"/>
  <c r="V1047" i="6"/>
  <c r="U1047" i="6"/>
  <c r="T1047" i="6" s="1"/>
  <c r="X1046" i="6"/>
  <c r="W1046" i="6"/>
  <c r="V1046" i="6"/>
  <c r="U1046" i="6"/>
  <c r="T1046" i="6" s="1"/>
  <c r="X1045" i="6"/>
  <c r="W1045" i="6"/>
  <c r="V1045" i="6"/>
  <c r="U1045" i="6"/>
  <c r="T1045" i="6" s="1"/>
  <c r="X1044" i="6"/>
  <c r="W1044" i="6"/>
  <c r="V1044" i="6"/>
  <c r="U1044" i="6"/>
  <c r="T1044" i="6" s="1"/>
  <c r="X1043" i="6"/>
  <c r="W1043" i="6"/>
  <c r="V1043" i="6"/>
  <c r="U1043" i="6"/>
  <c r="T1043" i="6" s="1"/>
  <c r="X1042" i="6"/>
  <c r="W1042" i="6"/>
  <c r="V1042" i="6"/>
  <c r="U1042" i="6"/>
  <c r="T1042" i="6" s="1"/>
  <c r="X1041" i="6"/>
  <c r="W1041" i="6"/>
  <c r="V1041" i="6"/>
  <c r="U1041" i="6"/>
  <c r="T1041" i="6" s="1"/>
  <c r="X1040" i="6"/>
  <c r="W1040" i="6"/>
  <c r="V1040" i="6"/>
  <c r="U1040" i="6"/>
  <c r="T1040" i="6" s="1"/>
  <c r="X1039" i="6"/>
  <c r="W1039" i="6"/>
  <c r="V1039" i="6"/>
  <c r="U1039" i="6"/>
  <c r="T1039" i="6" s="1"/>
  <c r="X1038" i="6"/>
  <c r="W1038" i="6"/>
  <c r="V1038" i="6"/>
  <c r="U1038" i="6"/>
  <c r="T1038" i="6" s="1"/>
  <c r="X1037" i="6"/>
  <c r="W1037" i="6"/>
  <c r="V1037" i="6"/>
  <c r="U1037" i="6"/>
  <c r="T1037" i="6" s="1"/>
  <c r="X1036" i="6"/>
  <c r="W1036" i="6"/>
  <c r="V1036" i="6"/>
  <c r="U1036" i="6"/>
  <c r="T1036" i="6" s="1"/>
  <c r="X1035" i="6"/>
  <c r="W1035" i="6"/>
  <c r="V1035" i="6"/>
  <c r="U1035" i="6"/>
  <c r="T1035" i="6" s="1"/>
  <c r="X1034" i="6"/>
  <c r="W1034" i="6"/>
  <c r="V1034" i="6"/>
  <c r="U1034" i="6"/>
  <c r="T1034" i="6" s="1"/>
  <c r="X1033" i="6"/>
  <c r="W1033" i="6"/>
  <c r="V1033" i="6"/>
  <c r="U1033" i="6"/>
  <c r="T1033" i="6" s="1"/>
  <c r="X1032" i="6"/>
  <c r="W1032" i="6"/>
  <c r="V1032" i="6"/>
  <c r="U1032" i="6"/>
  <c r="T1032" i="6" s="1"/>
  <c r="X1031" i="6"/>
  <c r="W1031" i="6"/>
  <c r="V1031" i="6"/>
  <c r="U1031" i="6"/>
  <c r="T1031" i="6" s="1"/>
  <c r="X1030" i="6"/>
  <c r="W1030" i="6"/>
  <c r="V1030" i="6"/>
  <c r="U1030" i="6"/>
  <c r="T1030" i="6" s="1"/>
  <c r="X1029" i="6"/>
  <c r="W1029" i="6"/>
  <c r="V1029" i="6"/>
  <c r="U1029" i="6"/>
  <c r="T1029" i="6" s="1"/>
  <c r="X1028" i="6"/>
  <c r="W1028" i="6"/>
  <c r="V1028" i="6"/>
  <c r="U1028" i="6"/>
  <c r="T1028" i="6" s="1"/>
  <c r="X1027" i="6"/>
  <c r="W1027" i="6"/>
  <c r="V1027" i="6"/>
  <c r="U1027" i="6"/>
  <c r="T1027" i="6"/>
  <c r="X1026" i="6"/>
  <c r="W1026" i="6"/>
  <c r="V1026" i="6"/>
  <c r="U1026" i="6"/>
  <c r="T1026" i="6" s="1"/>
  <c r="X1025" i="6"/>
  <c r="W1025" i="6"/>
  <c r="V1025" i="6"/>
  <c r="U1025" i="6"/>
  <c r="T1025" i="6" s="1"/>
  <c r="X1024" i="6"/>
  <c r="W1024" i="6"/>
  <c r="V1024" i="6"/>
  <c r="U1024" i="6"/>
  <c r="T1024" i="6" s="1"/>
  <c r="X1023" i="6"/>
  <c r="W1023" i="6"/>
  <c r="V1023" i="6"/>
  <c r="U1023" i="6"/>
  <c r="T1023" i="6" s="1"/>
  <c r="X1022" i="6"/>
  <c r="W1022" i="6"/>
  <c r="V1022" i="6"/>
  <c r="U1022" i="6"/>
  <c r="T1022" i="6" s="1"/>
  <c r="X1021" i="6"/>
  <c r="W1021" i="6"/>
  <c r="V1021" i="6"/>
  <c r="U1021" i="6"/>
  <c r="T1021" i="6" s="1"/>
  <c r="X1020" i="6"/>
  <c r="W1020" i="6"/>
  <c r="V1020" i="6"/>
  <c r="U1020" i="6"/>
  <c r="T1020" i="6" s="1"/>
  <c r="X1019" i="6"/>
  <c r="W1019" i="6"/>
  <c r="V1019" i="6"/>
  <c r="U1019" i="6"/>
  <c r="T1019" i="6"/>
  <c r="X1018" i="6"/>
  <c r="W1018" i="6"/>
  <c r="V1018" i="6"/>
  <c r="U1018" i="6"/>
  <c r="T1018" i="6" s="1"/>
  <c r="X1017" i="6"/>
  <c r="W1017" i="6"/>
  <c r="V1017" i="6"/>
  <c r="U1017" i="6"/>
  <c r="T1017" i="6" s="1"/>
  <c r="X1016" i="6"/>
  <c r="W1016" i="6"/>
  <c r="V1016" i="6"/>
  <c r="U1016" i="6"/>
  <c r="T1016" i="6" s="1"/>
  <c r="X1015" i="6"/>
  <c r="W1015" i="6"/>
  <c r="V1015" i="6"/>
  <c r="U1015" i="6"/>
  <c r="T1015" i="6" s="1"/>
  <c r="X1014" i="6"/>
  <c r="W1014" i="6"/>
  <c r="V1014" i="6"/>
  <c r="U1014" i="6"/>
  <c r="T1014" i="6" s="1"/>
  <c r="X1013" i="6"/>
  <c r="W1013" i="6"/>
  <c r="V1013" i="6"/>
  <c r="U1013" i="6"/>
  <c r="T1013" i="6" s="1"/>
  <c r="X1012" i="6"/>
  <c r="W1012" i="6"/>
  <c r="V1012" i="6"/>
  <c r="U1012" i="6"/>
  <c r="T1012" i="6" s="1"/>
  <c r="O81" i="3"/>
  <c r="J81" i="3"/>
  <c r="R81" i="3" s="1"/>
  <c r="B57" i="2"/>
  <c r="B58" i="2" s="1"/>
  <c r="R59" i="2"/>
  <c r="N59" i="2"/>
  <c r="C59" i="2"/>
  <c r="U59" i="2" s="1"/>
  <c r="R58" i="2"/>
  <c r="N58" i="2"/>
  <c r="C58" i="2"/>
  <c r="U58" i="2" s="1"/>
  <c r="T57" i="2"/>
  <c r="R57" i="2"/>
  <c r="N57" i="2"/>
  <c r="E57" i="2" a="1"/>
  <c r="C57" i="2"/>
  <c r="U57" i="2" s="1"/>
  <c r="X1011" i="6"/>
  <c r="W1011" i="6"/>
  <c r="V1011" i="6"/>
  <c r="U1011" i="6"/>
  <c r="T1011" i="6" s="1"/>
  <c r="X1010" i="6"/>
  <c r="W1010" i="6"/>
  <c r="V1010" i="6"/>
  <c r="U1010" i="6"/>
  <c r="T1010" i="6" s="1"/>
  <c r="X1009" i="6"/>
  <c r="W1009" i="6"/>
  <c r="V1009" i="6"/>
  <c r="U1009" i="6"/>
  <c r="T1009" i="6" s="1"/>
  <c r="G3" i="7"/>
  <c r="K17" i="9"/>
  <c r="X1008" i="6"/>
  <c r="W1008" i="6"/>
  <c r="V1008" i="6"/>
  <c r="U1008" i="6"/>
  <c r="T1008" i="6"/>
  <c r="X1007" i="6"/>
  <c r="W1007" i="6"/>
  <c r="V1007" i="6"/>
  <c r="U1007" i="6"/>
  <c r="T1007" i="6" s="1"/>
  <c r="X1006" i="6"/>
  <c r="W1006" i="6"/>
  <c r="V1006" i="6"/>
  <c r="U1006" i="6"/>
  <c r="T1006" i="6" s="1"/>
  <c r="X1005" i="6"/>
  <c r="W1005" i="6"/>
  <c r="V1005" i="6"/>
  <c r="U1005" i="6"/>
  <c r="T1005" i="6" s="1"/>
  <c r="X1004" i="6"/>
  <c r="W1004" i="6"/>
  <c r="V1004" i="6"/>
  <c r="U1004" i="6"/>
  <c r="T1004" i="6"/>
  <c r="X1003" i="6"/>
  <c r="W1003" i="6"/>
  <c r="V1003" i="6"/>
  <c r="U1003" i="6"/>
  <c r="T1003" i="6" s="1"/>
  <c r="X1002" i="6"/>
  <c r="W1002" i="6"/>
  <c r="V1002" i="6"/>
  <c r="U1002" i="6"/>
  <c r="T1002" i="6" s="1"/>
  <c r="N71" i="3" a="1"/>
  <c r="N78" i="3" a="1"/>
  <c r="X1001" i="6"/>
  <c r="W1001" i="6"/>
  <c r="V1001" i="6"/>
  <c r="U1001" i="6"/>
  <c r="T1001" i="6" s="1"/>
  <c r="N89" i="5"/>
  <c r="O89" i="5" s="1"/>
  <c r="N66" i="5"/>
  <c r="O66" i="5" s="1"/>
  <c r="N65" i="5"/>
  <c r="B59" i="2" l="1"/>
  <c r="T59" i="2" s="1"/>
  <c r="T58" i="2"/>
  <c r="E59" i="2" a="1"/>
  <c r="E58" i="2" a="1"/>
  <c r="X1000" i="6"/>
  <c r="W1000" i="6"/>
  <c r="V1000" i="6"/>
  <c r="U1000" i="6"/>
  <c r="T1000" i="6" s="1"/>
  <c r="X999" i="6"/>
  <c r="W999" i="6"/>
  <c r="V999" i="6"/>
  <c r="U999" i="6"/>
  <c r="T999" i="6" s="1"/>
  <c r="X998" i="6"/>
  <c r="W998" i="6"/>
  <c r="V998" i="6"/>
  <c r="U998" i="6"/>
  <c r="T998" i="6" s="1"/>
  <c r="X997" i="6"/>
  <c r="W997" i="6"/>
  <c r="V997" i="6"/>
  <c r="U997" i="6"/>
  <c r="T997" i="6" s="1"/>
  <c r="X996" i="6"/>
  <c r="W996" i="6"/>
  <c r="V996" i="6"/>
  <c r="U996" i="6"/>
  <c r="T996" i="6" s="1"/>
  <c r="X995" i="6"/>
  <c r="W995" i="6"/>
  <c r="V995" i="6"/>
  <c r="U995" i="6"/>
  <c r="T995" i="6" s="1"/>
  <c r="X994" i="6"/>
  <c r="W994" i="6"/>
  <c r="V994" i="6"/>
  <c r="U994" i="6"/>
  <c r="T994" i="6" s="1"/>
  <c r="X993" i="6"/>
  <c r="W993" i="6"/>
  <c r="V993" i="6"/>
  <c r="U993" i="6"/>
  <c r="T993" i="6" s="1"/>
  <c r="X992" i="6"/>
  <c r="W992" i="6"/>
  <c r="V992" i="6"/>
  <c r="U992" i="6"/>
  <c r="T992" i="6" s="1"/>
  <c r="X991" i="6"/>
  <c r="W991" i="6"/>
  <c r="V991" i="6"/>
  <c r="U991" i="6"/>
  <c r="T991" i="6"/>
  <c r="X990" i="6"/>
  <c r="W990" i="6"/>
  <c r="V990" i="6"/>
  <c r="U990" i="6"/>
  <c r="T990" i="6" s="1"/>
  <c r="X989" i="6"/>
  <c r="W989" i="6"/>
  <c r="V989" i="6"/>
  <c r="U989" i="6"/>
  <c r="T989" i="6" s="1"/>
  <c r="X988" i="6"/>
  <c r="W988" i="6"/>
  <c r="V988" i="6"/>
  <c r="U988" i="6"/>
  <c r="T988" i="6" s="1"/>
  <c r="X987" i="6"/>
  <c r="W987" i="6"/>
  <c r="V987" i="6"/>
  <c r="U987" i="6"/>
  <c r="T987" i="6" s="1"/>
  <c r="X986" i="6"/>
  <c r="W986" i="6"/>
  <c r="V986" i="6"/>
  <c r="U986" i="6"/>
  <c r="T986" i="6" s="1"/>
  <c r="X985" i="6"/>
  <c r="W985" i="6"/>
  <c r="V985" i="6"/>
  <c r="U985" i="6"/>
  <c r="T985" i="6" s="1"/>
  <c r="X984" i="6"/>
  <c r="W984" i="6"/>
  <c r="V984" i="6"/>
  <c r="U984" i="6"/>
  <c r="T984" i="6" s="1"/>
  <c r="O80" i="3"/>
  <c r="J80" i="3"/>
  <c r="R80" i="3" s="1"/>
  <c r="G76" i="3"/>
  <c r="G77" i="3"/>
  <c r="X983" i="6"/>
  <c r="W983" i="6"/>
  <c r="V983" i="6"/>
  <c r="U983" i="6"/>
  <c r="T983" i="6" s="1"/>
  <c r="X982" i="6"/>
  <c r="W982" i="6"/>
  <c r="V982" i="6"/>
  <c r="U982" i="6"/>
  <c r="T982" i="6" s="1"/>
  <c r="X981" i="6"/>
  <c r="W981" i="6"/>
  <c r="V981" i="6"/>
  <c r="U981" i="6"/>
  <c r="T981" i="6"/>
  <c r="X980" i="6"/>
  <c r="W980" i="6"/>
  <c r="V980" i="6"/>
  <c r="U980" i="6"/>
  <c r="T980" i="6" s="1"/>
  <c r="X979" i="6"/>
  <c r="W979" i="6"/>
  <c r="V979" i="6"/>
  <c r="U979" i="6"/>
  <c r="T979" i="6" s="1"/>
  <c r="X978" i="6"/>
  <c r="W978" i="6"/>
  <c r="V978" i="6"/>
  <c r="U978" i="6"/>
  <c r="T978" i="6" s="1"/>
  <c r="X977" i="6"/>
  <c r="W977" i="6"/>
  <c r="V977" i="6"/>
  <c r="U977" i="6"/>
  <c r="T977" i="6"/>
  <c r="X976" i="6"/>
  <c r="W976" i="6"/>
  <c r="V976" i="6"/>
  <c r="U976" i="6"/>
  <c r="T976" i="6" s="1"/>
  <c r="X975" i="6"/>
  <c r="W975" i="6"/>
  <c r="V975" i="6"/>
  <c r="U975" i="6"/>
  <c r="T975" i="6" s="1"/>
  <c r="X974" i="6"/>
  <c r="W974" i="6"/>
  <c r="V974" i="6"/>
  <c r="U974" i="6"/>
  <c r="T974" i="6"/>
  <c r="X973" i="6"/>
  <c r="W973" i="6"/>
  <c r="V973" i="6"/>
  <c r="U973" i="6"/>
  <c r="T973" i="6" s="1"/>
  <c r="X972" i="6"/>
  <c r="W972" i="6"/>
  <c r="V972" i="6"/>
  <c r="U972" i="6"/>
  <c r="T972" i="6"/>
  <c r="X971" i="6"/>
  <c r="W971" i="6"/>
  <c r="V971" i="6"/>
  <c r="U971" i="6"/>
  <c r="T971" i="6" s="1"/>
  <c r="X970" i="6"/>
  <c r="W970" i="6"/>
  <c r="V970" i="6"/>
  <c r="U970" i="6"/>
  <c r="T970" i="6"/>
  <c r="X969" i="6"/>
  <c r="W969" i="6"/>
  <c r="V969" i="6"/>
  <c r="U969" i="6"/>
  <c r="T969" i="6" s="1"/>
  <c r="X968" i="6"/>
  <c r="W968" i="6"/>
  <c r="V968" i="6"/>
  <c r="U968" i="6"/>
  <c r="T968" i="6" s="1"/>
  <c r="X967" i="6"/>
  <c r="W967" i="6"/>
  <c r="V967" i="6"/>
  <c r="U967" i="6"/>
  <c r="T967" i="6" s="1"/>
  <c r="O65" i="5"/>
  <c r="X966" i="6" l="1"/>
  <c r="W966" i="6"/>
  <c r="V966" i="6"/>
  <c r="U966" i="6"/>
  <c r="T966" i="6" s="1"/>
  <c r="X965" i="6"/>
  <c r="W965" i="6"/>
  <c r="V965" i="6"/>
  <c r="U965" i="6"/>
  <c r="T965" i="6" s="1"/>
  <c r="X964" i="6"/>
  <c r="W964" i="6"/>
  <c r="V964" i="6"/>
  <c r="U964" i="6"/>
  <c r="T964" i="6" s="1"/>
  <c r="X963" i="6"/>
  <c r="W963" i="6"/>
  <c r="V963" i="6"/>
  <c r="U963" i="6"/>
  <c r="T963" i="6"/>
  <c r="X962" i="6"/>
  <c r="W962" i="6"/>
  <c r="V962" i="6"/>
  <c r="U962" i="6"/>
  <c r="T962" i="6" s="1"/>
  <c r="X961" i="6"/>
  <c r="W961" i="6"/>
  <c r="V961" i="6"/>
  <c r="U961" i="6"/>
  <c r="T961" i="6" s="1"/>
  <c r="X960" i="6"/>
  <c r="W960" i="6"/>
  <c r="V960" i="6"/>
  <c r="U960" i="6"/>
  <c r="T960" i="6" s="1"/>
  <c r="X959" i="6"/>
  <c r="W959" i="6"/>
  <c r="V959" i="6"/>
  <c r="U959" i="6"/>
  <c r="T959" i="6" s="1"/>
  <c r="H5" i="7"/>
  <c r="N14" i="5"/>
  <c r="M14" i="5"/>
  <c r="R14" i="5"/>
  <c r="Q14" i="5"/>
  <c r="S14" i="5" l="1"/>
  <c r="X958" i="6"/>
  <c r="W958" i="6"/>
  <c r="V958" i="6"/>
  <c r="U958" i="6"/>
  <c r="T958" i="6" s="1"/>
  <c r="X957" i="6"/>
  <c r="W957" i="6"/>
  <c r="V957" i="6"/>
  <c r="U957" i="6"/>
  <c r="T957" i="6" s="1"/>
  <c r="X956" i="6"/>
  <c r="W956" i="6"/>
  <c r="V956" i="6"/>
  <c r="U956" i="6"/>
  <c r="T956" i="6" s="1"/>
  <c r="X955" i="6"/>
  <c r="W955" i="6"/>
  <c r="V955" i="6"/>
  <c r="U955" i="6"/>
  <c r="T955" i="6" s="1"/>
  <c r="O79" i="3"/>
  <c r="J79" i="3"/>
  <c r="R79" i="3" s="1"/>
  <c r="O14" i="5"/>
  <c r="P14" i="5" l="1"/>
  <c r="R56" i="2"/>
  <c r="N56" i="2"/>
  <c r="C56" i="2"/>
  <c r="U56" i="2" s="1"/>
  <c r="B56" i="2"/>
  <c r="T56" i="2" s="1"/>
  <c r="X954" i="6"/>
  <c r="W954" i="6"/>
  <c r="V954" i="6"/>
  <c r="U954" i="6"/>
  <c r="T954" i="6" s="1"/>
  <c r="X953" i="6"/>
  <c r="W953" i="6"/>
  <c r="V953" i="6"/>
  <c r="U953" i="6"/>
  <c r="T953" i="6"/>
  <c r="X952" i="6"/>
  <c r="W952" i="6"/>
  <c r="V952" i="6"/>
  <c r="U952" i="6"/>
  <c r="T952" i="6" s="1"/>
  <c r="X951" i="6"/>
  <c r="W951" i="6"/>
  <c r="V951" i="6"/>
  <c r="U951" i="6"/>
  <c r="T951" i="6" s="1"/>
  <c r="X950" i="6"/>
  <c r="W950" i="6"/>
  <c r="V950" i="6"/>
  <c r="U950" i="6"/>
  <c r="T950" i="6" s="1"/>
  <c r="X949" i="6"/>
  <c r="W949" i="6"/>
  <c r="V949" i="6"/>
  <c r="U949" i="6"/>
  <c r="T949" i="6" s="1"/>
  <c r="X948" i="6"/>
  <c r="W948" i="6"/>
  <c r="V948" i="6"/>
  <c r="U948" i="6"/>
  <c r="T948" i="6" s="1"/>
  <c r="X947" i="6"/>
  <c r="W947" i="6"/>
  <c r="V947" i="6"/>
  <c r="U947" i="6"/>
  <c r="T947" i="6" s="1"/>
  <c r="X946" i="6"/>
  <c r="W946" i="6"/>
  <c r="V946" i="6"/>
  <c r="U946" i="6"/>
  <c r="T946" i="6" s="1"/>
  <c r="X945" i="6"/>
  <c r="W945" i="6"/>
  <c r="V945" i="6"/>
  <c r="U945" i="6"/>
  <c r="T945" i="6" s="1"/>
  <c r="E55" i="2" a="1"/>
  <c r="E54" i="2" a="1"/>
  <c r="E53" i="2" a="1"/>
  <c r="X944" i="6"/>
  <c r="W944" i="6"/>
  <c r="V944" i="6"/>
  <c r="U944" i="6"/>
  <c r="T944" i="6" s="1"/>
  <c r="K16" i="9"/>
  <c r="X943" i="6"/>
  <c r="W943" i="6"/>
  <c r="V943" i="6"/>
  <c r="U943" i="6"/>
  <c r="T943" i="6" s="1"/>
  <c r="X942" i="6"/>
  <c r="W942" i="6"/>
  <c r="V942" i="6"/>
  <c r="U942" i="6"/>
  <c r="T942" i="6" s="1"/>
  <c r="X941" i="6"/>
  <c r="W941" i="6"/>
  <c r="V941" i="6"/>
  <c r="U941" i="6"/>
  <c r="T941" i="6" s="1"/>
  <c r="X940" i="6"/>
  <c r="W940" i="6"/>
  <c r="V940" i="6"/>
  <c r="U940" i="6"/>
  <c r="T940" i="6" s="1"/>
  <c r="X939" i="6"/>
  <c r="W939" i="6"/>
  <c r="V939" i="6"/>
  <c r="U939" i="6"/>
  <c r="T939" i="6" s="1"/>
  <c r="X938" i="6"/>
  <c r="W938" i="6"/>
  <c r="V938" i="6"/>
  <c r="U938" i="6"/>
  <c r="T938" i="6" s="1"/>
  <c r="X937" i="6"/>
  <c r="W937" i="6"/>
  <c r="V937" i="6"/>
  <c r="U937" i="6"/>
  <c r="T937" i="6" s="1"/>
  <c r="X936" i="6"/>
  <c r="W936" i="6"/>
  <c r="V936" i="6"/>
  <c r="U936" i="6"/>
  <c r="T936" i="6" s="1"/>
  <c r="X935" i="6"/>
  <c r="W935" i="6"/>
  <c r="V935" i="6"/>
  <c r="U935" i="6"/>
  <c r="T935" i="6" s="1"/>
  <c r="X934" i="6"/>
  <c r="W934" i="6"/>
  <c r="V934" i="6"/>
  <c r="U934" i="6"/>
  <c r="T934" i="6" s="1"/>
  <c r="X933" i="6"/>
  <c r="W933" i="6"/>
  <c r="V933" i="6"/>
  <c r="U933" i="6"/>
  <c r="T933" i="6" s="1"/>
  <c r="X932" i="6"/>
  <c r="W932" i="6"/>
  <c r="V932" i="6"/>
  <c r="U932" i="6"/>
  <c r="T932" i="6" s="1"/>
  <c r="X931" i="6"/>
  <c r="W931" i="6"/>
  <c r="V931" i="6"/>
  <c r="U931" i="6"/>
  <c r="T931" i="6" s="1"/>
  <c r="X930" i="6"/>
  <c r="W930" i="6"/>
  <c r="V930" i="6"/>
  <c r="U930" i="6"/>
  <c r="T930" i="6" s="1"/>
  <c r="X929" i="6"/>
  <c r="W929" i="6"/>
  <c r="V929" i="6"/>
  <c r="U929" i="6"/>
  <c r="T929" i="6" s="1"/>
  <c r="X928" i="6"/>
  <c r="W928" i="6"/>
  <c r="V928" i="6"/>
  <c r="U928" i="6"/>
  <c r="T928" i="6" s="1"/>
  <c r="X927" i="6"/>
  <c r="W927" i="6"/>
  <c r="V927" i="6"/>
  <c r="U927" i="6"/>
  <c r="T927" i="6" s="1"/>
  <c r="X926" i="6"/>
  <c r="W926" i="6"/>
  <c r="V926" i="6"/>
  <c r="U926" i="6"/>
  <c r="T926" i="6" s="1"/>
  <c r="X925" i="6"/>
  <c r="W925" i="6"/>
  <c r="V925" i="6"/>
  <c r="U925" i="6"/>
  <c r="T925" i="6" s="1"/>
  <c r="X924" i="6"/>
  <c r="W924" i="6"/>
  <c r="V924" i="6"/>
  <c r="U924" i="6"/>
  <c r="T924" i="6" s="1"/>
  <c r="X923" i="6"/>
  <c r="W923" i="6"/>
  <c r="V923" i="6"/>
  <c r="U923" i="6"/>
  <c r="T923" i="6" s="1"/>
  <c r="X922" i="6"/>
  <c r="W922" i="6"/>
  <c r="V922" i="6"/>
  <c r="U922" i="6"/>
  <c r="T922" i="6" s="1"/>
  <c r="X921" i="6"/>
  <c r="W921" i="6"/>
  <c r="V921" i="6"/>
  <c r="U921" i="6"/>
  <c r="T921" i="6"/>
  <c r="X920" i="6"/>
  <c r="W920" i="6"/>
  <c r="V920" i="6"/>
  <c r="U920" i="6"/>
  <c r="T920" i="6" s="1"/>
  <c r="X919" i="6"/>
  <c r="W919" i="6"/>
  <c r="V919" i="6"/>
  <c r="U919" i="6"/>
  <c r="T919" i="6" s="1"/>
  <c r="X918" i="6"/>
  <c r="W918" i="6"/>
  <c r="V918" i="6"/>
  <c r="U918" i="6"/>
  <c r="T918" i="6" s="1"/>
  <c r="X917" i="6"/>
  <c r="W917" i="6"/>
  <c r="V917" i="6"/>
  <c r="U917" i="6"/>
  <c r="T917" i="6" s="1"/>
  <c r="X916" i="6"/>
  <c r="W916" i="6"/>
  <c r="V916" i="6"/>
  <c r="U916" i="6"/>
  <c r="T916" i="6" s="1"/>
  <c r="X915" i="6"/>
  <c r="W915" i="6"/>
  <c r="V915" i="6"/>
  <c r="U915" i="6"/>
  <c r="T915" i="6" s="1"/>
  <c r="X914" i="6"/>
  <c r="W914" i="6"/>
  <c r="V914" i="6"/>
  <c r="U914" i="6"/>
  <c r="T914" i="6" s="1"/>
  <c r="X913" i="6"/>
  <c r="W913" i="6"/>
  <c r="V913" i="6"/>
  <c r="U913" i="6"/>
  <c r="T913" i="6" s="1"/>
  <c r="X912" i="6"/>
  <c r="W912" i="6"/>
  <c r="V912" i="6"/>
  <c r="U912" i="6"/>
  <c r="T912" i="6" s="1"/>
  <c r="X911" i="6"/>
  <c r="W911" i="6"/>
  <c r="V911" i="6"/>
  <c r="U911" i="6"/>
  <c r="T911" i="6" s="1"/>
  <c r="X910" i="6"/>
  <c r="W910" i="6"/>
  <c r="V910" i="6"/>
  <c r="U910" i="6"/>
  <c r="T910" i="6" s="1"/>
  <c r="X909" i="6"/>
  <c r="W909" i="6"/>
  <c r="V909" i="6"/>
  <c r="U909" i="6"/>
  <c r="T909" i="6" s="1"/>
  <c r="X908" i="6"/>
  <c r="W908" i="6"/>
  <c r="V908" i="6"/>
  <c r="U908" i="6"/>
  <c r="T908" i="6" s="1"/>
  <c r="X907" i="6"/>
  <c r="W907" i="6"/>
  <c r="V907" i="6"/>
  <c r="U907" i="6"/>
  <c r="T907" i="6" s="1"/>
  <c r="X906" i="6"/>
  <c r="W906" i="6"/>
  <c r="V906" i="6"/>
  <c r="U906" i="6"/>
  <c r="T906" i="6" s="1"/>
  <c r="X905" i="6"/>
  <c r="W905" i="6"/>
  <c r="V905" i="6"/>
  <c r="U905" i="6"/>
  <c r="T905" i="6" s="1"/>
  <c r="X904" i="6"/>
  <c r="W904" i="6"/>
  <c r="V904" i="6"/>
  <c r="U904" i="6"/>
  <c r="T904" i="6" s="1"/>
  <c r="X903" i="6"/>
  <c r="W903" i="6"/>
  <c r="V903" i="6"/>
  <c r="U903" i="6"/>
  <c r="T903" i="6" s="1"/>
  <c r="X902" i="6"/>
  <c r="W902" i="6"/>
  <c r="V902" i="6"/>
  <c r="U902" i="6"/>
  <c r="T902" i="6"/>
  <c r="X901" i="6"/>
  <c r="W901" i="6"/>
  <c r="V901" i="6"/>
  <c r="U901" i="6"/>
  <c r="T901" i="6" s="1"/>
  <c r="X900" i="6"/>
  <c r="W900" i="6"/>
  <c r="V900" i="6"/>
  <c r="U900" i="6"/>
  <c r="T900" i="6" s="1"/>
  <c r="X899" i="6"/>
  <c r="W899" i="6"/>
  <c r="V899" i="6"/>
  <c r="U899" i="6"/>
  <c r="T899" i="6" s="1"/>
  <c r="X898" i="6"/>
  <c r="W898" i="6"/>
  <c r="V898" i="6"/>
  <c r="U898" i="6"/>
  <c r="T898" i="6" s="1"/>
  <c r="X897" i="6"/>
  <c r="W897" i="6"/>
  <c r="V897" i="6"/>
  <c r="U897" i="6"/>
  <c r="T897" i="6"/>
  <c r="X896" i="6"/>
  <c r="W896" i="6"/>
  <c r="V896" i="6"/>
  <c r="U896" i="6"/>
  <c r="T896" i="6" s="1"/>
  <c r="X895" i="6"/>
  <c r="W895" i="6"/>
  <c r="V895" i="6"/>
  <c r="U895" i="6"/>
  <c r="T895" i="6" s="1"/>
  <c r="X894" i="6"/>
  <c r="W894" i="6"/>
  <c r="V894" i="6"/>
  <c r="U894" i="6"/>
  <c r="T894" i="6" s="1"/>
  <c r="X893" i="6"/>
  <c r="W893" i="6"/>
  <c r="V893" i="6"/>
  <c r="U893" i="6"/>
  <c r="T893" i="6" s="1"/>
  <c r="X892" i="6"/>
  <c r="W892" i="6"/>
  <c r="V892" i="6"/>
  <c r="U892" i="6"/>
  <c r="T892" i="6" s="1"/>
  <c r="X891" i="6"/>
  <c r="W891" i="6"/>
  <c r="V891" i="6"/>
  <c r="U891" i="6"/>
  <c r="T891" i="6" s="1"/>
  <c r="X890" i="6"/>
  <c r="W890" i="6"/>
  <c r="V890" i="6"/>
  <c r="U890" i="6"/>
  <c r="T890" i="6" s="1"/>
  <c r="X889" i="6"/>
  <c r="W889" i="6"/>
  <c r="V889" i="6"/>
  <c r="U889" i="6"/>
  <c r="T889" i="6" s="1"/>
  <c r="X888" i="6"/>
  <c r="W888" i="6"/>
  <c r="V888" i="6"/>
  <c r="U888" i="6"/>
  <c r="T888" i="6" s="1"/>
  <c r="X887" i="6"/>
  <c r="W887" i="6"/>
  <c r="V887" i="6"/>
  <c r="U887" i="6"/>
  <c r="T887" i="6" s="1"/>
  <c r="X886" i="6"/>
  <c r="W886" i="6"/>
  <c r="V886" i="6"/>
  <c r="U886" i="6"/>
  <c r="T886" i="6" s="1"/>
  <c r="X885" i="6"/>
  <c r="W885" i="6"/>
  <c r="V885" i="6"/>
  <c r="U885" i="6"/>
  <c r="T885" i="6" s="1"/>
  <c r="X884" i="6"/>
  <c r="W884" i="6"/>
  <c r="V884" i="6"/>
  <c r="U884" i="6"/>
  <c r="T884" i="6" s="1"/>
  <c r="X883" i="6"/>
  <c r="W883" i="6"/>
  <c r="V883" i="6"/>
  <c r="U883" i="6"/>
  <c r="T883" i="6" s="1"/>
  <c r="X882" i="6"/>
  <c r="W882" i="6"/>
  <c r="V882" i="6"/>
  <c r="U882" i="6"/>
  <c r="T882" i="6" s="1"/>
  <c r="X881" i="6"/>
  <c r="W881" i="6"/>
  <c r="V881" i="6"/>
  <c r="U881" i="6"/>
  <c r="T881" i="6" s="1"/>
  <c r="E52" i="2" a="1"/>
  <c r="X880" i="6"/>
  <c r="W880" i="6"/>
  <c r="V880" i="6"/>
  <c r="U880" i="6"/>
  <c r="T880" i="6" s="1"/>
  <c r="O78" i="3"/>
  <c r="J78" i="3"/>
  <c r="R78" i="3" s="1"/>
  <c r="X879" i="6"/>
  <c r="W879" i="6"/>
  <c r="V879" i="6"/>
  <c r="U879" i="6"/>
  <c r="T879" i="6" s="1"/>
  <c r="X878" i="6"/>
  <c r="W878" i="6"/>
  <c r="V878" i="6"/>
  <c r="U878" i="6"/>
  <c r="T878" i="6" s="1"/>
  <c r="X877" i="6"/>
  <c r="W877" i="6"/>
  <c r="V877" i="6"/>
  <c r="U877" i="6"/>
  <c r="T877" i="6" s="1"/>
  <c r="X876" i="6"/>
  <c r="W876" i="6"/>
  <c r="V876" i="6"/>
  <c r="U876" i="6"/>
  <c r="T876" i="6" s="1"/>
  <c r="X875" i="6"/>
  <c r="W875" i="6"/>
  <c r="V875" i="6"/>
  <c r="U875" i="6"/>
  <c r="T875" i="6" s="1"/>
  <c r="X874" i="6"/>
  <c r="W874" i="6"/>
  <c r="V874" i="6"/>
  <c r="U874" i="6"/>
  <c r="T874" i="6"/>
  <c r="X873" i="6"/>
  <c r="W873" i="6"/>
  <c r="V873" i="6"/>
  <c r="U873" i="6"/>
  <c r="T873" i="6"/>
  <c r="X872" i="6"/>
  <c r="W872" i="6"/>
  <c r="V872" i="6"/>
  <c r="U872" i="6"/>
  <c r="T872" i="6" s="1"/>
  <c r="X871" i="6"/>
  <c r="W871" i="6"/>
  <c r="V871" i="6"/>
  <c r="U871" i="6"/>
  <c r="T871" i="6" s="1"/>
  <c r="X870" i="6"/>
  <c r="W870" i="6"/>
  <c r="V870" i="6"/>
  <c r="U870" i="6"/>
  <c r="T870" i="6"/>
  <c r="X869" i="6"/>
  <c r="W869" i="6"/>
  <c r="V869" i="6"/>
  <c r="U869" i="6"/>
  <c r="T869" i="6" s="1"/>
  <c r="X868" i="6"/>
  <c r="W868" i="6"/>
  <c r="V868" i="6"/>
  <c r="U868" i="6"/>
  <c r="T868" i="6" s="1"/>
  <c r="X867" i="6"/>
  <c r="W867" i="6"/>
  <c r="V867" i="6"/>
  <c r="U867" i="6"/>
  <c r="T867" i="6" s="1"/>
  <c r="X866" i="6"/>
  <c r="W866" i="6"/>
  <c r="V866" i="6"/>
  <c r="U866" i="6"/>
  <c r="T866" i="6" s="1"/>
  <c r="X865" i="6"/>
  <c r="W865" i="6"/>
  <c r="V865" i="6"/>
  <c r="U865" i="6"/>
  <c r="T865" i="6" s="1"/>
  <c r="X864" i="6"/>
  <c r="W864" i="6"/>
  <c r="V864" i="6"/>
  <c r="U864" i="6"/>
  <c r="T864" i="6" s="1"/>
  <c r="X863" i="6"/>
  <c r="W863" i="6"/>
  <c r="V863" i="6"/>
  <c r="U863" i="6"/>
  <c r="T863" i="6" s="1"/>
  <c r="X862" i="6"/>
  <c r="W862" i="6"/>
  <c r="V862" i="6"/>
  <c r="U862" i="6"/>
  <c r="T862" i="6" s="1"/>
  <c r="X861" i="6"/>
  <c r="W861" i="6"/>
  <c r="V861" i="6"/>
  <c r="U861" i="6"/>
  <c r="T861" i="6" s="1"/>
  <c r="X860" i="6"/>
  <c r="W860" i="6"/>
  <c r="V860" i="6"/>
  <c r="U860" i="6"/>
  <c r="T860" i="6" s="1"/>
  <c r="X859" i="6"/>
  <c r="W859" i="6"/>
  <c r="V859" i="6"/>
  <c r="U859" i="6"/>
  <c r="T859" i="6" s="1"/>
  <c r="X858" i="6"/>
  <c r="W858" i="6"/>
  <c r="V858" i="6"/>
  <c r="U858" i="6"/>
  <c r="T858" i="6" s="1"/>
  <c r="X857" i="6"/>
  <c r="W857" i="6"/>
  <c r="V857" i="6"/>
  <c r="U857" i="6"/>
  <c r="T857" i="6" s="1"/>
  <c r="X856" i="6"/>
  <c r="W856" i="6"/>
  <c r="V856" i="6"/>
  <c r="U856" i="6"/>
  <c r="T856" i="6"/>
  <c r="X855" i="6"/>
  <c r="W855" i="6"/>
  <c r="V855" i="6"/>
  <c r="U855" i="6"/>
  <c r="T855" i="6" s="1"/>
  <c r="O77" i="3"/>
  <c r="J77" i="3"/>
  <c r="R77" i="3" s="1"/>
  <c r="X854" i="6"/>
  <c r="W854" i="6"/>
  <c r="V854" i="6"/>
  <c r="U854" i="6"/>
  <c r="T854" i="6" s="1"/>
  <c r="X853" i="6"/>
  <c r="W853" i="6"/>
  <c r="V853" i="6"/>
  <c r="U853" i="6"/>
  <c r="T853" i="6" s="1"/>
  <c r="X852" i="6"/>
  <c r="W852" i="6"/>
  <c r="V852" i="6"/>
  <c r="U852" i="6"/>
  <c r="T852" i="6" s="1"/>
  <c r="X851" i="6"/>
  <c r="W851" i="6"/>
  <c r="V851" i="6"/>
  <c r="U851" i="6"/>
  <c r="T851" i="6" s="1"/>
  <c r="X850" i="6"/>
  <c r="W850" i="6"/>
  <c r="V850" i="6"/>
  <c r="U850" i="6"/>
  <c r="T850" i="6" s="1"/>
  <c r="X849" i="6"/>
  <c r="W849" i="6"/>
  <c r="V849" i="6"/>
  <c r="U849" i="6"/>
  <c r="T849" i="6"/>
  <c r="X848" i="6"/>
  <c r="W848" i="6"/>
  <c r="V848" i="6"/>
  <c r="U848" i="6"/>
  <c r="T848" i="6"/>
  <c r="X847" i="6"/>
  <c r="W847" i="6"/>
  <c r="V847" i="6"/>
  <c r="U847" i="6"/>
  <c r="T847" i="6" s="1"/>
  <c r="X846" i="6"/>
  <c r="W846" i="6"/>
  <c r="V846" i="6"/>
  <c r="U846" i="6"/>
  <c r="T846" i="6" s="1"/>
  <c r="X845" i="6"/>
  <c r="W845" i="6"/>
  <c r="V845" i="6"/>
  <c r="U845" i="6"/>
  <c r="T845" i="6" s="1"/>
  <c r="X844" i="6"/>
  <c r="W844" i="6"/>
  <c r="V844" i="6"/>
  <c r="U844" i="6"/>
  <c r="T844" i="6" s="1"/>
  <c r="X843" i="6"/>
  <c r="W843" i="6"/>
  <c r="V843" i="6"/>
  <c r="U843" i="6"/>
  <c r="T843" i="6" s="1"/>
  <c r="X842" i="6"/>
  <c r="W842" i="6"/>
  <c r="V842" i="6"/>
  <c r="U842" i="6"/>
  <c r="T842" i="6" s="1"/>
  <c r="X841" i="6"/>
  <c r="W841" i="6"/>
  <c r="V841" i="6"/>
  <c r="U841" i="6"/>
  <c r="T841" i="6" s="1"/>
  <c r="E51" i="2" a="1"/>
  <c r="U76" i="3"/>
  <c r="V76" i="3" s="1"/>
  <c r="S76" i="3"/>
  <c r="T76" i="3" s="1"/>
  <c r="O76" i="3"/>
  <c r="J76" i="3"/>
  <c r="R76" i="3" s="1"/>
  <c r="O75" i="3"/>
  <c r="J75" i="3"/>
  <c r="R75" i="3" s="1"/>
  <c r="X840" i="6"/>
  <c r="W840" i="6"/>
  <c r="V840" i="6"/>
  <c r="U840" i="6"/>
  <c r="T840" i="6"/>
  <c r="X839" i="6"/>
  <c r="W839" i="6"/>
  <c r="V839" i="6"/>
  <c r="U839" i="6"/>
  <c r="T839" i="6" s="1"/>
  <c r="X838" i="6"/>
  <c r="W838" i="6"/>
  <c r="V838" i="6"/>
  <c r="U838" i="6"/>
  <c r="T838" i="6" s="1"/>
  <c r="X837" i="6"/>
  <c r="W837" i="6"/>
  <c r="V837" i="6"/>
  <c r="U837" i="6"/>
  <c r="T837" i="6" s="1"/>
  <c r="X836" i="6"/>
  <c r="W836" i="6"/>
  <c r="V836" i="6"/>
  <c r="U836" i="6"/>
  <c r="T836" i="6" s="1"/>
  <c r="X835" i="6"/>
  <c r="W835" i="6"/>
  <c r="V835" i="6"/>
  <c r="U835" i="6"/>
  <c r="T835" i="6"/>
  <c r="X834" i="6"/>
  <c r="W834" i="6"/>
  <c r="V834" i="6"/>
  <c r="U834" i="6"/>
  <c r="T834" i="6" s="1"/>
  <c r="X833" i="6"/>
  <c r="W833" i="6"/>
  <c r="V833" i="6"/>
  <c r="U833" i="6"/>
  <c r="T833" i="6" s="1"/>
  <c r="X832" i="6"/>
  <c r="W832" i="6"/>
  <c r="V832" i="6"/>
  <c r="U832" i="6"/>
  <c r="T832" i="6" s="1"/>
  <c r="X831" i="6"/>
  <c r="W831" i="6"/>
  <c r="V831" i="6"/>
  <c r="U831" i="6"/>
  <c r="T831" i="6" s="1"/>
  <c r="X830" i="6"/>
  <c r="W830" i="6"/>
  <c r="V830" i="6"/>
  <c r="U830" i="6"/>
  <c r="T830" i="6" s="1"/>
  <c r="X829" i="6"/>
  <c r="W829" i="6"/>
  <c r="V829" i="6"/>
  <c r="U829" i="6"/>
  <c r="T829" i="6"/>
  <c r="X828" i="6"/>
  <c r="W828" i="6"/>
  <c r="V828" i="6"/>
  <c r="U828" i="6"/>
  <c r="T828" i="6" s="1"/>
  <c r="X827" i="6"/>
  <c r="W827" i="6"/>
  <c r="V827" i="6"/>
  <c r="U827" i="6"/>
  <c r="T827" i="6" s="1"/>
  <c r="X826" i="6"/>
  <c r="W826" i="6"/>
  <c r="V826" i="6"/>
  <c r="U826" i="6"/>
  <c r="T826" i="6" s="1"/>
  <c r="X825" i="6"/>
  <c r="W825" i="6"/>
  <c r="V825" i="6"/>
  <c r="U825" i="6"/>
  <c r="T825" i="6" s="1"/>
  <c r="X824" i="6"/>
  <c r="W824" i="6"/>
  <c r="V824" i="6"/>
  <c r="U824" i="6"/>
  <c r="T824" i="6" s="1"/>
  <c r="X823" i="6"/>
  <c r="W823" i="6"/>
  <c r="V823" i="6"/>
  <c r="U823" i="6"/>
  <c r="T823" i="6" s="1"/>
  <c r="X822" i="6"/>
  <c r="W822" i="6"/>
  <c r="V822" i="6"/>
  <c r="U822" i="6"/>
  <c r="T822" i="6" s="1"/>
  <c r="X821" i="6"/>
  <c r="W821" i="6"/>
  <c r="V821" i="6"/>
  <c r="U821" i="6"/>
  <c r="T821" i="6" s="1"/>
  <c r="X820" i="6"/>
  <c r="W820" i="6"/>
  <c r="V820" i="6"/>
  <c r="U820" i="6"/>
  <c r="T820" i="6" s="1"/>
  <c r="X819" i="6"/>
  <c r="W819" i="6"/>
  <c r="V819" i="6"/>
  <c r="U819" i="6"/>
  <c r="T819" i="6" s="1"/>
  <c r="X818" i="6"/>
  <c r="W818" i="6"/>
  <c r="V818" i="6"/>
  <c r="U818" i="6"/>
  <c r="T818" i="6" s="1"/>
  <c r="X817" i="6"/>
  <c r="W817" i="6"/>
  <c r="V817" i="6"/>
  <c r="U817" i="6"/>
  <c r="T817" i="6" s="1"/>
  <c r="X816" i="6"/>
  <c r="W816" i="6"/>
  <c r="V816" i="6"/>
  <c r="U816" i="6"/>
  <c r="T816" i="6" s="1"/>
  <c r="X815" i="6"/>
  <c r="W815" i="6"/>
  <c r="V815" i="6"/>
  <c r="U815" i="6"/>
  <c r="T815" i="6"/>
  <c r="X814" i="6"/>
  <c r="W814" i="6"/>
  <c r="V814" i="6"/>
  <c r="U814" i="6"/>
  <c r="T814" i="6" s="1"/>
  <c r="X813" i="6"/>
  <c r="W813" i="6"/>
  <c r="V813" i="6"/>
  <c r="U813" i="6"/>
  <c r="T813" i="6" s="1"/>
  <c r="X812" i="6"/>
  <c r="W812" i="6"/>
  <c r="V812" i="6"/>
  <c r="U812" i="6"/>
  <c r="T812" i="6" s="1"/>
  <c r="X811" i="6"/>
  <c r="W811" i="6"/>
  <c r="V811" i="6"/>
  <c r="U811" i="6"/>
  <c r="T811" i="6" s="1"/>
  <c r="O14" i="9"/>
  <c r="M19" i="5"/>
  <c r="R18" i="5"/>
  <c r="R19" i="5"/>
  <c r="Q19" i="5"/>
  <c r="Q18" i="5"/>
  <c r="N88" i="5"/>
  <c r="M18" i="5"/>
  <c r="N19" i="5"/>
  <c r="N18" i="5"/>
  <c r="E56" i="2" l="1" a="1"/>
  <c r="S19" i="5"/>
  <c r="S18" i="5"/>
  <c r="K15" i="9"/>
  <c r="X810" i="6"/>
  <c r="W810" i="6"/>
  <c r="V810" i="6"/>
  <c r="U810" i="6"/>
  <c r="T810" i="6"/>
  <c r="X809" i="6"/>
  <c r="W809" i="6"/>
  <c r="V809" i="6"/>
  <c r="U809" i="6"/>
  <c r="T809" i="6" s="1"/>
  <c r="X808" i="6"/>
  <c r="W808" i="6"/>
  <c r="V808" i="6"/>
  <c r="U808" i="6"/>
  <c r="T808" i="6" s="1"/>
  <c r="X807" i="6"/>
  <c r="W807" i="6"/>
  <c r="V807" i="6"/>
  <c r="U807" i="6"/>
  <c r="T807" i="6" s="1"/>
  <c r="X806" i="6"/>
  <c r="W806" i="6"/>
  <c r="V806" i="6"/>
  <c r="U806" i="6"/>
  <c r="T806" i="6" s="1"/>
  <c r="X805" i="6"/>
  <c r="W805" i="6"/>
  <c r="V805" i="6"/>
  <c r="U805" i="6"/>
  <c r="T805" i="6" s="1"/>
  <c r="X804" i="6"/>
  <c r="W804" i="6"/>
  <c r="V804" i="6"/>
  <c r="U804" i="6"/>
  <c r="T804" i="6" s="1"/>
  <c r="X803" i="6"/>
  <c r="W803" i="6"/>
  <c r="V803" i="6"/>
  <c r="U803" i="6"/>
  <c r="T803" i="6"/>
  <c r="X802" i="6"/>
  <c r="W802" i="6"/>
  <c r="V802" i="6"/>
  <c r="U802" i="6"/>
  <c r="T802" i="6" s="1"/>
  <c r="X801" i="6"/>
  <c r="W801" i="6"/>
  <c r="V801" i="6"/>
  <c r="U801" i="6"/>
  <c r="T801" i="6" s="1"/>
  <c r="X800" i="6"/>
  <c r="W800" i="6"/>
  <c r="V800" i="6"/>
  <c r="U800" i="6"/>
  <c r="T800" i="6" s="1"/>
  <c r="X799" i="6"/>
  <c r="W799" i="6"/>
  <c r="V799" i="6"/>
  <c r="U799" i="6"/>
  <c r="T799" i="6" s="1"/>
  <c r="X798" i="6"/>
  <c r="W798" i="6"/>
  <c r="V798" i="6"/>
  <c r="U798" i="6"/>
  <c r="T798" i="6" s="1"/>
  <c r="X797" i="6"/>
  <c r="W797" i="6"/>
  <c r="V797" i="6"/>
  <c r="U797" i="6"/>
  <c r="T797" i="6" s="1"/>
  <c r="X796" i="6"/>
  <c r="W796" i="6"/>
  <c r="V796" i="6"/>
  <c r="U796" i="6"/>
  <c r="T796" i="6" s="1"/>
  <c r="X795" i="6"/>
  <c r="W795" i="6"/>
  <c r="V795" i="6"/>
  <c r="U795" i="6"/>
  <c r="T795" i="6" s="1"/>
  <c r="X794" i="6"/>
  <c r="W794" i="6"/>
  <c r="V794" i="6"/>
  <c r="U794" i="6"/>
  <c r="T794" i="6" s="1"/>
  <c r="X793" i="6"/>
  <c r="W793" i="6"/>
  <c r="V793" i="6"/>
  <c r="U793" i="6"/>
  <c r="T793" i="6" s="1"/>
  <c r="E50" i="2" a="1"/>
  <c r="O74" i="3"/>
  <c r="J74" i="3"/>
  <c r="R74" i="3" s="1"/>
  <c r="X792" i="6"/>
  <c r="W792" i="6"/>
  <c r="V792" i="6"/>
  <c r="U792" i="6"/>
  <c r="T792" i="6" s="1"/>
  <c r="G42" i="4"/>
  <c r="E42" i="4"/>
  <c r="X791" i="6"/>
  <c r="W791" i="6"/>
  <c r="V791" i="6"/>
  <c r="U791" i="6"/>
  <c r="T791" i="6" s="1"/>
  <c r="X790" i="6"/>
  <c r="W790" i="6"/>
  <c r="V790" i="6"/>
  <c r="U790" i="6"/>
  <c r="T790" i="6" s="1"/>
  <c r="X789" i="6"/>
  <c r="W789" i="6"/>
  <c r="V789" i="6"/>
  <c r="U789" i="6"/>
  <c r="T789" i="6" s="1"/>
  <c r="X788" i="6"/>
  <c r="W788" i="6"/>
  <c r="V788" i="6"/>
  <c r="U788" i="6"/>
  <c r="T788" i="6" s="1"/>
  <c r="X787" i="6"/>
  <c r="W787" i="6"/>
  <c r="V787" i="6"/>
  <c r="U787" i="6"/>
  <c r="T787" i="6" s="1"/>
  <c r="X786" i="6"/>
  <c r="W786" i="6"/>
  <c r="V786" i="6"/>
  <c r="U786" i="6"/>
  <c r="T786" i="6" s="1"/>
  <c r="X785" i="6"/>
  <c r="W785" i="6"/>
  <c r="V785" i="6"/>
  <c r="U785" i="6"/>
  <c r="T785" i="6" s="1"/>
  <c r="X784" i="6"/>
  <c r="W784" i="6"/>
  <c r="V784" i="6"/>
  <c r="U784" i="6"/>
  <c r="T784" i="6" s="1"/>
  <c r="X783" i="6"/>
  <c r="W783" i="6"/>
  <c r="V783" i="6"/>
  <c r="U783" i="6"/>
  <c r="T783" i="6" s="1"/>
  <c r="X782" i="6"/>
  <c r="W782" i="6"/>
  <c r="V782" i="6"/>
  <c r="U782" i="6"/>
  <c r="T782" i="6" s="1"/>
  <c r="X781" i="6"/>
  <c r="W781" i="6"/>
  <c r="V781" i="6"/>
  <c r="U781" i="6"/>
  <c r="T781" i="6" s="1"/>
  <c r="X780" i="6"/>
  <c r="W780" i="6"/>
  <c r="V780" i="6"/>
  <c r="U780" i="6"/>
  <c r="T780" i="6" s="1"/>
  <c r="X779" i="6"/>
  <c r="W779" i="6"/>
  <c r="V779" i="6"/>
  <c r="U779" i="6"/>
  <c r="T779" i="6" s="1"/>
  <c r="X778" i="6"/>
  <c r="W778" i="6"/>
  <c r="V778" i="6"/>
  <c r="U778" i="6"/>
  <c r="T778" i="6" s="1"/>
  <c r="X777" i="6"/>
  <c r="W777" i="6"/>
  <c r="V777" i="6"/>
  <c r="U777" i="6"/>
  <c r="T777" i="6" s="1"/>
  <c r="X776" i="6"/>
  <c r="W776" i="6"/>
  <c r="V776" i="6"/>
  <c r="U776" i="6"/>
  <c r="T776" i="6"/>
  <c r="X775" i="6"/>
  <c r="W775" i="6"/>
  <c r="V775" i="6"/>
  <c r="U775" i="6"/>
  <c r="T775" i="6"/>
  <c r="X774" i="6"/>
  <c r="W774" i="6"/>
  <c r="V774" i="6"/>
  <c r="U774" i="6"/>
  <c r="T774" i="6" s="1"/>
  <c r="X773" i="6"/>
  <c r="W773" i="6"/>
  <c r="V773" i="6"/>
  <c r="U773" i="6"/>
  <c r="T773" i="6" s="1"/>
  <c r="X772" i="6"/>
  <c r="W772" i="6"/>
  <c r="V772" i="6"/>
  <c r="U772" i="6"/>
  <c r="T772" i="6" s="1"/>
  <c r="X771" i="6"/>
  <c r="W771" i="6"/>
  <c r="V771" i="6"/>
  <c r="U771" i="6"/>
  <c r="T771" i="6"/>
  <c r="O72" i="3"/>
  <c r="J72" i="3"/>
  <c r="R72" i="3" s="1"/>
  <c r="O73" i="3"/>
  <c r="J73" i="3"/>
  <c r="R73" i="3" s="1"/>
  <c r="X770" i="6"/>
  <c r="W770" i="6"/>
  <c r="V770" i="6"/>
  <c r="U770" i="6"/>
  <c r="T770" i="6" s="1"/>
  <c r="X769" i="6"/>
  <c r="W769" i="6"/>
  <c r="V769" i="6"/>
  <c r="U769" i="6"/>
  <c r="T769" i="6" s="1"/>
  <c r="X768" i="6"/>
  <c r="W768" i="6"/>
  <c r="V768" i="6"/>
  <c r="U768" i="6"/>
  <c r="T768" i="6" s="1"/>
  <c r="X767" i="6"/>
  <c r="W767" i="6"/>
  <c r="V767" i="6"/>
  <c r="U767" i="6"/>
  <c r="T767" i="6" s="1"/>
  <c r="X766" i="6"/>
  <c r="W766" i="6"/>
  <c r="V766" i="6"/>
  <c r="U766" i="6"/>
  <c r="T766" i="6" s="1"/>
  <c r="X765" i="6"/>
  <c r="W765" i="6"/>
  <c r="V765" i="6"/>
  <c r="U765" i="6"/>
  <c r="T765" i="6"/>
  <c r="X764" i="6"/>
  <c r="W764" i="6"/>
  <c r="V764" i="6"/>
  <c r="U764" i="6"/>
  <c r="T764" i="6" s="1"/>
  <c r="G68" i="3"/>
  <c r="X763" i="6"/>
  <c r="W763" i="6"/>
  <c r="V763" i="6"/>
  <c r="U763" i="6"/>
  <c r="T763" i="6" s="1"/>
  <c r="X762" i="6"/>
  <c r="W762" i="6"/>
  <c r="V762" i="6"/>
  <c r="U762" i="6"/>
  <c r="T762" i="6" s="1"/>
  <c r="X761" i="6"/>
  <c r="W761" i="6"/>
  <c r="V761" i="6"/>
  <c r="U761" i="6"/>
  <c r="T761" i="6"/>
  <c r="X760" i="6"/>
  <c r="W760" i="6"/>
  <c r="V760" i="6"/>
  <c r="U760" i="6"/>
  <c r="T760" i="6" s="1"/>
  <c r="X759" i="6"/>
  <c r="W759" i="6"/>
  <c r="V759" i="6"/>
  <c r="U759" i="6"/>
  <c r="T759" i="6"/>
  <c r="X758" i="6"/>
  <c r="W758" i="6"/>
  <c r="V758" i="6"/>
  <c r="U758" i="6"/>
  <c r="T758" i="6" s="1"/>
  <c r="E49" i="2" a="1"/>
  <c r="E48" i="2" a="1"/>
  <c r="E47" i="2" a="1"/>
  <c r="X757" i="6"/>
  <c r="W757" i="6"/>
  <c r="V757" i="6"/>
  <c r="U757" i="6"/>
  <c r="T757" i="6" s="1"/>
  <c r="O71" i="3"/>
  <c r="J71" i="3"/>
  <c r="R71" i="3" s="1"/>
  <c r="X756" i="6"/>
  <c r="W756" i="6"/>
  <c r="V756" i="6"/>
  <c r="U756" i="6"/>
  <c r="T756" i="6" s="1"/>
  <c r="X755" i="6"/>
  <c r="W755" i="6"/>
  <c r="V755" i="6"/>
  <c r="U755" i="6"/>
  <c r="T755" i="6"/>
  <c r="X754" i="6"/>
  <c r="W754" i="6"/>
  <c r="V754" i="6"/>
  <c r="U754" i="6"/>
  <c r="T754" i="6" s="1"/>
  <c r="X753" i="6"/>
  <c r="W753" i="6"/>
  <c r="V753" i="6"/>
  <c r="U753" i="6"/>
  <c r="T753" i="6" s="1"/>
  <c r="X752" i="6"/>
  <c r="W752" i="6"/>
  <c r="V752" i="6"/>
  <c r="U752" i="6"/>
  <c r="T752" i="6" s="1"/>
  <c r="X751" i="6"/>
  <c r="W751" i="6"/>
  <c r="V751" i="6"/>
  <c r="U751" i="6"/>
  <c r="T751" i="6" s="1"/>
  <c r="X750" i="6"/>
  <c r="W750" i="6"/>
  <c r="V750" i="6"/>
  <c r="U750" i="6"/>
  <c r="T750" i="6" s="1"/>
  <c r="X749" i="6"/>
  <c r="W749" i="6"/>
  <c r="V749" i="6"/>
  <c r="U749" i="6"/>
  <c r="T749" i="6" s="1"/>
  <c r="X748" i="6"/>
  <c r="W748" i="6"/>
  <c r="V748" i="6"/>
  <c r="U748" i="6"/>
  <c r="T748" i="6" s="1"/>
  <c r="X747" i="6"/>
  <c r="W747" i="6"/>
  <c r="V747" i="6"/>
  <c r="U747" i="6"/>
  <c r="T747" i="6" s="1"/>
  <c r="X746" i="6"/>
  <c r="W746" i="6"/>
  <c r="V746" i="6"/>
  <c r="U746" i="6"/>
  <c r="T746" i="6" s="1"/>
  <c r="X745" i="6"/>
  <c r="W745" i="6"/>
  <c r="V745" i="6"/>
  <c r="U745" i="6"/>
  <c r="T745" i="6" s="1"/>
  <c r="X744" i="6"/>
  <c r="W744" i="6"/>
  <c r="V744" i="6"/>
  <c r="U744" i="6"/>
  <c r="T744" i="6" s="1"/>
  <c r="X743" i="6"/>
  <c r="W743" i="6"/>
  <c r="V743" i="6"/>
  <c r="U743" i="6"/>
  <c r="T743" i="6" s="1"/>
  <c r="O19" i="5"/>
  <c r="Q56" i="5"/>
  <c r="R56" i="5"/>
  <c r="M56" i="5"/>
  <c r="N56" i="5"/>
  <c r="O18" i="5"/>
  <c r="Z76" i="3" l="1"/>
  <c r="P18" i="5"/>
  <c r="P19" i="5"/>
  <c r="S56" i="5"/>
  <c r="X742" i="6"/>
  <c r="W742" i="6"/>
  <c r="V742" i="6"/>
  <c r="U742" i="6"/>
  <c r="T742" i="6" s="1"/>
  <c r="X741" i="6"/>
  <c r="W741" i="6"/>
  <c r="V741" i="6"/>
  <c r="U741" i="6"/>
  <c r="T741" i="6" s="1"/>
  <c r="X740" i="6"/>
  <c r="W740" i="6"/>
  <c r="V740" i="6"/>
  <c r="U740" i="6"/>
  <c r="T740" i="6" s="1"/>
  <c r="X739" i="6"/>
  <c r="W739" i="6"/>
  <c r="V739" i="6"/>
  <c r="U739" i="6"/>
  <c r="T739" i="6" s="1"/>
  <c r="X738" i="6"/>
  <c r="W738" i="6"/>
  <c r="V738" i="6"/>
  <c r="U738" i="6"/>
  <c r="T738" i="6" s="1"/>
  <c r="X737" i="6"/>
  <c r="W737" i="6"/>
  <c r="V737" i="6"/>
  <c r="U737" i="6"/>
  <c r="T737" i="6" s="1"/>
  <c r="X736" i="6"/>
  <c r="W736" i="6"/>
  <c r="V736" i="6"/>
  <c r="U736" i="6"/>
  <c r="T736" i="6" s="1"/>
  <c r="X735" i="6"/>
  <c r="W735" i="6"/>
  <c r="V735" i="6"/>
  <c r="U735" i="6"/>
  <c r="T735" i="6" s="1"/>
  <c r="X734" i="6"/>
  <c r="W734" i="6"/>
  <c r="V734" i="6"/>
  <c r="U734" i="6"/>
  <c r="T734" i="6" s="1"/>
  <c r="X733" i="6"/>
  <c r="W733" i="6"/>
  <c r="V733" i="6"/>
  <c r="U733" i="6"/>
  <c r="T733" i="6" s="1"/>
  <c r="X732" i="6"/>
  <c r="W732" i="6"/>
  <c r="V732" i="6"/>
  <c r="U732" i="6"/>
  <c r="T732" i="6" s="1"/>
  <c r="X731" i="6"/>
  <c r="W731" i="6"/>
  <c r="V731" i="6"/>
  <c r="U731" i="6"/>
  <c r="T731" i="6" s="1"/>
  <c r="X730" i="6"/>
  <c r="W730" i="6"/>
  <c r="V730" i="6"/>
  <c r="U730" i="6"/>
  <c r="T730" i="6" s="1"/>
  <c r="O70" i="3"/>
  <c r="J70" i="3"/>
  <c r="R70" i="3" s="1"/>
  <c r="X729" i="6"/>
  <c r="W729" i="6"/>
  <c r="V729" i="6"/>
  <c r="U729" i="6"/>
  <c r="T729" i="6" s="1"/>
  <c r="O69" i="3"/>
  <c r="J69" i="3"/>
  <c r="R69" i="3" s="1"/>
  <c r="X728" i="6"/>
  <c r="W728" i="6"/>
  <c r="V728" i="6"/>
  <c r="U728" i="6"/>
  <c r="T728" i="6" s="1"/>
  <c r="O68" i="3"/>
  <c r="J68" i="3"/>
  <c r="R68" i="3" s="1"/>
  <c r="E46" i="2" a="1"/>
  <c r="E45" i="2" a="1"/>
  <c r="K14" i="9"/>
  <c r="X727" i="6"/>
  <c r="W727" i="6"/>
  <c r="V727" i="6"/>
  <c r="U727" i="6"/>
  <c r="T727" i="6" s="1"/>
  <c r="X726" i="6"/>
  <c r="W726" i="6"/>
  <c r="V726" i="6"/>
  <c r="U726" i="6"/>
  <c r="T726" i="6" s="1"/>
  <c r="X725" i="6"/>
  <c r="W725" i="6"/>
  <c r="V725" i="6"/>
  <c r="U725" i="6"/>
  <c r="T725" i="6" s="1"/>
  <c r="X724" i="6"/>
  <c r="W724" i="6"/>
  <c r="V724" i="6"/>
  <c r="U724" i="6"/>
  <c r="T724" i="6" s="1"/>
  <c r="X723" i="6"/>
  <c r="W723" i="6"/>
  <c r="V723" i="6"/>
  <c r="U723" i="6"/>
  <c r="T723" i="6" s="1"/>
  <c r="X722" i="6"/>
  <c r="W722" i="6"/>
  <c r="V722" i="6"/>
  <c r="U722" i="6"/>
  <c r="T722" i="6" s="1"/>
  <c r="X721" i="6"/>
  <c r="W721" i="6"/>
  <c r="V721" i="6"/>
  <c r="U721" i="6"/>
  <c r="T721" i="6" s="1"/>
  <c r="X720" i="6"/>
  <c r="W720" i="6"/>
  <c r="V720" i="6"/>
  <c r="U720" i="6"/>
  <c r="T720" i="6" s="1"/>
  <c r="X719" i="6"/>
  <c r="W719" i="6"/>
  <c r="V719" i="6"/>
  <c r="U719" i="6"/>
  <c r="T719" i="6" s="1"/>
  <c r="X718" i="6"/>
  <c r="W718" i="6"/>
  <c r="V718" i="6"/>
  <c r="U718" i="6"/>
  <c r="T718" i="6" s="1"/>
  <c r="X717" i="6"/>
  <c r="W717" i="6"/>
  <c r="V717" i="6"/>
  <c r="U717" i="6"/>
  <c r="T717" i="6" s="1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T4" i="2"/>
  <c r="X716" i="6"/>
  <c r="W716" i="6"/>
  <c r="V716" i="6"/>
  <c r="U716" i="6"/>
  <c r="T716" i="6" s="1"/>
  <c r="O67" i="3"/>
  <c r="J67" i="3"/>
  <c r="R67" i="3" s="1"/>
  <c r="X715" i="6"/>
  <c r="W715" i="6"/>
  <c r="V715" i="6"/>
  <c r="U715" i="6"/>
  <c r="T715" i="6" s="1"/>
  <c r="X714" i="6"/>
  <c r="W714" i="6"/>
  <c r="V714" i="6"/>
  <c r="U714" i="6"/>
  <c r="T714" i="6" s="1"/>
  <c r="G56" i="3"/>
  <c r="O66" i="3"/>
  <c r="J66" i="3"/>
  <c r="R66" i="3" s="1"/>
  <c r="G57" i="3"/>
  <c r="G58" i="3"/>
  <c r="G61" i="3"/>
  <c r="G62" i="3"/>
  <c r="G63" i="3"/>
  <c r="X713" i="6"/>
  <c r="W713" i="6"/>
  <c r="V713" i="6"/>
  <c r="U713" i="6"/>
  <c r="T713" i="6" s="1"/>
  <c r="X712" i="6"/>
  <c r="W712" i="6"/>
  <c r="V712" i="6"/>
  <c r="U712" i="6"/>
  <c r="T712" i="6" s="1"/>
  <c r="X711" i="6"/>
  <c r="W711" i="6"/>
  <c r="V711" i="6"/>
  <c r="U711" i="6"/>
  <c r="T711" i="6" s="1"/>
  <c r="X710" i="6"/>
  <c r="W710" i="6"/>
  <c r="V710" i="6"/>
  <c r="U710" i="6"/>
  <c r="T710" i="6" s="1"/>
  <c r="X709" i="6"/>
  <c r="W709" i="6"/>
  <c r="V709" i="6"/>
  <c r="U709" i="6"/>
  <c r="T709" i="6" s="1"/>
  <c r="X708" i="6"/>
  <c r="W708" i="6"/>
  <c r="V708" i="6"/>
  <c r="U708" i="6"/>
  <c r="T708" i="6" s="1"/>
  <c r="X707" i="6"/>
  <c r="W707" i="6"/>
  <c r="V707" i="6"/>
  <c r="U707" i="6"/>
  <c r="T707" i="6" s="1"/>
  <c r="X706" i="6"/>
  <c r="W706" i="6"/>
  <c r="V706" i="6"/>
  <c r="U706" i="6"/>
  <c r="T706" i="6" s="1"/>
  <c r="X705" i="6"/>
  <c r="W705" i="6"/>
  <c r="V705" i="6"/>
  <c r="U705" i="6"/>
  <c r="T705" i="6" s="1"/>
  <c r="X704" i="6"/>
  <c r="W704" i="6"/>
  <c r="V704" i="6"/>
  <c r="U704" i="6"/>
  <c r="T704" i="6" s="1"/>
  <c r="X703" i="6"/>
  <c r="W703" i="6"/>
  <c r="V703" i="6"/>
  <c r="U703" i="6"/>
  <c r="T703" i="6" s="1"/>
  <c r="X702" i="6"/>
  <c r="W702" i="6"/>
  <c r="V702" i="6"/>
  <c r="U702" i="6"/>
  <c r="T702" i="6" s="1"/>
  <c r="X701" i="6"/>
  <c r="W701" i="6"/>
  <c r="V701" i="6"/>
  <c r="U701" i="6"/>
  <c r="T701" i="6" s="1"/>
  <c r="X700" i="6"/>
  <c r="W700" i="6"/>
  <c r="V700" i="6"/>
  <c r="U700" i="6"/>
  <c r="T700" i="6" s="1"/>
  <c r="X699" i="6"/>
  <c r="W699" i="6"/>
  <c r="V699" i="6"/>
  <c r="U699" i="6"/>
  <c r="T699" i="6" s="1"/>
  <c r="X698" i="6"/>
  <c r="W698" i="6"/>
  <c r="V698" i="6"/>
  <c r="U698" i="6"/>
  <c r="T698" i="6" s="1"/>
  <c r="X697" i="6"/>
  <c r="W697" i="6"/>
  <c r="V697" i="6"/>
  <c r="U697" i="6"/>
  <c r="T697" i="6" s="1"/>
  <c r="X696" i="6"/>
  <c r="W696" i="6"/>
  <c r="V696" i="6"/>
  <c r="U696" i="6"/>
  <c r="T696" i="6" s="1"/>
  <c r="O65" i="3"/>
  <c r="J65" i="3"/>
  <c r="R65" i="3" s="1"/>
  <c r="G41" i="4"/>
  <c r="E41" i="4"/>
  <c r="X695" i="6"/>
  <c r="W695" i="6"/>
  <c r="V695" i="6"/>
  <c r="U695" i="6"/>
  <c r="T695" i="6" s="1"/>
  <c r="X694" i="6"/>
  <c r="W694" i="6"/>
  <c r="V694" i="6"/>
  <c r="U694" i="6"/>
  <c r="T694" i="6" s="1"/>
  <c r="X693" i="6"/>
  <c r="W693" i="6"/>
  <c r="V693" i="6"/>
  <c r="U693" i="6"/>
  <c r="T693" i="6" s="1"/>
  <c r="X692" i="6"/>
  <c r="W692" i="6"/>
  <c r="V692" i="6"/>
  <c r="U692" i="6"/>
  <c r="T692" i="6" s="1"/>
  <c r="X691" i="6"/>
  <c r="W691" i="6"/>
  <c r="V691" i="6"/>
  <c r="U691" i="6"/>
  <c r="T691" i="6" s="1"/>
  <c r="X690" i="6"/>
  <c r="W690" i="6"/>
  <c r="V690" i="6"/>
  <c r="U690" i="6"/>
  <c r="T690" i="6" s="1"/>
  <c r="X689" i="6"/>
  <c r="W689" i="6"/>
  <c r="V689" i="6"/>
  <c r="U689" i="6"/>
  <c r="T689" i="6" s="1"/>
  <c r="I9" i="9"/>
  <c r="J9" i="9"/>
  <c r="Q9" i="9" s="1"/>
  <c r="O8" i="9"/>
  <c r="O7" i="9"/>
  <c r="O6" i="9"/>
  <c r="O5" i="9"/>
  <c r="K9" i="9"/>
  <c r="D9" i="9"/>
  <c r="E9" i="9" s="1"/>
  <c r="K8" i="9"/>
  <c r="D8" i="9"/>
  <c r="E8" i="9" s="1"/>
  <c r="K7" i="9"/>
  <c r="D7" i="9"/>
  <c r="E7" i="9" s="1"/>
  <c r="N6" i="9"/>
  <c r="N5" i="9"/>
  <c r="N4" i="9"/>
  <c r="K6" i="9"/>
  <c r="D6" i="9"/>
  <c r="E6" i="9" s="1"/>
  <c r="J6" i="9" s="1"/>
  <c r="L6" i="9" s="1"/>
  <c r="K5" i="9"/>
  <c r="D5" i="9"/>
  <c r="E5" i="9" s="1"/>
  <c r="K4" i="9"/>
  <c r="J4" i="9"/>
  <c r="L4" i="9" s="1"/>
  <c r="E4" i="9"/>
  <c r="J3" i="9"/>
  <c r="R38" i="5"/>
  <c r="N90" i="5"/>
  <c r="Q89" i="5"/>
  <c r="N38" i="5"/>
  <c r="N30" i="5"/>
  <c r="Q38" i="5"/>
  <c r="O56" i="5"/>
  <c r="M90" i="5"/>
  <c r="M89" i="5"/>
  <c r="M38" i="5"/>
  <c r="R89" i="5"/>
  <c r="R90" i="5"/>
  <c r="Q90" i="5"/>
  <c r="P56" i="5" l="1"/>
  <c r="S90" i="5"/>
  <c r="S38" i="5"/>
  <c r="P89" i="5"/>
  <c r="S89" i="5"/>
  <c r="L9" i="9"/>
  <c r="C10" i="9" s="1"/>
  <c r="K10" i="9" s="1"/>
  <c r="K11" i="9" s="1"/>
  <c r="K12" i="9" s="1"/>
  <c r="K13" i="9" s="1"/>
  <c r="D10" i="9"/>
  <c r="E10" i="9" s="1"/>
  <c r="J10" i="9" s="1"/>
  <c r="Q10" i="9" s="1"/>
  <c r="N9" i="9"/>
  <c r="J8" i="9"/>
  <c r="L8" i="9" s="1"/>
  <c r="N8" i="9"/>
  <c r="M8" i="9"/>
  <c r="J7" i="9"/>
  <c r="L7" i="9" s="1"/>
  <c r="N7" i="9"/>
  <c r="M7" i="9"/>
  <c r="M6" i="9"/>
  <c r="J5" i="9"/>
  <c r="L5" i="9" s="1"/>
  <c r="M5" i="9"/>
  <c r="M4" i="9"/>
  <c r="O38" i="5"/>
  <c r="O90" i="5"/>
  <c r="P90" i="5" l="1"/>
  <c r="P38" i="5"/>
  <c r="M9" i="9"/>
  <c r="O9" i="9"/>
  <c r="L10" i="9"/>
  <c r="N10" i="9" s="1"/>
  <c r="O10" i="9" l="1"/>
  <c r="M10" i="9"/>
  <c r="D11" i="9"/>
  <c r="E11" i="9" s="1"/>
  <c r="J11" i="9" s="1"/>
  <c r="Q11" i="9" s="1"/>
  <c r="L11" i="9" l="1"/>
  <c r="E12" i="9"/>
  <c r="J12" i="9" s="1"/>
  <c r="Q12" i="9" s="1"/>
  <c r="L12" i="9" l="1"/>
  <c r="E13" i="9"/>
  <c r="M11" i="9"/>
  <c r="N11" i="9"/>
  <c r="O11" i="9" l="1"/>
  <c r="N12" i="9"/>
  <c r="O12" i="9" s="1"/>
  <c r="M12" i="9"/>
  <c r="D4" i="9" l="1"/>
  <c r="X688" i="6"/>
  <c r="W688" i="6"/>
  <c r="V688" i="6"/>
  <c r="U688" i="6"/>
  <c r="T688" i="6" s="1"/>
  <c r="X687" i="6"/>
  <c r="W687" i="6"/>
  <c r="V687" i="6"/>
  <c r="U687" i="6"/>
  <c r="T687" i="6" s="1"/>
  <c r="X686" i="6"/>
  <c r="W686" i="6"/>
  <c r="V686" i="6"/>
  <c r="U686" i="6"/>
  <c r="T686" i="6" s="1"/>
  <c r="X685" i="6"/>
  <c r="W685" i="6"/>
  <c r="V685" i="6"/>
  <c r="U685" i="6"/>
  <c r="T685" i="6" s="1"/>
  <c r="X684" i="6"/>
  <c r="W684" i="6"/>
  <c r="V684" i="6"/>
  <c r="U684" i="6"/>
  <c r="T684" i="6" s="1"/>
  <c r="X683" i="6"/>
  <c r="W683" i="6"/>
  <c r="V683" i="6"/>
  <c r="U683" i="6"/>
  <c r="T683" i="6" s="1"/>
  <c r="X682" i="6"/>
  <c r="W682" i="6"/>
  <c r="V682" i="6"/>
  <c r="U682" i="6"/>
  <c r="T682" i="6" s="1"/>
  <c r="X681" i="6"/>
  <c r="W681" i="6"/>
  <c r="V681" i="6"/>
  <c r="U681" i="6"/>
  <c r="T681" i="6" s="1"/>
  <c r="X680" i="6"/>
  <c r="W680" i="6"/>
  <c r="V680" i="6"/>
  <c r="U680" i="6"/>
  <c r="T680" i="6" s="1"/>
  <c r="X679" i="6"/>
  <c r="W679" i="6"/>
  <c r="V679" i="6"/>
  <c r="U679" i="6"/>
  <c r="T679" i="6" s="1"/>
  <c r="X678" i="6"/>
  <c r="W678" i="6"/>
  <c r="V678" i="6"/>
  <c r="U678" i="6"/>
  <c r="T678" i="6" s="1"/>
  <c r="X677" i="6"/>
  <c r="W677" i="6"/>
  <c r="V677" i="6"/>
  <c r="U677" i="6"/>
  <c r="T677" i="6" s="1"/>
  <c r="O64" i="3"/>
  <c r="J64" i="3"/>
  <c r="R64" i="3" s="1"/>
  <c r="X676" i="6"/>
  <c r="W676" i="6"/>
  <c r="V676" i="6"/>
  <c r="U676" i="6"/>
  <c r="T676" i="6" s="1"/>
  <c r="X675" i="6"/>
  <c r="W675" i="6"/>
  <c r="V675" i="6"/>
  <c r="U675" i="6"/>
  <c r="T675" i="6" s="1"/>
  <c r="X674" i="6"/>
  <c r="W674" i="6"/>
  <c r="V674" i="6"/>
  <c r="U674" i="6"/>
  <c r="T674" i="6" s="1"/>
  <c r="X673" i="6"/>
  <c r="W673" i="6"/>
  <c r="V673" i="6"/>
  <c r="U673" i="6"/>
  <c r="T673" i="6" s="1"/>
  <c r="G40" i="4"/>
  <c r="E40" i="4"/>
  <c r="X672" i="6"/>
  <c r="W672" i="6"/>
  <c r="V672" i="6"/>
  <c r="U672" i="6"/>
  <c r="T672" i="6" s="1"/>
  <c r="X671" i="6"/>
  <c r="W671" i="6"/>
  <c r="V671" i="6"/>
  <c r="U671" i="6"/>
  <c r="T671" i="6" s="1"/>
  <c r="O63" i="3"/>
  <c r="J63" i="3"/>
  <c r="R63" i="3" s="1"/>
  <c r="X670" i="6"/>
  <c r="W670" i="6"/>
  <c r="V670" i="6"/>
  <c r="U670" i="6"/>
  <c r="T670" i="6" s="1"/>
  <c r="X669" i="6"/>
  <c r="W669" i="6"/>
  <c r="V669" i="6"/>
  <c r="U669" i="6"/>
  <c r="T669" i="6" s="1"/>
  <c r="R4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J3" i="2"/>
  <c r="X16" i="6"/>
  <c r="X668" i="6"/>
  <c r="O62" i="3"/>
  <c r="J62" i="3"/>
  <c r="R62" i="3" s="1"/>
  <c r="W668" i="6"/>
  <c r="V668" i="6"/>
  <c r="U668" i="6"/>
  <c r="T668" i="6" s="1"/>
  <c r="X667" i="6"/>
  <c r="W667" i="6"/>
  <c r="V667" i="6"/>
  <c r="U667" i="6"/>
  <c r="T667" i="6" s="1"/>
  <c r="X666" i="6"/>
  <c r="W666" i="6"/>
  <c r="V666" i="6"/>
  <c r="U666" i="6"/>
  <c r="T666" i="6" s="1"/>
  <c r="X665" i="6"/>
  <c r="W665" i="6"/>
  <c r="V665" i="6"/>
  <c r="U665" i="6"/>
  <c r="T665" i="6" s="1"/>
  <c r="X664" i="6"/>
  <c r="W664" i="6"/>
  <c r="V664" i="6"/>
  <c r="U664" i="6"/>
  <c r="T664" i="6" s="1"/>
  <c r="X663" i="6"/>
  <c r="W663" i="6"/>
  <c r="V663" i="6"/>
  <c r="U663" i="6"/>
  <c r="T663" i="6" s="1"/>
  <c r="X662" i="6"/>
  <c r="W662" i="6"/>
  <c r="V662" i="6"/>
  <c r="U662" i="6"/>
  <c r="T662" i="6" s="1"/>
  <c r="X661" i="6"/>
  <c r="W661" i="6"/>
  <c r="V661" i="6"/>
  <c r="U661" i="6"/>
  <c r="T661" i="6" s="1"/>
  <c r="X660" i="6"/>
  <c r="W660" i="6"/>
  <c r="V660" i="6"/>
  <c r="U660" i="6"/>
  <c r="T660" i="6" s="1"/>
  <c r="X659" i="6"/>
  <c r="W659" i="6"/>
  <c r="V659" i="6"/>
  <c r="U659" i="6"/>
  <c r="T659" i="6" s="1"/>
  <c r="X658" i="6"/>
  <c r="W658" i="6"/>
  <c r="V658" i="6"/>
  <c r="U658" i="6"/>
  <c r="T658" i="6"/>
  <c r="X657" i="6"/>
  <c r="W657" i="6"/>
  <c r="V657" i="6"/>
  <c r="U657" i="6"/>
  <c r="T657" i="6" s="1"/>
  <c r="X656" i="6"/>
  <c r="W656" i="6"/>
  <c r="V656" i="6"/>
  <c r="U656" i="6"/>
  <c r="T656" i="6" s="1"/>
  <c r="X655" i="6"/>
  <c r="W655" i="6"/>
  <c r="V655" i="6"/>
  <c r="U655" i="6"/>
  <c r="T655" i="6" s="1"/>
  <c r="X654" i="6"/>
  <c r="W654" i="6"/>
  <c r="V654" i="6"/>
  <c r="U654" i="6"/>
  <c r="T654" i="6" s="1"/>
  <c r="X653" i="6"/>
  <c r="W653" i="6"/>
  <c r="V653" i="6"/>
  <c r="U653" i="6"/>
  <c r="T653" i="6" s="1"/>
  <c r="X652" i="6"/>
  <c r="W652" i="6"/>
  <c r="V652" i="6"/>
  <c r="U652" i="6"/>
  <c r="T652" i="6" s="1"/>
  <c r="X651" i="6"/>
  <c r="W651" i="6"/>
  <c r="V651" i="6"/>
  <c r="U651" i="6"/>
  <c r="T651" i="6" s="1"/>
  <c r="X650" i="6"/>
  <c r="W650" i="6"/>
  <c r="V650" i="6"/>
  <c r="U650" i="6"/>
  <c r="T650" i="6" s="1"/>
  <c r="X649" i="6"/>
  <c r="W649" i="6"/>
  <c r="V649" i="6"/>
  <c r="U649" i="6"/>
  <c r="T649" i="6" s="1"/>
  <c r="X648" i="6"/>
  <c r="W648" i="6"/>
  <c r="V648" i="6"/>
  <c r="U648" i="6"/>
  <c r="T648" i="6" s="1"/>
  <c r="X647" i="6"/>
  <c r="W647" i="6"/>
  <c r="V647" i="6"/>
  <c r="U647" i="6"/>
  <c r="T647" i="6" s="1"/>
  <c r="X646" i="6"/>
  <c r="W646" i="6"/>
  <c r="V646" i="6"/>
  <c r="U646" i="6"/>
  <c r="T646" i="6" s="1"/>
  <c r="X645" i="6"/>
  <c r="W645" i="6"/>
  <c r="V645" i="6"/>
  <c r="U645" i="6"/>
  <c r="T645" i="6" s="1"/>
  <c r="X644" i="6"/>
  <c r="W644" i="6"/>
  <c r="V644" i="6"/>
  <c r="U644" i="6"/>
  <c r="T644" i="6" s="1"/>
  <c r="X643" i="6"/>
  <c r="W643" i="6"/>
  <c r="V643" i="6"/>
  <c r="U643" i="6"/>
  <c r="T643" i="6" s="1"/>
  <c r="X642" i="6"/>
  <c r="W642" i="6"/>
  <c r="V642" i="6"/>
  <c r="U642" i="6"/>
  <c r="T642" i="6" s="1"/>
  <c r="X641" i="6"/>
  <c r="W641" i="6"/>
  <c r="V641" i="6"/>
  <c r="U641" i="6"/>
  <c r="T641" i="6" s="1"/>
  <c r="U57" i="3"/>
  <c r="V57" i="3" s="1"/>
  <c r="S57" i="3"/>
  <c r="T57" i="3" s="1"/>
  <c r="U56" i="3"/>
  <c r="V56" i="3" s="1"/>
  <c r="S56" i="3"/>
  <c r="T56" i="3" s="1"/>
  <c r="U55" i="3"/>
  <c r="V55" i="3" s="1"/>
  <c r="S55" i="3"/>
  <c r="T55" i="3" s="1"/>
  <c r="U54" i="3"/>
  <c r="V54" i="3" s="1"/>
  <c r="S54" i="3"/>
  <c r="T54" i="3" s="1"/>
  <c r="U53" i="3"/>
  <c r="V53" i="3" s="1"/>
  <c r="S53" i="3"/>
  <c r="T53" i="3" s="1"/>
  <c r="U52" i="3"/>
  <c r="V52" i="3" s="1"/>
  <c r="S52" i="3"/>
  <c r="T52" i="3" s="1"/>
  <c r="U51" i="3"/>
  <c r="V51" i="3" s="1"/>
  <c r="S51" i="3"/>
  <c r="T51" i="3" s="1"/>
  <c r="U50" i="3"/>
  <c r="V50" i="3" s="1"/>
  <c r="S50" i="3"/>
  <c r="T50" i="3" s="1"/>
  <c r="U49" i="3"/>
  <c r="V49" i="3" s="1"/>
  <c r="S49" i="3"/>
  <c r="T49" i="3" s="1"/>
  <c r="U46" i="3"/>
  <c r="V46" i="3" s="1"/>
  <c r="S46" i="3"/>
  <c r="T46" i="3" s="1"/>
  <c r="U45" i="3"/>
  <c r="V45" i="3" s="1"/>
  <c r="S45" i="3"/>
  <c r="T45" i="3" s="1"/>
  <c r="U40" i="3"/>
  <c r="V40" i="3" s="1"/>
  <c r="S40" i="3"/>
  <c r="T40" i="3" s="1"/>
  <c r="U38" i="3"/>
  <c r="V38" i="3" s="1"/>
  <c r="S38" i="3"/>
  <c r="T38" i="3" s="1"/>
  <c r="U37" i="3"/>
  <c r="V37" i="3" s="1"/>
  <c r="S37" i="3"/>
  <c r="T37" i="3" s="1"/>
  <c r="U34" i="3"/>
  <c r="V34" i="3" s="1"/>
  <c r="S34" i="3"/>
  <c r="T34" i="3" s="1"/>
  <c r="U33" i="3"/>
  <c r="V33" i="3" s="1"/>
  <c r="S33" i="3"/>
  <c r="T33" i="3" s="1"/>
  <c r="U32" i="3"/>
  <c r="V32" i="3" s="1"/>
  <c r="S32" i="3"/>
  <c r="T32" i="3" s="1"/>
  <c r="U31" i="3"/>
  <c r="V31" i="3" s="1"/>
  <c r="S31" i="3"/>
  <c r="T31" i="3" s="1"/>
  <c r="U30" i="3"/>
  <c r="V30" i="3" s="1"/>
  <c r="S30" i="3"/>
  <c r="T30" i="3" s="1"/>
  <c r="U25" i="3"/>
  <c r="V25" i="3" s="1"/>
  <c r="S25" i="3"/>
  <c r="T25" i="3" s="1"/>
  <c r="U20" i="3"/>
  <c r="V20" i="3" s="1"/>
  <c r="S20" i="3"/>
  <c r="T20" i="3" s="1"/>
  <c r="U19" i="3"/>
  <c r="V19" i="3" s="1"/>
  <c r="S19" i="3"/>
  <c r="T19" i="3" s="1"/>
  <c r="X640" i="6"/>
  <c r="W640" i="6"/>
  <c r="V640" i="6"/>
  <c r="U640" i="6"/>
  <c r="T640" i="6" s="1"/>
  <c r="X639" i="6"/>
  <c r="W639" i="6"/>
  <c r="V639" i="6"/>
  <c r="U639" i="6"/>
  <c r="T639" i="6" s="1"/>
  <c r="G39" i="4"/>
  <c r="E39" i="4"/>
  <c r="O61" i="3"/>
  <c r="J61" i="3"/>
  <c r="R61" i="3" s="1"/>
  <c r="O60" i="3"/>
  <c r="J60" i="3"/>
  <c r="R60" i="3" s="1"/>
  <c r="X638" i="6"/>
  <c r="W638" i="6"/>
  <c r="V638" i="6"/>
  <c r="U638" i="6"/>
  <c r="T638" i="6" s="1"/>
  <c r="X637" i="6"/>
  <c r="W637" i="6"/>
  <c r="V637" i="6"/>
  <c r="U637" i="6"/>
  <c r="T637" i="6" s="1"/>
  <c r="X636" i="6"/>
  <c r="W636" i="6"/>
  <c r="V636" i="6"/>
  <c r="U636" i="6"/>
  <c r="T636" i="6" s="1"/>
  <c r="X635" i="6"/>
  <c r="W635" i="6"/>
  <c r="V635" i="6"/>
  <c r="U635" i="6"/>
  <c r="T635" i="6" s="1"/>
  <c r="X634" i="6"/>
  <c r="W634" i="6"/>
  <c r="V634" i="6"/>
  <c r="U634" i="6"/>
  <c r="T634" i="6" s="1"/>
  <c r="X633" i="6"/>
  <c r="W633" i="6"/>
  <c r="V633" i="6"/>
  <c r="U633" i="6"/>
  <c r="T633" i="6" s="1"/>
  <c r="X632" i="6"/>
  <c r="W632" i="6"/>
  <c r="V632" i="6"/>
  <c r="U632" i="6"/>
  <c r="T632" i="6" s="1"/>
  <c r="X631" i="6"/>
  <c r="W631" i="6"/>
  <c r="V631" i="6"/>
  <c r="U631" i="6"/>
  <c r="T631" i="6" s="1"/>
  <c r="X630" i="6"/>
  <c r="W630" i="6"/>
  <c r="V630" i="6"/>
  <c r="U630" i="6"/>
  <c r="T630" i="6" s="1"/>
  <c r="X629" i="6"/>
  <c r="W629" i="6"/>
  <c r="V629" i="6"/>
  <c r="U629" i="6"/>
  <c r="T629" i="6" s="1"/>
  <c r="X628" i="6"/>
  <c r="W628" i="6"/>
  <c r="V628" i="6"/>
  <c r="U628" i="6"/>
  <c r="T628" i="6" s="1"/>
  <c r="X627" i="6"/>
  <c r="W627" i="6"/>
  <c r="V627" i="6"/>
  <c r="U627" i="6"/>
  <c r="T627" i="6" s="1"/>
  <c r="X626" i="6"/>
  <c r="W626" i="6"/>
  <c r="V626" i="6"/>
  <c r="U626" i="6"/>
  <c r="T626" i="6" s="1"/>
  <c r="X625" i="6"/>
  <c r="W625" i="6"/>
  <c r="V625" i="6"/>
  <c r="U625" i="6"/>
  <c r="T625" i="6" s="1"/>
  <c r="X624" i="6"/>
  <c r="W624" i="6"/>
  <c r="V624" i="6"/>
  <c r="U624" i="6"/>
  <c r="T624" i="6" s="1"/>
  <c r="X623" i="6"/>
  <c r="W623" i="6"/>
  <c r="V623" i="6"/>
  <c r="U623" i="6"/>
  <c r="T623" i="6" s="1"/>
  <c r="O59" i="3"/>
  <c r="J59" i="3"/>
  <c r="R59" i="3" s="1"/>
  <c r="O58" i="3"/>
  <c r="J58" i="3"/>
  <c r="R58" i="3" s="1"/>
  <c r="X622" i="6"/>
  <c r="W622" i="6"/>
  <c r="V622" i="6"/>
  <c r="U622" i="6"/>
  <c r="T622" i="6" s="1"/>
  <c r="X621" i="6"/>
  <c r="W621" i="6"/>
  <c r="V621" i="6"/>
  <c r="U621" i="6"/>
  <c r="T621" i="6" s="1"/>
  <c r="X620" i="6"/>
  <c r="W620" i="6"/>
  <c r="V620" i="6"/>
  <c r="U620" i="6"/>
  <c r="T620" i="6" s="1"/>
  <c r="X619" i="6"/>
  <c r="W619" i="6"/>
  <c r="V619" i="6"/>
  <c r="U619" i="6"/>
  <c r="T619" i="6" s="1"/>
  <c r="X618" i="6"/>
  <c r="W618" i="6"/>
  <c r="V618" i="6"/>
  <c r="U618" i="6"/>
  <c r="T618" i="6" s="1"/>
  <c r="X617" i="6"/>
  <c r="W617" i="6"/>
  <c r="V617" i="6"/>
  <c r="U617" i="6"/>
  <c r="T617" i="6" s="1"/>
  <c r="X616" i="6"/>
  <c r="W616" i="6"/>
  <c r="V616" i="6"/>
  <c r="U616" i="6"/>
  <c r="T616" i="6" s="1"/>
  <c r="O34" i="3"/>
  <c r="J34" i="3"/>
  <c r="R34" i="3" s="1"/>
  <c r="G34" i="3"/>
  <c r="O33" i="3"/>
  <c r="J33" i="3"/>
  <c r="R33" i="3" s="1"/>
  <c r="G33" i="3"/>
  <c r="X615" i="6"/>
  <c r="W615" i="6"/>
  <c r="V615" i="6"/>
  <c r="U615" i="6"/>
  <c r="T615" i="6" s="1"/>
  <c r="H6" i="7"/>
  <c r="M40" i="5"/>
  <c r="Q40" i="5"/>
  <c r="R30" i="5"/>
  <c r="N39" i="5"/>
  <c r="N16" i="5"/>
  <c r="R40" i="5"/>
  <c r="N13" i="5"/>
  <c r="M30" i="5"/>
  <c r="Q13" i="5"/>
  <c r="Q31" i="5"/>
  <c r="Q39" i="5"/>
  <c r="N40" i="5"/>
  <c r="R31" i="5"/>
  <c r="M13" i="5"/>
  <c r="R39" i="5"/>
  <c r="N31" i="5"/>
  <c r="Q30" i="5"/>
  <c r="M39" i="5"/>
  <c r="R13" i="5"/>
  <c r="M31" i="5"/>
  <c r="M16" i="5"/>
  <c r="S40" i="5" l="1"/>
  <c r="S39" i="5"/>
  <c r="S31" i="5"/>
  <c r="S30" i="5"/>
  <c r="S13" i="5"/>
  <c r="Q16" i="5"/>
  <c r="O39" i="5"/>
  <c r="O13" i="5"/>
  <c r="R16" i="5"/>
  <c r="O30" i="5"/>
  <c r="O40" i="5"/>
  <c r="O16" i="5"/>
  <c r="O31" i="5"/>
  <c r="Z61" i="3" l="1"/>
  <c r="Z33" i="3"/>
  <c r="Z34" i="3"/>
  <c r="P39" i="5"/>
  <c r="P40" i="5"/>
  <c r="P31" i="5"/>
  <c r="P30" i="5"/>
  <c r="P13" i="5"/>
  <c r="P16" i="5"/>
  <c r="S16" i="5"/>
  <c r="X614" i="6"/>
  <c r="W614" i="6"/>
  <c r="V614" i="6"/>
  <c r="U614" i="6"/>
  <c r="T614" i="6" s="1"/>
  <c r="X613" i="6"/>
  <c r="W613" i="6"/>
  <c r="V613" i="6"/>
  <c r="U613" i="6"/>
  <c r="T613" i="6" s="1"/>
  <c r="X612" i="6"/>
  <c r="W612" i="6"/>
  <c r="V612" i="6"/>
  <c r="U612" i="6"/>
  <c r="T612" i="6" s="1"/>
  <c r="X611" i="6"/>
  <c r="W611" i="6"/>
  <c r="V611" i="6"/>
  <c r="U611" i="6"/>
  <c r="T611" i="6" s="1"/>
  <c r="X610" i="6"/>
  <c r="W610" i="6"/>
  <c r="V610" i="6"/>
  <c r="U610" i="6"/>
  <c r="T610" i="6" s="1"/>
  <c r="X609" i="6"/>
  <c r="W609" i="6"/>
  <c r="V609" i="6"/>
  <c r="U609" i="6"/>
  <c r="T609" i="6" s="1"/>
  <c r="X608" i="6"/>
  <c r="W608" i="6"/>
  <c r="V608" i="6"/>
  <c r="U608" i="6"/>
  <c r="T608" i="6" s="1"/>
  <c r="X607" i="6"/>
  <c r="W607" i="6"/>
  <c r="V607" i="6"/>
  <c r="U607" i="6"/>
  <c r="T607" i="6" s="1"/>
  <c r="O57" i="3"/>
  <c r="J57" i="3"/>
  <c r="R57" i="3" s="1"/>
  <c r="O56" i="3"/>
  <c r="J56" i="3"/>
  <c r="R56" i="3" s="1"/>
  <c r="N34" i="5"/>
  <c r="R34" i="5"/>
  <c r="Q35" i="5"/>
  <c r="Q34" i="5"/>
  <c r="M35" i="5"/>
  <c r="R35" i="5"/>
  <c r="N35" i="5"/>
  <c r="M34" i="5"/>
  <c r="Z56" i="3" l="1"/>
  <c r="S35" i="5"/>
  <c r="S34" i="5"/>
  <c r="O35" i="5"/>
  <c r="O34" i="5"/>
  <c r="Z57" i="3" l="1"/>
  <c r="P34" i="5"/>
  <c r="P35" i="5"/>
  <c r="X606" i="6"/>
  <c r="W606" i="6"/>
  <c r="V606" i="6"/>
  <c r="U606" i="6"/>
  <c r="T606" i="6" s="1"/>
  <c r="X605" i="6"/>
  <c r="W605" i="6"/>
  <c r="V605" i="6"/>
  <c r="U605" i="6"/>
  <c r="T605" i="6" s="1"/>
  <c r="X604" i="6"/>
  <c r="W604" i="6"/>
  <c r="V604" i="6"/>
  <c r="U604" i="6"/>
  <c r="T604" i="6" s="1"/>
  <c r="X603" i="6"/>
  <c r="W603" i="6"/>
  <c r="V603" i="6"/>
  <c r="U603" i="6"/>
  <c r="T603" i="6" s="1"/>
  <c r="X602" i="6"/>
  <c r="W602" i="6"/>
  <c r="V602" i="6"/>
  <c r="U602" i="6"/>
  <c r="T602" i="6" s="1"/>
  <c r="X601" i="6"/>
  <c r="W601" i="6"/>
  <c r="V601" i="6"/>
  <c r="U601" i="6"/>
  <c r="T601" i="6" s="1"/>
  <c r="X600" i="6"/>
  <c r="W600" i="6"/>
  <c r="V600" i="6"/>
  <c r="U600" i="6"/>
  <c r="T600" i="6" s="1"/>
  <c r="X599" i="6"/>
  <c r="W599" i="6"/>
  <c r="V599" i="6"/>
  <c r="U599" i="6"/>
  <c r="T599" i="6" s="1"/>
  <c r="M3" i="2"/>
  <c r="O3" i="2" s="1"/>
  <c r="X598" i="6"/>
  <c r="W598" i="6"/>
  <c r="V598" i="6"/>
  <c r="U598" i="6"/>
  <c r="T598" i="6" s="1"/>
  <c r="X597" i="6"/>
  <c r="W597" i="6"/>
  <c r="V597" i="6"/>
  <c r="U597" i="6"/>
  <c r="T597" i="6" s="1"/>
  <c r="X596" i="6"/>
  <c r="W596" i="6"/>
  <c r="V596" i="6"/>
  <c r="U596" i="6"/>
  <c r="T596" i="6" s="1"/>
  <c r="G38" i="4"/>
  <c r="E38" i="4"/>
  <c r="O55" i="3"/>
  <c r="J55" i="3"/>
  <c r="R55" i="3" s="1"/>
  <c r="G55" i="3"/>
  <c r="X595" i="6"/>
  <c r="W595" i="6"/>
  <c r="V595" i="6"/>
  <c r="U595" i="6"/>
  <c r="T595" i="6" s="1"/>
  <c r="X594" i="6"/>
  <c r="W594" i="6"/>
  <c r="V594" i="6"/>
  <c r="U594" i="6"/>
  <c r="T594" i="6" s="1"/>
  <c r="X593" i="6"/>
  <c r="W593" i="6"/>
  <c r="V593" i="6"/>
  <c r="U593" i="6"/>
  <c r="T593" i="6" s="1"/>
  <c r="X592" i="6"/>
  <c r="W592" i="6"/>
  <c r="V592" i="6"/>
  <c r="U592" i="6"/>
  <c r="T592" i="6" s="1"/>
  <c r="X591" i="6"/>
  <c r="W591" i="6"/>
  <c r="V591" i="6"/>
  <c r="U591" i="6"/>
  <c r="T591" i="6" s="1"/>
  <c r="X590" i="6"/>
  <c r="W590" i="6"/>
  <c r="V590" i="6"/>
  <c r="U590" i="6"/>
  <c r="T590" i="6" s="1"/>
  <c r="H4" i="7"/>
  <c r="H7" i="7"/>
  <c r="X589" i="6"/>
  <c r="W589" i="6"/>
  <c r="V589" i="6"/>
  <c r="U589" i="6"/>
  <c r="T589" i="6" s="1"/>
  <c r="X588" i="6"/>
  <c r="W588" i="6"/>
  <c r="V588" i="6"/>
  <c r="U588" i="6"/>
  <c r="T588" i="6" s="1"/>
  <c r="X587" i="6"/>
  <c r="W587" i="6"/>
  <c r="V587" i="6"/>
  <c r="U587" i="6"/>
  <c r="T587" i="6" s="1"/>
  <c r="X586" i="6"/>
  <c r="W586" i="6"/>
  <c r="V586" i="6"/>
  <c r="U586" i="6"/>
  <c r="T586" i="6" s="1"/>
  <c r="X585" i="6"/>
  <c r="W585" i="6"/>
  <c r="V585" i="6"/>
  <c r="U585" i="6"/>
  <c r="T585" i="6" s="1"/>
  <c r="X584" i="6"/>
  <c r="W584" i="6"/>
  <c r="V584" i="6"/>
  <c r="U584" i="6"/>
  <c r="T584" i="6" s="1"/>
  <c r="X583" i="6"/>
  <c r="W583" i="6"/>
  <c r="V583" i="6"/>
  <c r="U583" i="6"/>
  <c r="T583" i="6" s="1"/>
  <c r="X582" i="6"/>
  <c r="W582" i="6"/>
  <c r="V582" i="6"/>
  <c r="U582" i="6"/>
  <c r="T582" i="6" s="1"/>
  <c r="X581" i="6"/>
  <c r="W581" i="6"/>
  <c r="V581" i="6"/>
  <c r="U581" i="6"/>
  <c r="T581" i="6" s="1"/>
  <c r="O54" i="3"/>
  <c r="J54" i="3"/>
  <c r="R54" i="3" s="1"/>
  <c r="G54" i="3"/>
  <c r="O53" i="3"/>
  <c r="J53" i="3"/>
  <c r="R53" i="3" s="1"/>
  <c r="G53" i="3"/>
  <c r="X580" i="6"/>
  <c r="W580" i="6"/>
  <c r="V580" i="6"/>
  <c r="U580" i="6"/>
  <c r="T580" i="6" s="1"/>
  <c r="X579" i="6"/>
  <c r="W579" i="6"/>
  <c r="V579" i="6"/>
  <c r="U579" i="6"/>
  <c r="T579" i="6" s="1"/>
  <c r="O52" i="3"/>
  <c r="J52" i="3"/>
  <c r="R52" i="3" s="1"/>
  <c r="G52" i="3"/>
  <c r="X578" i="6"/>
  <c r="W578" i="6"/>
  <c r="V578" i="6"/>
  <c r="U578" i="6"/>
  <c r="T578" i="6" s="1"/>
  <c r="X577" i="6"/>
  <c r="W577" i="6"/>
  <c r="V577" i="6"/>
  <c r="U577" i="6"/>
  <c r="T577" i="6" s="1"/>
  <c r="O51" i="3"/>
  <c r="J51" i="3"/>
  <c r="R51" i="3" s="1"/>
  <c r="G51" i="3"/>
  <c r="P31" i="3"/>
  <c r="M12" i="5"/>
  <c r="N37" i="5"/>
  <c r="N12" i="5"/>
  <c r="M37" i="5"/>
  <c r="Q37" i="5"/>
  <c r="Q12" i="5"/>
  <c r="R37" i="5"/>
  <c r="R12" i="5"/>
  <c r="S37" i="5" l="1"/>
  <c r="S12" i="5"/>
  <c r="O50" i="3"/>
  <c r="J50" i="3"/>
  <c r="R50" i="3" s="1"/>
  <c r="G50" i="3"/>
  <c r="O49" i="3"/>
  <c r="J49" i="3"/>
  <c r="R49" i="3" s="1"/>
  <c r="G49" i="3"/>
  <c r="O32" i="3"/>
  <c r="J32" i="3"/>
  <c r="R32" i="3" s="1"/>
  <c r="G32" i="3"/>
  <c r="O31" i="3"/>
  <c r="J31" i="3"/>
  <c r="R31" i="3" s="1"/>
  <c r="G31" i="3"/>
  <c r="O30" i="3"/>
  <c r="J30" i="3"/>
  <c r="R30" i="3" s="1"/>
  <c r="G30" i="3"/>
  <c r="X576" i="6"/>
  <c r="W576" i="6"/>
  <c r="V576" i="6"/>
  <c r="U576" i="6"/>
  <c r="T576" i="6" s="1"/>
  <c r="X575" i="6"/>
  <c r="W575" i="6"/>
  <c r="V575" i="6"/>
  <c r="U575" i="6"/>
  <c r="T575" i="6" s="1"/>
  <c r="X574" i="6"/>
  <c r="W574" i="6"/>
  <c r="V574" i="6"/>
  <c r="U574" i="6"/>
  <c r="T574" i="6" s="1"/>
  <c r="X573" i="6"/>
  <c r="W573" i="6"/>
  <c r="V573" i="6"/>
  <c r="U573" i="6"/>
  <c r="T573" i="6" s="1"/>
  <c r="X572" i="6"/>
  <c r="W572" i="6"/>
  <c r="V572" i="6"/>
  <c r="U572" i="6"/>
  <c r="T572" i="6" s="1"/>
  <c r="X571" i="6"/>
  <c r="W571" i="6"/>
  <c r="V571" i="6"/>
  <c r="U571" i="6"/>
  <c r="T571" i="6" s="1"/>
  <c r="X570" i="6"/>
  <c r="W570" i="6"/>
  <c r="V570" i="6"/>
  <c r="U570" i="6"/>
  <c r="T570" i="6" s="1"/>
  <c r="X569" i="6"/>
  <c r="W569" i="6"/>
  <c r="V569" i="6"/>
  <c r="U569" i="6"/>
  <c r="T569" i="6" s="1"/>
  <c r="X568" i="6"/>
  <c r="W568" i="6"/>
  <c r="V568" i="6"/>
  <c r="U568" i="6"/>
  <c r="T568" i="6" s="1"/>
  <c r="X567" i="6"/>
  <c r="W567" i="6"/>
  <c r="V567" i="6"/>
  <c r="U567" i="6"/>
  <c r="T567" i="6" s="1"/>
  <c r="X566" i="6"/>
  <c r="W566" i="6"/>
  <c r="V566" i="6"/>
  <c r="U566" i="6"/>
  <c r="T566" i="6" s="1"/>
  <c r="X565" i="6"/>
  <c r="W565" i="6"/>
  <c r="V565" i="6"/>
  <c r="U565" i="6"/>
  <c r="T565" i="6" s="1"/>
  <c r="X564" i="6"/>
  <c r="W564" i="6"/>
  <c r="V564" i="6"/>
  <c r="U564" i="6"/>
  <c r="T564" i="6" s="1"/>
  <c r="X563" i="6"/>
  <c r="W563" i="6"/>
  <c r="V563" i="6"/>
  <c r="AD563" i="6" s="1"/>
  <c r="U563" i="6"/>
  <c r="T563" i="6" s="1"/>
  <c r="X562" i="6"/>
  <c r="W562" i="6"/>
  <c r="V562" i="6"/>
  <c r="U562" i="6"/>
  <c r="T562" i="6" s="1"/>
  <c r="X561" i="6"/>
  <c r="W561" i="6"/>
  <c r="V561" i="6"/>
  <c r="U561" i="6"/>
  <c r="T561" i="6" s="1"/>
  <c r="X560" i="6"/>
  <c r="W560" i="6"/>
  <c r="V560" i="6"/>
  <c r="U560" i="6"/>
  <c r="T560" i="6" s="1"/>
  <c r="X559" i="6"/>
  <c r="W559" i="6"/>
  <c r="V559" i="6"/>
  <c r="U559" i="6"/>
  <c r="T559" i="6" s="1"/>
  <c r="X558" i="6"/>
  <c r="W558" i="6"/>
  <c r="V558" i="6"/>
  <c r="U558" i="6"/>
  <c r="T558" i="6" s="1"/>
  <c r="X557" i="6"/>
  <c r="W557" i="6"/>
  <c r="V557" i="6"/>
  <c r="U557" i="6"/>
  <c r="T557" i="6" s="1"/>
  <c r="X556" i="6"/>
  <c r="W556" i="6"/>
  <c r="V556" i="6"/>
  <c r="U556" i="6"/>
  <c r="T556" i="6" s="1"/>
  <c r="X555" i="6"/>
  <c r="W555" i="6"/>
  <c r="V555" i="6"/>
  <c r="U555" i="6"/>
  <c r="T555" i="6" s="1"/>
  <c r="X554" i="6"/>
  <c r="W554" i="6"/>
  <c r="V554" i="6"/>
  <c r="U554" i="6"/>
  <c r="T554" i="6" s="1"/>
  <c r="X553" i="6"/>
  <c r="W553" i="6"/>
  <c r="V553" i="6"/>
  <c r="U553" i="6"/>
  <c r="T553" i="6" s="1"/>
  <c r="X552" i="6"/>
  <c r="W552" i="6"/>
  <c r="V552" i="6"/>
  <c r="U552" i="6"/>
  <c r="T552" i="6" s="1"/>
  <c r="X551" i="6"/>
  <c r="W551" i="6"/>
  <c r="V551" i="6"/>
  <c r="U551" i="6"/>
  <c r="T551" i="6" s="1"/>
  <c r="X550" i="6"/>
  <c r="W550" i="6"/>
  <c r="V550" i="6"/>
  <c r="U550" i="6"/>
  <c r="T550" i="6" s="1"/>
  <c r="X549" i="6"/>
  <c r="W549" i="6"/>
  <c r="V549" i="6"/>
  <c r="U549" i="6"/>
  <c r="T549" i="6" s="1"/>
  <c r="X548" i="6"/>
  <c r="W548" i="6"/>
  <c r="V548" i="6"/>
  <c r="U548" i="6"/>
  <c r="T548" i="6" s="1"/>
  <c r="X547" i="6"/>
  <c r="W547" i="6"/>
  <c r="V547" i="6"/>
  <c r="U547" i="6"/>
  <c r="T547" i="6" s="1"/>
  <c r="X546" i="6"/>
  <c r="W546" i="6"/>
  <c r="V546" i="6"/>
  <c r="U546" i="6"/>
  <c r="T546" i="6" s="1"/>
  <c r="X545" i="6"/>
  <c r="W545" i="6"/>
  <c r="V545" i="6"/>
  <c r="U545" i="6"/>
  <c r="T545" i="6" s="1"/>
  <c r="X544" i="6"/>
  <c r="W544" i="6"/>
  <c r="V544" i="6"/>
  <c r="U544" i="6"/>
  <c r="T544" i="6" s="1"/>
  <c r="X543" i="6"/>
  <c r="W543" i="6"/>
  <c r="V543" i="6"/>
  <c r="U543" i="6"/>
  <c r="T543" i="6" s="1"/>
  <c r="X542" i="6"/>
  <c r="W542" i="6"/>
  <c r="V542" i="6"/>
  <c r="U542" i="6"/>
  <c r="T542" i="6" s="1"/>
  <c r="X541" i="6"/>
  <c r="W541" i="6"/>
  <c r="V541" i="6"/>
  <c r="U541" i="6"/>
  <c r="T541" i="6" s="1"/>
  <c r="X540" i="6"/>
  <c r="W540" i="6"/>
  <c r="V540" i="6"/>
  <c r="U540" i="6"/>
  <c r="T540" i="6" s="1"/>
  <c r="X539" i="6"/>
  <c r="W539" i="6"/>
  <c r="V539" i="6"/>
  <c r="U539" i="6"/>
  <c r="T539" i="6" s="1"/>
  <c r="X538" i="6"/>
  <c r="W538" i="6"/>
  <c r="V538" i="6"/>
  <c r="U538" i="6"/>
  <c r="T538" i="6" s="1"/>
  <c r="X537" i="6"/>
  <c r="W537" i="6"/>
  <c r="V537" i="6"/>
  <c r="U537" i="6"/>
  <c r="T537" i="6" s="1"/>
  <c r="X536" i="6"/>
  <c r="W536" i="6"/>
  <c r="V536" i="6"/>
  <c r="U536" i="6"/>
  <c r="T536" i="6" s="1"/>
  <c r="X535" i="6"/>
  <c r="W535" i="6"/>
  <c r="V535" i="6"/>
  <c r="U535" i="6"/>
  <c r="T535" i="6" s="1"/>
  <c r="X534" i="6"/>
  <c r="W534" i="6"/>
  <c r="V534" i="6"/>
  <c r="U534" i="6"/>
  <c r="T534" i="6" s="1"/>
  <c r="X533" i="6"/>
  <c r="W533" i="6"/>
  <c r="V533" i="6"/>
  <c r="U533" i="6"/>
  <c r="T533" i="6" s="1"/>
  <c r="X532" i="6"/>
  <c r="W532" i="6"/>
  <c r="V532" i="6"/>
  <c r="U532" i="6"/>
  <c r="T532" i="6" s="1"/>
  <c r="X531" i="6"/>
  <c r="W531" i="6"/>
  <c r="V531" i="6"/>
  <c r="U531" i="6"/>
  <c r="T531" i="6" s="1"/>
  <c r="X530" i="6"/>
  <c r="W530" i="6"/>
  <c r="V530" i="6"/>
  <c r="U530" i="6"/>
  <c r="T530" i="6" s="1"/>
  <c r="X529" i="6"/>
  <c r="W529" i="6"/>
  <c r="V529" i="6"/>
  <c r="U529" i="6"/>
  <c r="T529" i="6" s="1"/>
  <c r="X528" i="6"/>
  <c r="W528" i="6"/>
  <c r="V528" i="6"/>
  <c r="U528" i="6"/>
  <c r="T528" i="6" s="1"/>
  <c r="X527" i="6"/>
  <c r="W527" i="6"/>
  <c r="V527" i="6"/>
  <c r="U527" i="6"/>
  <c r="T527" i="6" s="1"/>
  <c r="X526" i="6"/>
  <c r="W526" i="6"/>
  <c r="V526" i="6"/>
  <c r="U526" i="6"/>
  <c r="T526" i="6" s="1"/>
  <c r="X525" i="6"/>
  <c r="W525" i="6"/>
  <c r="V525" i="6"/>
  <c r="U525" i="6"/>
  <c r="T525" i="6" s="1"/>
  <c r="X524" i="6"/>
  <c r="W524" i="6"/>
  <c r="V524" i="6"/>
  <c r="U524" i="6"/>
  <c r="T524" i="6" s="1"/>
  <c r="X523" i="6"/>
  <c r="W523" i="6"/>
  <c r="V523" i="6"/>
  <c r="U523" i="6"/>
  <c r="T523" i="6" s="1"/>
  <c r="X522" i="6"/>
  <c r="W522" i="6"/>
  <c r="V522" i="6"/>
  <c r="U522" i="6"/>
  <c r="T522" i="6" s="1"/>
  <c r="X521" i="6"/>
  <c r="W521" i="6"/>
  <c r="V521" i="6"/>
  <c r="U521" i="6"/>
  <c r="T521" i="6" s="1"/>
  <c r="X520" i="6"/>
  <c r="W520" i="6"/>
  <c r="V520" i="6"/>
  <c r="U520" i="6"/>
  <c r="T520" i="6" s="1"/>
  <c r="X519" i="6"/>
  <c r="W519" i="6"/>
  <c r="V519" i="6"/>
  <c r="U519" i="6"/>
  <c r="T519" i="6" s="1"/>
  <c r="X518" i="6"/>
  <c r="W518" i="6"/>
  <c r="V518" i="6"/>
  <c r="U518" i="6"/>
  <c r="T518" i="6" s="1"/>
  <c r="G19" i="3"/>
  <c r="G46" i="3"/>
  <c r="G45" i="3"/>
  <c r="G40" i="3"/>
  <c r="G38" i="3"/>
  <c r="G37" i="3"/>
  <c r="G25" i="3"/>
  <c r="G20" i="3"/>
  <c r="X517" i="6"/>
  <c r="W517" i="6"/>
  <c r="V517" i="6"/>
  <c r="U517" i="6"/>
  <c r="T517" i="6" s="1"/>
  <c r="X516" i="6"/>
  <c r="W516" i="6"/>
  <c r="V516" i="6"/>
  <c r="U516" i="6"/>
  <c r="T516" i="6" s="1"/>
  <c r="X515" i="6"/>
  <c r="W515" i="6"/>
  <c r="V515" i="6"/>
  <c r="U515" i="6"/>
  <c r="T515" i="6" s="1"/>
  <c r="X514" i="6"/>
  <c r="W514" i="6"/>
  <c r="V514" i="6"/>
  <c r="U514" i="6"/>
  <c r="T514" i="6" s="1"/>
  <c r="X513" i="6"/>
  <c r="W513" i="6"/>
  <c r="V513" i="6"/>
  <c r="U513" i="6"/>
  <c r="T513" i="6" s="1"/>
  <c r="X512" i="6"/>
  <c r="W512" i="6"/>
  <c r="V512" i="6"/>
  <c r="U512" i="6"/>
  <c r="T512" i="6" s="1"/>
  <c r="X511" i="6"/>
  <c r="W511" i="6"/>
  <c r="V511" i="6"/>
  <c r="U511" i="6"/>
  <c r="T511" i="6" s="1"/>
  <c r="X510" i="6"/>
  <c r="W510" i="6"/>
  <c r="V510" i="6"/>
  <c r="U510" i="6"/>
  <c r="T510" i="6" s="1"/>
  <c r="O48" i="3"/>
  <c r="J48" i="3"/>
  <c r="R48" i="3" s="1"/>
  <c r="X509" i="6"/>
  <c r="W509" i="6"/>
  <c r="V509" i="6"/>
  <c r="U509" i="6"/>
  <c r="T509" i="6" s="1"/>
  <c r="X508" i="6"/>
  <c r="W508" i="6"/>
  <c r="V508" i="6"/>
  <c r="U508" i="6"/>
  <c r="T508" i="6" s="1"/>
  <c r="X507" i="6"/>
  <c r="W507" i="6"/>
  <c r="V507" i="6"/>
  <c r="U507" i="6"/>
  <c r="T507" i="6" s="1"/>
  <c r="X506" i="6"/>
  <c r="W506" i="6"/>
  <c r="V506" i="6"/>
  <c r="U506" i="6"/>
  <c r="T506" i="6" s="1"/>
  <c r="X505" i="6"/>
  <c r="W505" i="6"/>
  <c r="V505" i="6"/>
  <c r="U505" i="6"/>
  <c r="T505" i="6" s="1"/>
  <c r="X504" i="6"/>
  <c r="W504" i="6"/>
  <c r="V504" i="6"/>
  <c r="U504" i="6"/>
  <c r="T504" i="6" s="1"/>
  <c r="X503" i="6"/>
  <c r="W503" i="6"/>
  <c r="V503" i="6"/>
  <c r="U503" i="6"/>
  <c r="T503" i="6" s="1"/>
  <c r="X502" i="6"/>
  <c r="W502" i="6"/>
  <c r="V502" i="6"/>
  <c r="U502" i="6"/>
  <c r="T502" i="6" s="1"/>
  <c r="X501" i="6"/>
  <c r="W501" i="6"/>
  <c r="V501" i="6"/>
  <c r="U501" i="6"/>
  <c r="T501" i="6" s="1"/>
  <c r="X500" i="6"/>
  <c r="W500" i="6"/>
  <c r="V500" i="6"/>
  <c r="U500" i="6"/>
  <c r="T500" i="6" s="1"/>
  <c r="X499" i="6"/>
  <c r="W499" i="6"/>
  <c r="V499" i="6"/>
  <c r="U499" i="6"/>
  <c r="T499" i="6" s="1"/>
  <c r="X498" i="6"/>
  <c r="W498" i="6"/>
  <c r="V498" i="6"/>
  <c r="U498" i="6"/>
  <c r="T498" i="6" s="1"/>
  <c r="X497" i="6"/>
  <c r="W497" i="6"/>
  <c r="V497" i="6"/>
  <c r="U497" i="6"/>
  <c r="T497" i="6" s="1"/>
  <c r="X496" i="6"/>
  <c r="W496" i="6"/>
  <c r="V496" i="6"/>
  <c r="U496" i="6"/>
  <c r="T496" i="6" s="1"/>
  <c r="X495" i="6"/>
  <c r="W495" i="6"/>
  <c r="V495" i="6"/>
  <c r="U495" i="6"/>
  <c r="T495" i="6" s="1"/>
  <c r="X494" i="6"/>
  <c r="W494" i="6"/>
  <c r="V494" i="6"/>
  <c r="U494" i="6"/>
  <c r="T494" i="6" s="1"/>
  <c r="X493" i="6"/>
  <c r="W493" i="6"/>
  <c r="V493" i="6"/>
  <c r="U493" i="6"/>
  <c r="T493" i="6" s="1"/>
  <c r="X492" i="6"/>
  <c r="W492" i="6"/>
  <c r="V492" i="6"/>
  <c r="U492" i="6"/>
  <c r="T492" i="6" s="1"/>
  <c r="X491" i="6"/>
  <c r="W491" i="6"/>
  <c r="V491" i="6"/>
  <c r="U491" i="6"/>
  <c r="T491" i="6" s="1"/>
  <c r="X490" i="6"/>
  <c r="W490" i="6"/>
  <c r="V490" i="6"/>
  <c r="U490" i="6"/>
  <c r="T490" i="6" s="1"/>
  <c r="X489" i="6"/>
  <c r="W489" i="6"/>
  <c r="V489" i="6"/>
  <c r="U489" i="6"/>
  <c r="T489" i="6" s="1"/>
  <c r="X488" i="6"/>
  <c r="W488" i="6"/>
  <c r="V488" i="6"/>
  <c r="U488" i="6"/>
  <c r="T488" i="6" s="1"/>
  <c r="X487" i="6"/>
  <c r="W487" i="6"/>
  <c r="V487" i="6"/>
  <c r="U487" i="6"/>
  <c r="T487" i="6" s="1"/>
  <c r="X486" i="6"/>
  <c r="W486" i="6"/>
  <c r="V486" i="6"/>
  <c r="U486" i="6"/>
  <c r="T486" i="6" s="1"/>
  <c r="X485" i="6"/>
  <c r="W485" i="6"/>
  <c r="V485" i="6"/>
  <c r="U485" i="6"/>
  <c r="T485" i="6" s="1"/>
  <c r="X484" i="6"/>
  <c r="W484" i="6"/>
  <c r="V484" i="6"/>
  <c r="U484" i="6"/>
  <c r="T484" i="6" s="1"/>
  <c r="X483" i="6"/>
  <c r="W483" i="6"/>
  <c r="V483" i="6"/>
  <c r="U483" i="6"/>
  <c r="T483" i="6" s="1"/>
  <c r="X482" i="6"/>
  <c r="W482" i="6"/>
  <c r="V482" i="6"/>
  <c r="U482" i="6"/>
  <c r="T482" i="6" s="1"/>
  <c r="X481" i="6"/>
  <c r="W481" i="6"/>
  <c r="V481" i="6"/>
  <c r="U481" i="6"/>
  <c r="T481" i="6" s="1"/>
  <c r="X480" i="6"/>
  <c r="W480" i="6"/>
  <c r="V480" i="6"/>
  <c r="U480" i="6"/>
  <c r="T480" i="6" s="1"/>
  <c r="X479" i="6"/>
  <c r="W479" i="6"/>
  <c r="V479" i="6"/>
  <c r="U479" i="6"/>
  <c r="T479" i="6" s="1"/>
  <c r="X478" i="6"/>
  <c r="W478" i="6"/>
  <c r="V478" i="6"/>
  <c r="U478" i="6"/>
  <c r="T478" i="6" s="1"/>
  <c r="X477" i="6"/>
  <c r="W477" i="6"/>
  <c r="V477" i="6"/>
  <c r="U477" i="6"/>
  <c r="T477" i="6" s="1"/>
  <c r="X476" i="6"/>
  <c r="W476" i="6"/>
  <c r="V476" i="6"/>
  <c r="U476" i="6"/>
  <c r="T476" i="6" s="1"/>
  <c r="X475" i="6"/>
  <c r="W475" i="6"/>
  <c r="V475" i="6"/>
  <c r="U475" i="6"/>
  <c r="T475" i="6" s="1"/>
  <c r="X474" i="6"/>
  <c r="W474" i="6"/>
  <c r="V474" i="6"/>
  <c r="U474" i="6"/>
  <c r="T474" i="6" s="1"/>
  <c r="X473" i="6"/>
  <c r="W473" i="6"/>
  <c r="V473" i="6"/>
  <c r="U473" i="6"/>
  <c r="T473" i="6" s="1"/>
  <c r="X472" i="6"/>
  <c r="W472" i="6"/>
  <c r="V472" i="6"/>
  <c r="U472" i="6"/>
  <c r="T472" i="6" s="1"/>
  <c r="X471" i="6"/>
  <c r="W471" i="6"/>
  <c r="V471" i="6"/>
  <c r="U471" i="6"/>
  <c r="T471" i="6" s="1"/>
  <c r="X470" i="6"/>
  <c r="W470" i="6"/>
  <c r="V470" i="6"/>
  <c r="U470" i="6"/>
  <c r="T470" i="6" s="1"/>
  <c r="X469" i="6"/>
  <c r="W469" i="6"/>
  <c r="V469" i="6"/>
  <c r="U469" i="6"/>
  <c r="T469" i="6" s="1"/>
  <c r="X468" i="6"/>
  <c r="W468" i="6"/>
  <c r="V468" i="6"/>
  <c r="U468" i="6"/>
  <c r="T468" i="6" s="1"/>
  <c r="X467" i="6"/>
  <c r="W467" i="6"/>
  <c r="V467" i="6"/>
  <c r="U467" i="6"/>
  <c r="T467" i="6" s="1"/>
  <c r="X466" i="6"/>
  <c r="W466" i="6"/>
  <c r="V466" i="6"/>
  <c r="U466" i="6"/>
  <c r="T466" i="6" s="1"/>
  <c r="X465" i="6"/>
  <c r="W465" i="6"/>
  <c r="V465" i="6"/>
  <c r="U465" i="6"/>
  <c r="T465" i="6" s="1"/>
  <c r="X464" i="6"/>
  <c r="W464" i="6"/>
  <c r="V464" i="6"/>
  <c r="U464" i="6"/>
  <c r="T464" i="6" s="1"/>
  <c r="X463" i="6"/>
  <c r="W463" i="6"/>
  <c r="V463" i="6"/>
  <c r="U463" i="6"/>
  <c r="T463" i="6" s="1"/>
  <c r="X462" i="6"/>
  <c r="W462" i="6"/>
  <c r="V462" i="6"/>
  <c r="U462" i="6"/>
  <c r="T462" i="6" s="1"/>
  <c r="X461" i="6"/>
  <c r="W461" i="6"/>
  <c r="V461" i="6"/>
  <c r="U461" i="6"/>
  <c r="T461" i="6" s="1"/>
  <c r="X460" i="6"/>
  <c r="W460" i="6"/>
  <c r="V460" i="6"/>
  <c r="U460" i="6"/>
  <c r="T460" i="6" s="1"/>
  <c r="X459" i="6"/>
  <c r="W459" i="6"/>
  <c r="V459" i="6"/>
  <c r="U459" i="6"/>
  <c r="T459" i="6" s="1"/>
  <c r="X458" i="6"/>
  <c r="W458" i="6"/>
  <c r="V458" i="6"/>
  <c r="U458" i="6"/>
  <c r="T458" i="6" s="1"/>
  <c r="G20" i="4"/>
  <c r="E20" i="4"/>
  <c r="X457" i="6"/>
  <c r="W457" i="6"/>
  <c r="V457" i="6"/>
  <c r="U457" i="6"/>
  <c r="T457" i="6" s="1"/>
  <c r="X456" i="6"/>
  <c r="W456" i="6"/>
  <c r="V456" i="6"/>
  <c r="U456" i="6"/>
  <c r="T456" i="6" s="1"/>
  <c r="X455" i="6"/>
  <c r="W455" i="6"/>
  <c r="V455" i="6"/>
  <c r="U455" i="6"/>
  <c r="T455" i="6" s="1"/>
  <c r="X454" i="6"/>
  <c r="W454" i="6"/>
  <c r="V454" i="6"/>
  <c r="U454" i="6"/>
  <c r="T454" i="6" s="1"/>
  <c r="X453" i="6"/>
  <c r="W453" i="6"/>
  <c r="V453" i="6"/>
  <c r="U453" i="6"/>
  <c r="T453" i="6" s="1"/>
  <c r="X452" i="6"/>
  <c r="W452" i="6"/>
  <c r="V452" i="6"/>
  <c r="U452" i="6"/>
  <c r="T452" i="6" s="1"/>
  <c r="X451" i="6"/>
  <c r="W451" i="6"/>
  <c r="V451" i="6"/>
  <c r="U451" i="6"/>
  <c r="T451" i="6" s="1"/>
  <c r="X450" i="6"/>
  <c r="W450" i="6"/>
  <c r="V450" i="6"/>
  <c r="U450" i="6"/>
  <c r="T450" i="6" s="1"/>
  <c r="X449" i="6"/>
  <c r="W449" i="6"/>
  <c r="V449" i="6"/>
  <c r="U449" i="6"/>
  <c r="T449" i="6" s="1"/>
  <c r="X448" i="6"/>
  <c r="W448" i="6"/>
  <c r="V448" i="6"/>
  <c r="U448" i="6"/>
  <c r="T448" i="6" s="1"/>
  <c r="X447" i="6"/>
  <c r="W447" i="6"/>
  <c r="V447" i="6"/>
  <c r="U447" i="6"/>
  <c r="T447" i="6" s="1"/>
  <c r="X446" i="6"/>
  <c r="W446" i="6"/>
  <c r="V446" i="6"/>
  <c r="U446" i="6"/>
  <c r="T446" i="6" s="1"/>
  <c r="X445" i="6"/>
  <c r="W445" i="6"/>
  <c r="V445" i="6"/>
  <c r="U445" i="6"/>
  <c r="T445" i="6" s="1"/>
  <c r="X444" i="6"/>
  <c r="W444" i="6"/>
  <c r="V444" i="6"/>
  <c r="U444" i="6"/>
  <c r="T444" i="6" s="1"/>
  <c r="X443" i="6"/>
  <c r="W443" i="6"/>
  <c r="V443" i="6"/>
  <c r="U443" i="6"/>
  <c r="T443" i="6" s="1"/>
  <c r="O47" i="3"/>
  <c r="J47" i="3"/>
  <c r="R47" i="3" s="1"/>
  <c r="X442" i="6"/>
  <c r="W442" i="6"/>
  <c r="V442" i="6"/>
  <c r="U442" i="6"/>
  <c r="T442" i="6" s="1"/>
  <c r="X441" i="6"/>
  <c r="W441" i="6"/>
  <c r="V441" i="6"/>
  <c r="U441" i="6"/>
  <c r="T441" i="6" s="1"/>
  <c r="X440" i="6"/>
  <c r="W440" i="6"/>
  <c r="V440" i="6"/>
  <c r="U440" i="6"/>
  <c r="T440" i="6" s="1"/>
  <c r="X439" i="6"/>
  <c r="W439" i="6"/>
  <c r="V439" i="6"/>
  <c r="U439" i="6"/>
  <c r="T439" i="6" s="1"/>
  <c r="X438" i="6"/>
  <c r="W438" i="6"/>
  <c r="V438" i="6"/>
  <c r="U438" i="6"/>
  <c r="T438" i="6" s="1"/>
  <c r="X437" i="6"/>
  <c r="W437" i="6"/>
  <c r="V437" i="6"/>
  <c r="U437" i="6"/>
  <c r="T437" i="6" s="1"/>
  <c r="X436" i="6"/>
  <c r="W436" i="6"/>
  <c r="V436" i="6"/>
  <c r="U436" i="6"/>
  <c r="T436" i="6" s="1"/>
  <c r="X435" i="6"/>
  <c r="W435" i="6"/>
  <c r="V435" i="6"/>
  <c r="U435" i="6"/>
  <c r="T435" i="6" s="1"/>
  <c r="X434" i="6"/>
  <c r="W434" i="6"/>
  <c r="V434" i="6"/>
  <c r="U434" i="6"/>
  <c r="T434" i="6" s="1"/>
  <c r="X433" i="6"/>
  <c r="W433" i="6"/>
  <c r="V433" i="6"/>
  <c r="U433" i="6"/>
  <c r="T433" i="6" s="1"/>
  <c r="O46" i="3"/>
  <c r="J46" i="3"/>
  <c r="R46" i="3" s="1"/>
  <c r="X432" i="6"/>
  <c r="W432" i="6"/>
  <c r="V432" i="6"/>
  <c r="U432" i="6"/>
  <c r="T432" i="6" s="1"/>
  <c r="X431" i="6"/>
  <c r="W431" i="6"/>
  <c r="V431" i="6"/>
  <c r="U431" i="6"/>
  <c r="T431" i="6" s="1"/>
  <c r="X430" i="6"/>
  <c r="W430" i="6"/>
  <c r="V430" i="6"/>
  <c r="U430" i="6"/>
  <c r="T430" i="6" s="1"/>
  <c r="X429" i="6"/>
  <c r="W429" i="6"/>
  <c r="V429" i="6"/>
  <c r="U429" i="6"/>
  <c r="T429" i="6" s="1"/>
  <c r="X428" i="6"/>
  <c r="W428" i="6"/>
  <c r="V428" i="6"/>
  <c r="U428" i="6"/>
  <c r="T428" i="6" s="1"/>
  <c r="X427" i="6"/>
  <c r="W427" i="6"/>
  <c r="V427" i="6"/>
  <c r="U427" i="6"/>
  <c r="T427" i="6" s="1"/>
  <c r="X426" i="6"/>
  <c r="W426" i="6"/>
  <c r="V426" i="6"/>
  <c r="U426" i="6"/>
  <c r="T426" i="6" s="1"/>
  <c r="X425" i="6"/>
  <c r="W425" i="6"/>
  <c r="V425" i="6"/>
  <c r="U425" i="6"/>
  <c r="T425" i="6" s="1"/>
  <c r="X424" i="6"/>
  <c r="W424" i="6"/>
  <c r="V424" i="6"/>
  <c r="U424" i="6"/>
  <c r="T424" i="6" s="1"/>
  <c r="X423" i="6"/>
  <c r="W423" i="6"/>
  <c r="V423" i="6"/>
  <c r="U423" i="6"/>
  <c r="T423" i="6" s="1"/>
  <c r="X422" i="6"/>
  <c r="W422" i="6"/>
  <c r="V422" i="6"/>
  <c r="U422" i="6"/>
  <c r="T422" i="6" s="1"/>
  <c r="X421" i="6"/>
  <c r="W421" i="6"/>
  <c r="V421" i="6"/>
  <c r="U421" i="6"/>
  <c r="T421" i="6" s="1"/>
  <c r="X420" i="6"/>
  <c r="W420" i="6"/>
  <c r="V420" i="6"/>
  <c r="U420" i="6"/>
  <c r="T420" i="6" s="1"/>
  <c r="X419" i="6"/>
  <c r="W419" i="6"/>
  <c r="V419" i="6"/>
  <c r="U419" i="6"/>
  <c r="T419" i="6" s="1"/>
  <c r="X418" i="6"/>
  <c r="W418" i="6"/>
  <c r="V418" i="6"/>
  <c r="U418" i="6"/>
  <c r="T418" i="6" s="1"/>
  <c r="X417" i="6"/>
  <c r="W417" i="6"/>
  <c r="V417" i="6"/>
  <c r="U417" i="6"/>
  <c r="T417" i="6" s="1"/>
  <c r="X416" i="6"/>
  <c r="W416" i="6"/>
  <c r="V416" i="6"/>
  <c r="U416" i="6"/>
  <c r="T416" i="6" s="1"/>
  <c r="X415" i="6"/>
  <c r="W415" i="6"/>
  <c r="V415" i="6"/>
  <c r="U415" i="6"/>
  <c r="T415" i="6" s="1"/>
  <c r="X414" i="6"/>
  <c r="W414" i="6"/>
  <c r="V414" i="6"/>
  <c r="U414" i="6"/>
  <c r="T414" i="6" s="1"/>
  <c r="X413" i="6"/>
  <c r="W413" i="6"/>
  <c r="V413" i="6"/>
  <c r="U413" i="6"/>
  <c r="T413" i="6" s="1"/>
  <c r="X412" i="6"/>
  <c r="W412" i="6"/>
  <c r="V412" i="6"/>
  <c r="U412" i="6"/>
  <c r="T412" i="6" s="1"/>
  <c r="X411" i="6"/>
  <c r="W411" i="6"/>
  <c r="V411" i="6"/>
  <c r="U411" i="6"/>
  <c r="T411" i="6" s="1"/>
  <c r="X410" i="6"/>
  <c r="W410" i="6"/>
  <c r="V410" i="6"/>
  <c r="U410" i="6"/>
  <c r="T410" i="6" s="1"/>
  <c r="X409" i="6"/>
  <c r="W409" i="6"/>
  <c r="V409" i="6"/>
  <c r="U409" i="6"/>
  <c r="T409" i="6" s="1"/>
  <c r="X408" i="6"/>
  <c r="W408" i="6"/>
  <c r="V408" i="6"/>
  <c r="U408" i="6"/>
  <c r="T408" i="6" s="1"/>
  <c r="X407" i="6"/>
  <c r="W407" i="6"/>
  <c r="V407" i="6"/>
  <c r="U407" i="6"/>
  <c r="T407" i="6" s="1"/>
  <c r="X406" i="6"/>
  <c r="W406" i="6"/>
  <c r="V406" i="6"/>
  <c r="U406" i="6"/>
  <c r="T406" i="6" s="1"/>
  <c r="X405" i="6"/>
  <c r="W405" i="6"/>
  <c r="V405" i="6"/>
  <c r="U405" i="6"/>
  <c r="T405" i="6" s="1"/>
  <c r="X404" i="6"/>
  <c r="W404" i="6"/>
  <c r="V404" i="6"/>
  <c r="U404" i="6"/>
  <c r="T404" i="6" s="1"/>
  <c r="X403" i="6"/>
  <c r="W403" i="6"/>
  <c r="V403" i="6"/>
  <c r="U403" i="6"/>
  <c r="T403" i="6" s="1"/>
  <c r="X402" i="6"/>
  <c r="W402" i="6"/>
  <c r="V402" i="6"/>
  <c r="U402" i="6"/>
  <c r="T402" i="6" s="1"/>
  <c r="X401" i="6"/>
  <c r="W401" i="6"/>
  <c r="V401" i="6"/>
  <c r="U401" i="6"/>
  <c r="T401" i="6" s="1"/>
  <c r="X400" i="6"/>
  <c r="W400" i="6"/>
  <c r="V400" i="6"/>
  <c r="U400" i="6"/>
  <c r="T400" i="6" s="1"/>
  <c r="X399" i="6"/>
  <c r="W399" i="6"/>
  <c r="V399" i="6"/>
  <c r="U399" i="6"/>
  <c r="T399" i="6" s="1"/>
  <c r="X398" i="6"/>
  <c r="W398" i="6"/>
  <c r="V398" i="6"/>
  <c r="U398" i="6"/>
  <c r="T398" i="6" s="1"/>
  <c r="X397" i="6"/>
  <c r="W397" i="6"/>
  <c r="V397" i="6"/>
  <c r="U397" i="6"/>
  <c r="T397" i="6" s="1"/>
  <c r="X396" i="6"/>
  <c r="W396" i="6"/>
  <c r="V396" i="6"/>
  <c r="U396" i="6"/>
  <c r="T396" i="6" s="1"/>
  <c r="X395" i="6"/>
  <c r="W395" i="6"/>
  <c r="V395" i="6"/>
  <c r="U395" i="6"/>
  <c r="T395" i="6" s="1"/>
  <c r="X394" i="6"/>
  <c r="W394" i="6"/>
  <c r="V394" i="6"/>
  <c r="U394" i="6"/>
  <c r="T394" i="6" s="1"/>
  <c r="X393" i="6"/>
  <c r="W393" i="6"/>
  <c r="V393" i="6"/>
  <c r="U393" i="6"/>
  <c r="T393" i="6" s="1"/>
  <c r="X392" i="6"/>
  <c r="W392" i="6"/>
  <c r="V392" i="6"/>
  <c r="U392" i="6"/>
  <c r="T392" i="6" s="1"/>
  <c r="X391" i="6"/>
  <c r="W391" i="6"/>
  <c r="V391" i="6"/>
  <c r="U391" i="6"/>
  <c r="T391" i="6" s="1"/>
  <c r="X390" i="6"/>
  <c r="W390" i="6"/>
  <c r="V390" i="6"/>
  <c r="U390" i="6"/>
  <c r="T390" i="6" s="1"/>
  <c r="X389" i="6"/>
  <c r="W389" i="6"/>
  <c r="V389" i="6"/>
  <c r="U389" i="6"/>
  <c r="T389" i="6" s="1"/>
  <c r="X388" i="6"/>
  <c r="W388" i="6"/>
  <c r="V388" i="6"/>
  <c r="U388" i="6"/>
  <c r="T388" i="6" s="1"/>
  <c r="X387" i="6"/>
  <c r="W387" i="6"/>
  <c r="V387" i="6"/>
  <c r="U387" i="6"/>
  <c r="T387" i="6" s="1"/>
  <c r="X386" i="6"/>
  <c r="W386" i="6"/>
  <c r="V386" i="6"/>
  <c r="U386" i="6"/>
  <c r="T386" i="6" s="1"/>
  <c r="X385" i="6"/>
  <c r="W385" i="6"/>
  <c r="V385" i="6"/>
  <c r="U385" i="6"/>
  <c r="T385" i="6" s="1"/>
  <c r="X384" i="6"/>
  <c r="W384" i="6"/>
  <c r="V384" i="6"/>
  <c r="U384" i="6"/>
  <c r="T384" i="6" s="1"/>
  <c r="X383" i="6"/>
  <c r="W383" i="6"/>
  <c r="V383" i="6"/>
  <c r="U383" i="6"/>
  <c r="T383" i="6" s="1"/>
  <c r="X382" i="6"/>
  <c r="W382" i="6"/>
  <c r="V382" i="6"/>
  <c r="U382" i="6"/>
  <c r="T382" i="6" s="1"/>
  <c r="X381" i="6"/>
  <c r="W381" i="6"/>
  <c r="V381" i="6"/>
  <c r="U381" i="6"/>
  <c r="T381" i="6" s="1"/>
  <c r="X380" i="6"/>
  <c r="W380" i="6"/>
  <c r="V380" i="6"/>
  <c r="U380" i="6"/>
  <c r="T380" i="6" s="1"/>
  <c r="X379" i="6"/>
  <c r="W379" i="6"/>
  <c r="V379" i="6"/>
  <c r="U379" i="6"/>
  <c r="T379" i="6" s="1"/>
  <c r="X378" i="6"/>
  <c r="W378" i="6"/>
  <c r="V378" i="6"/>
  <c r="U378" i="6"/>
  <c r="T378" i="6" s="1"/>
  <c r="X377" i="6"/>
  <c r="W377" i="6"/>
  <c r="V377" i="6"/>
  <c r="U377" i="6"/>
  <c r="T377" i="6" s="1"/>
  <c r="X376" i="6"/>
  <c r="W376" i="6"/>
  <c r="V376" i="6"/>
  <c r="U376" i="6"/>
  <c r="T376" i="6" s="1"/>
  <c r="X375" i="6"/>
  <c r="W375" i="6"/>
  <c r="V375" i="6"/>
  <c r="U375" i="6"/>
  <c r="T375" i="6" s="1"/>
  <c r="X374" i="6"/>
  <c r="W374" i="6"/>
  <c r="V374" i="6"/>
  <c r="U374" i="6"/>
  <c r="T374" i="6" s="1"/>
  <c r="X373" i="6"/>
  <c r="W373" i="6"/>
  <c r="V373" i="6"/>
  <c r="U373" i="6"/>
  <c r="T373" i="6" s="1"/>
  <c r="X372" i="6"/>
  <c r="W372" i="6"/>
  <c r="V372" i="6"/>
  <c r="U372" i="6"/>
  <c r="T372" i="6" s="1"/>
  <c r="X371" i="6"/>
  <c r="W371" i="6"/>
  <c r="V371" i="6"/>
  <c r="U371" i="6"/>
  <c r="T371" i="6" s="1"/>
  <c r="X370" i="6"/>
  <c r="W370" i="6"/>
  <c r="V370" i="6"/>
  <c r="U370" i="6"/>
  <c r="T370" i="6" s="1"/>
  <c r="X369" i="6"/>
  <c r="W369" i="6"/>
  <c r="V369" i="6"/>
  <c r="U369" i="6"/>
  <c r="T369" i="6" s="1"/>
  <c r="X368" i="6"/>
  <c r="W368" i="6"/>
  <c r="V368" i="6"/>
  <c r="U368" i="6"/>
  <c r="T368" i="6" s="1"/>
  <c r="X367" i="6"/>
  <c r="W367" i="6"/>
  <c r="V367" i="6"/>
  <c r="U367" i="6"/>
  <c r="T367" i="6" s="1"/>
  <c r="X366" i="6"/>
  <c r="W366" i="6"/>
  <c r="V366" i="6"/>
  <c r="U366" i="6"/>
  <c r="T366" i="6" s="1"/>
  <c r="X365" i="6"/>
  <c r="W365" i="6"/>
  <c r="V365" i="6"/>
  <c r="U365" i="6"/>
  <c r="T365" i="6" s="1"/>
  <c r="X364" i="6"/>
  <c r="W364" i="6"/>
  <c r="V364" i="6"/>
  <c r="U364" i="6"/>
  <c r="T364" i="6" s="1"/>
  <c r="X363" i="6"/>
  <c r="W363" i="6"/>
  <c r="V363" i="6"/>
  <c r="U363" i="6"/>
  <c r="T363" i="6" s="1"/>
  <c r="X362" i="6"/>
  <c r="W362" i="6"/>
  <c r="V362" i="6"/>
  <c r="U362" i="6"/>
  <c r="T362" i="6" s="1"/>
  <c r="X361" i="6"/>
  <c r="W361" i="6"/>
  <c r="V361" i="6"/>
  <c r="U361" i="6"/>
  <c r="T361" i="6" s="1"/>
  <c r="X360" i="6"/>
  <c r="W360" i="6"/>
  <c r="V360" i="6"/>
  <c r="U360" i="6"/>
  <c r="T360" i="6" s="1"/>
  <c r="X359" i="6"/>
  <c r="W359" i="6"/>
  <c r="V359" i="6"/>
  <c r="U359" i="6"/>
  <c r="T359" i="6" s="1"/>
  <c r="X358" i="6"/>
  <c r="W358" i="6"/>
  <c r="V358" i="6"/>
  <c r="U358" i="6"/>
  <c r="T358" i="6" s="1"/>
  <c r="X357" i="6"/>
  <c r="W357" i="6"/>
  <c r="V357" i="6"/>
  <c r="U357" i="6"/>
  <c r="T357" i="6" s="1"/>
  <c r="X356" i="6"/>
  <c r="W356" i="6"/>
  <c r="V356" i="6"/>
  <c r="U356" i="6"/>
  <c r="T356" i="6" s="1"/>
  <c r="X355" i="6"/>
  <c r="W355" i="6"/>
  <c r="V355" i="6"/>
  <c r="U355" i="6"/>
  <c r="T355" i="6" s="1"/>
  <c r="X354" i="6"/>
  <c r="W354" i="6"/>
  <c r="V354" i="6"/>
  <c r="U354" i="6"/>
  <c r="T354" i="6" s="1"/>
  <c r="X353" i="6"/>
  <c r="W353" i="6"/>
  <c r="V353" i="6"/>
  <c r="U353" i="6"/>
  <c r="T353" i="6" s="1"/>
  <c r="X352" i="6"/>
  <c r="W352" i="6"/>
  <c r="V352" i="6"/>
  <c r="U352" i="6"/>
  <c r="T352" i="6" s="1"/>
  <c r="X351" i="6"/>
  <c r="W351" i="6"/>
  <c r="V351" i="6"/>
  <c r="U351" i="6"/>
  <c r="T351" i="6" s="1"/>
  <c r="X350" i="6"/>
  <c r="W350" i="6"/>
  <c r="V350" i="6"/>
  <c r="U350" i="6"/>
  <c r="T350" i="6" s="1"/>
  <c r="X349" i="6"/>
  <c r="W349" i="6"/>
  <c r="V349" i="6"/>
  <c r="U349" i="6"/>
  <c r="T349" i="6" s="1"/>
  <c r="X348" i="6"/>
  <c r="W348" i="6"/>
  <c r="V348" i="6"/>
  <c r="U348" i="6"/>
  <c r="T348" i="6" s="1"/>
  <c r="X347" i="6"/>
  <c r="W347" i="6"/>
  <c r="V347" i="6"/>
  <c r="U347" i="6"/>
  <c r="T347" i="6" s="1"/>
  <c r="X346" i="6"/>
  <c r="W346" i="6"/>
  <c r="V346" i="6"/>
  <c r="U346" i="6"/>
  <c r="T346" i="6" s="1"/>
  <c r="X345" i="6"/>
  <c r="W345" i="6"/>
  <c r="V345" i="6"/>
  <c r="U345" i="6"/>
  <c r="T345" i="6" s="1"/>
  <c r="X344" i="6"/>
  <c r="W344" i="6"/>
  <c r="V344" i="6"/>
  <c r="U344" i="6"/>
  <c r="T344" i="6" s="1"/>
  <c r="X343" i="6"/>
  <c r="W343" i="6"/>
  <c r="V343" i="6"/>
  <c r="U343" i="6"/>
  <c r="T343" i="6" s="1"/>
  <c r="X342" i="6"/>
  <c r="W342" i="6"/>
  <c r="V342" i="6"/>
  <c r="U342" i="6"/>
  <c r="T342" i="6" s="1"/>
  <c r="X341" i="6"/>
  <c r="W341" i="6"/>
  <c r="V341" i="6"/>
  <c r="U341" i="6"/>
  <c r="T341" i="6" s="1"/>
  <c r="X340" i="6"/>
  <c r="W340" i="6"/>
  <c r="V340" i="6"/>
  <c r="U340" i="6"/>
  <c r="T340" i="6" s="1"/>
  <c r="X339" i="6"/>
  <c r="W339" i="6"/>
  <c r="V339" i="6"/>
  <c r="U339" i="6"/>
  <c r="T339" i="6" s="1"/>
  <c r="X338" i="6"/>
  <c r="W338" i="6"/>
  <c r="V338" i="6"/>
  <c r="U338" i="6"/>
  <c r="T338" i="6" s="1"/>
  <c r="X337" i="6"/>
  <c r="W337" i="6"/>
  <c r="V337" i="6"/>
  <c r="U337" i="6"/>
  <c r="T337" i="6" s="1"/>
  <c r="X336" i="6"/>
  <c r="W336" i="6"/>
  <c r="V336" i="6"/>
  <c r="U336" i="6"/>
  <c r="T336" i="6" s="1"/>
  <c r="X335" i="6"/>
  <c r="W335" i="6"/>
  <c r="V335" i="6"/>
  <c r="U335" i="6"/>
  <c r="T335" i="6" s="1"/>
  <c r="X334" i="6"/>
  <c r="W334" i="6"/>
  <c r="V334" i="6"/>
  <c r="U334" i="6"/>
  <c r="T334" i="6" s="1"/>
  <c r="X333" i="6"/>
  <c r="W333" i="6"/>
  <c r="V333" i="6"/>
  <c r="U333" i="6"/>
  <c r="T333" i="6" s="1"/>
  <c r="X332" i="6"/>
  <c r="W332" i="6"/>
  <c r="V332" i="6"/>
  <c r="U332" i="6"/>
  <c r="T332" i="6" s="1"/>
  <c r="X331" i="6"/>
  <c r="W331" i="6"/>
  <c r="V331" i="6"/>
  <c r="U331" i="6"/>
  <c r="T331" i="6" s="1"/>
  <c r="X330" i="6"/>
  <c r="W330" i="6"/>
  <c r="V330" i="6"/>
  <c r="U330" i="6"/>
  <c r="T330" i="6" s="1"/>
  <c r="X329" i="6"/>
  <c r="W329" i="6"/>
  <c r="V329" i="6"/>
  <c r="U329" i="6"/>
  <c r="T329" i="6" s="1"/>
  <c r="X328" i="6"/>
  <c r="W328" i="6"/>
  <c r="V328" i="6"/>
  <c r="U328" i="6"/>
  <c r="T328" i="6" s="1"/>
  <c r="X327" i="6"/>
  <c r="W327" i="6"/>
  <c r="V327" i="6"/>
  <c r="U327" i="6"/>
  <c r="T327" i="6" s="1"/>
  <c r="X326" i="6"/>
  <c r="W326" i="6"/>
  <c r="V326" i="6"/>
  <c r="U326" i="6"/>
  <c r="T326" i="6" s="1"/>
  <c r="X325" i="6"/>
  <c r="W325" i="6"/>
  <c r="V325" i="6"/>
  <c r="U325" i="6"/>
  <c r="T325" i="6" s="1"/>
  <c r="X324" i="6"/>
  <c r="W324" i="6"/>
  <c r="V324" i="6"/>
  <c r="U324" i="6"/>
  <c r="T324" i="6" s="1"/>
  <c r="X323" i="6"/>
  <c r="W323" i="6"/>
  <c r="V323" i="6"/>
  <c r="U323" i="6"/>
  <c r="T323" i="6" s="1"/>
  <c r="X322" i="6"/>
  <c r="W322" i="6"/>
  <c r="V322" i="6"/>
  <c r="U322" i="6"/>
  <c r="T322" i="6" s="1"/>
  <c r="X321" i="6"/>
  <c r="W321" i="6"/>
  <c r="V321" i="6"/>
  <c r="U321" i="6"/>
  <c r="T321" i="6" s="1"/>
  <c r="X320" i="6"/>
  <c r="W320" i="6"/>
  <c r="V320" i="6"/>
  <c r="U320" i="6"/>
  <c r="T320" i="6" s="1"/>
  <c r="X319" i="6"/>
  <c r="W319" i="6"/>
  <c r="V319" i="6"/>
  <c r="U319" i="6"/>
  <c r="T319" i="6" s="1"/>
  <c r="X318" i="6"/>
  <c r="W318" i="6"/>
  <c r="V318" i="6"/>
  <c r="U318" i="6"/>
  <c r="T318" i="6" s="1"/>
  <c r="X317" i="6"/>
  <c r="W317" i="6"/>
  <c r="V317" i="6"/>
  <c r="U317" i="6"/>
  <c r="T317" i="6" s="1"/>
  <c r="X316" i="6"/>
  <c r="W316" i="6"/>
  <c r="V316" i="6"/>
  <c r="U316" i="6"/>
  <c r="T316" i="6" s="1"/>
  <c r="X315" i="6"/>
  <c r="W315" i="6"/>
  <c r="V315" i="6"/>
  <c r="U315" i="6"/>
  <c r="T315" i="6" s="1"/>
  <c r="X314" i="6"/>
  <c r="W314" i="6"/>
  <c r="V314" i="6"/>
  <c r="U314" i="6"/>
  <c r="T314" i="6" s="1"/>
  <c r="X313" i="6"/>
  <c r="W313" i="6"/>
  <c r="V313" i="6"/>
  <c r="U313" i="6"/>
  <c r="T313" i="6" s="1"/>
  <c r="X312" i="6"/>
  <c r="W312" i="6"/>
  <c r="V312" i="6"/>
  <c r="U312" i="6"/>
  <c r="T312" i="6" s="1"/>
  <c r="X311" i="6"/>
  <c r="W311" i="6"/>
  <c r="V311" i="6"/>
  <c r="U311" i="6"/>
  <c r="T311" i="6" s="1"/>
  <c r="X310" i="6"/>
  <c r="W310" i="6"/>
  <c r="V310" i="6"/>
  <c r="U310" i="6"/>
  <c r="T310" i="6" s="1"/>
  <c r="X309" i="6"/>
  <c r="W309" i="6"/>
  <c r="V309" i="6"/>
  <c r="U309" i="6"/>
  <c r="T309" i="6" s="1"/>
  <c r="X308" i="6"/>
  <c r="W308" i="6"/>
  <c r="V308" i="6"/>
  <c r="U308" i="6"/>
  <c r="T308" i="6" s="1"/>
  <c r="X307" i="6"/>
  <c r="W307" i="6"/>
  <c r="V307" i="6"/>
  <c r="U307" i="6"/>
  <c r="T307" i="6" s="1"/>
  <c r="X306" i="6"/>
  <c r="W306" i="6"/>
  <c r="V306" i="6"/>
  <c r="U306" i="6"/>
  <c r="T306" i="6" s="1"/>
  <c r="X305" i="6"/>
  <c r="W305" i="6"/>
  <c r="V305" i="6"/>
  <c r="U305" i="6"/>
  <c r="T305" i="6" s="1"/>
  <c r="X304" i="6"/>
  <c r="W304" i="6"/>
  <c r="V304" i="6"/>
  <c r="U304" i="6"/>
  <c r="T304" i="6" s="1"/>
  <c r="X303" i="6"/>
  <c r="W303" i="6"/>
  <c r="V303" i="6"/>
  <c r="U303" i="6"/>
  <c r="T303" i="6" s="1"/>
  <c r="X302" i="6"/>
  <c r="W302" i="6"/>
  <c r="V302" i="6"/>
  <c r="U302" i="6"/>
  <c r="T302" i="6" s="1"/>
  <c r="X301" i="6"/>
  <c r="W301" i="6"/>
  <c r="V301" i="6"/>
  <c r="U301" i="6"/>
  <c r="T301" i="6" s="1"/>
  <c r="X300" i="6"/>
  <c r="W300" i="6"/>
  <c r="V300" i="6"/>
  <c r="U300" i="6"/>
  <c r="T300" i="6" s="1"/>
  <c r="X299" i="6"/>
  <c r="W299" i="6"/>
  <c r="V299" i="6"/>
  <c r="U299" i="6"/>
  <c r="T299" i="6" s="1"/>
  <c r="X298" i="6"/>
  <c r="W298" i="6"/>
  <c r="V298" i="6"/>
  <c r="U298" i="6"/>
  <c r="T298" i="6" s="1"/>
  <c r="X297" i="6"/>
  <c r="W297" i="6"/>
  <c r="V297" i="6"/>
  <c r="U297" i="6"/>
  <c r="T297" i="6" s="1"/>
  <c r="X296" i="6"/>
  <c r="W296" i="6"/>
  <c r="V296" i="6"/>
  <c r="U296" i="6"/>
  <c r="T296" i="6" s="1"/>
  <c r="X295" i="6"/>
  <c r="W295" i="6"/>
  <c r="V295" i="6"/>
  <c r="U295" i="6"/>
  <c r="T295" i="6" s="1"/>
  <c r="X294" i="6"/>
  <c r="W294" i="6"/>
  <c r="V294" i="6"/>
  <c r="U294" i="6"/>
  <c r="T294" i="6" s="1"/>
  <c r="X293" i="6"/>
  <c r="W293" i="6"/>
  <c r="V293" i="6"/>
  <c r="U293" i="6"/>
  <c r="T293" i="6" s="1"/>
  <c r="X292" i="6"/>
  <c r="W292" i="6"/>
  <c r="V292" i="6"/>
  <c r="U292" i="6"/>
  <c r="T292" i="6" s="1"/>
  <c r="X291" i="6"/>
  <c r="W291" i="6"/>
  <c r="V291" i="6"/>
  <c r="U291" i="6"/>
  <c r="T291" i="6" s="1"/>
  <c r="X290" i="6"/>
  <c r="W290" i="6"/>
  <c r="V290" i="6"/>
  <c r="U290" i="6"/>
  <c r="T290" i="6" s="1"/>
  <c r="X289" i="6"/>
  <c r="W289" i="6"/>
  <c r="V289" i="6"/>
  <c r="U289" i="6"/>
  <c r="T289" i="6" s="1"/>
  <c r="X288" i="6"/>
  <c r="W288" i="6"/>
  <c r="V288" i="6"/>
  <c r="U288" i="6"/>
  <c r="T288" i="6" s="1"/>
  <c r="X287" i="6"/>
  <c r="W287" i="6"/>
  <c r="V287" i="6"/>
  <c r="U287" i="6"/>
  <c r="T287" i="6" s="1"/>
  <c r="X286" i="6"/>
  <c r="W286" i="6"/>
  <c r="V286" i="6"/>
  <c r="U286" i="6"/>
  <c r="T286" i="6" s="1"/>
  <c r="X285" i="6"/>
  <c r="W285" i="6"/>
  <c r="V285" i="6"/>
  <c r="U285" i="6"/>
  <c r="T285" i="6" s="1"/>
  <c r="X284" i="6"/>
  <c r="W284" i="6"/>
  <c r="V284" i="6"/>
  <c r="U284" i="6"/>
  <c r="T284" i="6" s="1"/>
  <c r="X283" i="6"/>
  <c r="W283" i="6"/>
  <c r="V283" i="6"/>
  <c r="U283" i="6"/>
  <c r="T283" i="6" s="1"/>
  <c r="X282" i="6"/>
  <c r="W282" i="6"/>
  <c r="V282" i="6"/>
  <c r="U282" i="6"/>
  <c r="T282" i="6" s="1"/>
  <c r="X281" i="6"/>
  <c r="W281" i="6"/>
  <c r="V281" i="6"/>
  <c r="U281" i="6"/>
  <c r="T281" i="6" s="1"/>
  <c r="X280" i="6"/>
  <c r="W280" i="6"/>
  <c r="V280" i="6"/>
  <c r="U280" i="6"/>
  <c r="T280" i="6" s="1"/>
  <c r="X279" i="6"/>
  <c r="W279" i="6"/>
  <c r="V279" i="6"/>
  <c r="U279" i="6"/>
  <c r="T279" i="6" s="1"/>
  <c r="X278" i="6"/>
  <c r="W278" i="6"/>
  <c r="V278" i="6"/>
  <c r="U278" i="6"/>
  <c r="T278" i="6" s="1"/>
  <c r="X277" i="6"/>
  <c r="W277" i="6"/>
  <c r="V277" i="6"/>
  <c r="U277" i="6"/>
  <c r="T277" i="6" s="1"/>
  <c r="X276" i="6"/>
  <c r="W276" i="6"/>
  <c r="V276" i="6"/>
  <c r="U276" i="6"/>
  <c r="T276" i="6" s="1"/>
  <c r="X275" i="6"/>
  <c r="W275" i="6"/>
  <c r="V275" i="6"/>
  <c r="U275" i="6"/>
  <c r="T275" i="6" s="1"/>
  <c r="X274" i="6"/>
  <c r="W274" i="6"/>
  <c r="V274" i="6"/>
  <c r="U274" i="6"/>
  <c r="T274" i="6" s="1"/>
  <c r="X273" i="6"/>
  <c r="W273" i="6"/>
  <c r="V273" i="6"/>
  <c r="U273" i="6"/>
  <c r="T273" i="6" s="1"/>
  <c r="X272" i="6"/>
  <c r="W272" i="6"/>
  <c r="V272" i="6"/>
  <c r="U272" i="6"/>
  <c r="T272" i="6" s="1"/>
  <c r="X271" i="6"/>
  <c r="W271" i="6"/>
  <c r="V271" i="6"/>
  <c r="U271" i="6"/>
  <c r="T271" i="6" s="1"/>
  <c r="X270" i="6"/>
  <c r="W270" i="6"/>
  <c r="V270" i="6"/>
  <c r="U270" i="6"/>
  <c r="T270" i="6" s="1"/>
  <c r="X269" i="6"/>
  <c r="W269" i="6"/>
  <c r="V269" i="6"/>
  <c r="U269" i="6"/>
  <c r="T269" i="6" s="1"/>
  <c r="X268" i="6"/>
  <c r="W268" i="6"/>
  <c r="V268" i="6"/>
  <c r="U268" i="6"/>
  <c r="T268" i="6" s="1"/>
  <c r="X267" i="6"/>
  <c r="W267" i="6"/>
  <c r="V267" i="6"/>
  <c r="U267" i="6"/>
  <c r="T267" i="6" s="1"/>
  <c r="X266" i="6"/>
  <c r="W266" i="6"/>
  <c r="V266" i="6"/>
  <c r="U266" i="6"/>
  <c r="T266" i="6" s="1"/>
  <c r="X265" i="6"/>
  <c r="W265" i="6"/>
  <c r="V265" i="6"/>
  <c r="U265" i="6"/>
  <c r="T265" i="6" s="1"/>
  <c r="X264" i="6"/>
  <c r="W264" i="6"/>
  <c r="V264" i="6"/>
  <c r="U264" i="6"/>
  <c r="T264" i="6" s="1"/>
  <c r="X263" i="6"/>
  <c r="W263" i="6"/>
  <c r="V263" i="6"/>
  <c r="U263" i="6"/>
  <c r="T263" i="6" s="1"/>
  <c r="X262" i="6"/>
  <c r="W262" i="6"/>
  <c r="V262" i="6"/>
  <c r="U262" i="6"/>
  <c r="T262" i="6" s="1"/>
  <c r="X261" i="6"/>
  <c r="W261" i="6"/>
  <c r="V261" i="6"/>
  <c r="U261" i="6"/>
  <c r="T261" i="6" s="1"/>
  <c r="X260" i="6"/>
  <c r="W260" i="6"/>
  <c r="V260" i="6"/>
  <c r="U260" i="6"/>
  <c r="T260" i="6" s="1"/>
  <c r="O45" i="3"/>
  <c r="J45" i="3"/>
  <c r="R45" i="3" s="1"/>
  <c r="O44" i="3"/>
  <c r="J44" i="3"/>
  <c r="R44" i="3" s="1"/>
  <c r="X259" i="6"/>
  <c r="W259" i="6"/>
  <c r="V259" i="6"/>
  <c r="U259" i="6"/>
  <c r="T259" i="6" s="1"/>
  <c r="X258" i="6"/>
  <c r="W258" i="6"/>
  <c r="V258" i="6"/>
  <c r="U258" i="6"/>
  <c r="T258" i="6" s="1"/>
  <c r="X257" i="6"/>
  <c r="W257" i="6"/>
  <c r="V257" i="6"/>
  <c r="U257" i="6"/>
  <c r="T257" i="6" s="1"/>
  <c r="X256" i="6"/>
  <c r="W256" i="6"/>
  <c r="V256" i="6"/>
  <c r="U256" i="6"/>
  <c r="T256" i="6" s="1"/>
  <c r="X255" i="6"/>
  <c r="W255" i="6"/>
  <c r="V255" i="6"/>
  <c r="U255" i="6"/>
  <c r="T255" i="6" s="1"/>
  <c r="X254" i="6"/>
  <c r="W254" i="6"/>
  <c r="V254" i="6"/>
  <c r="U254" i="6"/>
  <c r="T254" i="6" s="1"/>
  <c r="X253" i="6"/>
  <c r="W253" i="6"/>
  <c r="V253" i="6"/>
  <c r="U253" i="6"/>
  <c r="T253" i="6" s="1"/>
  <c r="X252" i="6"/>
  <c r="W252" i="6"/>
  <c r="V252" i="6"/>
  <c r="U252" i="6"/>
  <c r="T252" i="6" s="1"/>
  <c r="X251" i="6"/>
  <c r="W251" i="6"/>
  <c r="V251" i="6"/>
  <c r="U251" i="6"/>
  <c r="T251" i="6" s="1"/>
  <c r="X250" i="6"/>
  <c r="W250" i="6"/>
  <c r="V250" i="6"/>
  <c r="U250" i="6"/>
  <c r="T250" i="6" s="1"/>
  <c r="X249" i="6"/>
  <c r="W249" i="6"/>
  <c r="V249" i="6"/>
  <c r="U249" i="6"/>
  <c r="T249" i="6" s="1"/>
  <c r="X248" i="6"/>
  <c r="W248" i="6"/>
  <c r="V248" i="6"/>
  <c r="U248" i="6"/>
  <c r="T248" i="6" s="1"/>
  <c r="X247" i="6"/>
  <c r="W247" i="6"/>
  <c r="V247" i="6"/>
  <c r="U247" i="6"/>
  <c r="T247" i="6" s="1"/>
  <c r="X246" i="6"/>
  <c r="W246" i="6"/>
  <c r="V246" i="6"/>
  <c r="U246" i="6"/>
  <c r="T246" i="6" s="1"/>
  <c r="X245" i="6"/>
  <c r="W245" i="6"/>
  <c r="V245" i="6"/>
  <c r="U245" i="6"/>
  <c r="T245" i="6" s="1"/>
  <c r="X244" i="6"/>
  <c r="W244" i="6"/>
  <c r="V244" i="6"/>
  <c r="U244" i="6"/>
  <c r="T244" i="6" s="1"/>
  <c r="X243" i="6"/>
  <c r="W243" i="6"/>
  <c r="V243" i="6"/>
  <c r="U243" i="6"/>
  <c r="T243" i="6" s="1"/>
  <c r="X242" i="6"/>
  <c r="W242" i="6"/>
  <c r="V242" i="6"/>
  <c r="U242" i="6"/>
  <c r="T242" i="6" s="1"/>
  <c r="X241" i="6"/>
  <c r="W241" i="6"/>
  <c r="V241" i="6"/>
  <c r="U241" i="6"/>
  <c r="T241" i="6" s="1"/>
  <c r="X240" i="6"/>
  <c r="W240" i="6"/>
  <c r="V240" i="6"/>
  <c r="U240" i="6"/>
  <c r="T240" i="6" s="1"/>
  <c r="X239" i="6"/>
  <c r="W239" i="6"/>
  <c r="V239" i="6"/>
  <c r="U239" i="6"/>
  <c r="T239" i="6" s="1"/>
  <c r="X238" i="6"/>
  <c r="W238" i="6"/>
  <c r="V238" i="6"/>
  <c r="U238" i="6"/>
  <c r="T238" i="6" s="1"/>
  <c r="X237" i="6"/>
  <c r="W237" i="6"/>
  <c r="V237" i="6"/>
  <c r="U237" i="6"/>
  <c r="T237" i="6" s="1"/>
  <c r="X236" i="6"/>
  <c r="W236" i="6"/>
  <c r="V236" i="6"/>
  <c r="U236" i="6"/>
  <c r="T236" i="6" s="1"/>
  <c r="X235" i="6"/>
  <c r="W235" i="6"/>
  <c r="V235" i="6"/>
  <c r="U235" i="6"/>
  <c r="T235" i="6" s="1"/>
  <c r="X234" i="6"/>
  <c r="W234" i="6"/>
  <c r="V234" i="6"/>
  <c r="U234" i="6"/>
  <c r="T234" i="6" s="1"/>
  <c r="X233" i="6"/>
  <c r="W233" i="6"/>
  <c r="V233" i="6"/>
  <c r="U233" i="6"/>
  <c r="T233" i="6" s="1"/>
  <c r="X232" i="6"/>
  <c r="W232" i="6"/>
  <c r="V232" i="6"/>
  <c r="U232" i="6"/>
  <c r="T232" i="6" s="1"/>
  <c r="O43" i="3"/>
  <c r="J43" i="3"/>
  <c r="R43" i="3" s="1"/>
  <c r="X231" i="6"/>
  <c r="W231" i="6"/>
  <c r="V231" i="6"/>
  <c r="U231" i="6"/>
  <c r="T231" i="6" s="1"/>
  <c r="X230" i="6"/>
  <c r="W230" i="6"/>
  <c r="V230" i="6"/>
  <c r="U230" i="6"/>
  <c r="T230" i="6" s="1"/>
  <c r="X229" i="6"/>
  <c r="W229" i="6"/>
  <c r="V229" i="6"/>
  <c r="U229" i="6"/>
  <c r="T229" i="6" s="1"/>
  <c r="X228" i="6"/>
  <c r="W228" i="6"/>
  <c r="V228" i="6"/>
  <c r="U228" i="6"/>
  <c r="T228" i="6" s="1"/>
  <c r="X227" i="6"/>
  <c r="W227" i="6"/>
  <c r="V227" i="6"/>
  <c r="U227" i="6"/>
  <c r="T227" i="6" s="1"/>
  <c r="X226" i="6"/>
  <c r="W226" i="6"/>
  <c r="V226" i="6"/>
  <c r="U226" i="6"/>
  <c r="T226" i="6" s="1"/>
  <c r="X225" i="6"/>
  <c r="W225" i="6"/>
  <c r="V225" i="6"/>
  <c r="U225" i="6"/>
  <c r="T225" i="6" s="1"/>
  <c r="X224" i="6"/>
  <c r="W224" i="6"/>
  <c r="V224" i="6"/>
  <c r="U224" i="6"/>
  <c r="T224" i="6" s="1"/>
  <c r="O42" i="3"/>
  <c r="J42" i="3"/>
  <c r="R42" i="3" s="1"/>
  <c r="X223" i="6"/>
  <c r="W223" i="6"/>
  <c r="V223" i="6"/>
  <c r="U223" i="6"/>
  <c r="T223" i="6" s="1"/>
  <c r="X222" i="6"/>
  <c r="W222" i="6"/>
  <c r="V222" i="6"/>
  <c r="U222" i="6"/>
  <c r="T222" i="6" s="1"/>
  <c r="X221" i="6"/>
  <c r="W221" i="6"/>
  <c r="V221" i="6"/>
  <c r="U221" i="6"/>
  <c r="T221" i="6" s="1"/>
  <c r="X220" i="6"/>
  <c r="W220" i="6"/>
  <c r="V220" i="6"/>
  <c r="U220" i="6"/>
  <c r="T220" i="6" s="1"/>
  <c r="X219" i="6"/>
  <c r="W219" i="6"/>
  <c r="V219" i="6"/>
  <c r="U219" i="6"/>
  <c r="T219" i="6" s="1"/>
  <c r="X218" i="6"/>
  <c r="W218" i="6"/>
  <c r="V218" i="6"/>
  <c r="U218" i="6"/>
  <c r="T218" i="6" s="1"/>
  <c r="X217" i="6"/>
  <c r="W217" i="6"/>
  <c r="V217" i="6"/>
  <c r="U217" i="6"/>
  <c r="T217" i="6" s="1"/>
  <c r="X216" i="6"/>
  <c r="W216" i="6"/>
  <c r="V216" i="6"/>
  <c r="U216" i="6"/>
  <c r="T216" i="6" s="1"/>
  <c r="X215" i="6"/>
  <c r="W215" i="6"/>
  <c r="V215" i="6"/>
  <c r="U215" i="6"/>
  <c r="T215" i="6" s="1"/>
  <c r="X214" i="6"/>
  <c r="W214" i="6"/>
  <c r="V214" i="6"/>
  <c r="U214" i="6"/>
  <c r="T214" i="6" s="1"/>
  <c r="X213" i="6"/>
  <c r="W213" i="6"/>
  <c r="V213" i="6"/>
  <c r="U213" i="6"/>
  <c r="T213" i="6" s="1"/>
  <c r="X212" i="6"/>
  <c r="W212" i="6"/>
  <c r="V212" i="6"/>
  <c r="U212" i="6"/>
  <c r="T212" i="6" s="1"/>
  <c r="X211" i="6"/>
  <c r="W211" i="6"/>
  <c r="V211" i="6"/>
  <c r="U211" i="6"/>
  <c r="T211" i="6" s="1"/>
  <c r="X210" i="6"/>
  <c r="W210" i="6"/>
  <c r="V210" i="6"/>
  <c r="U210" i="6"/>
  <c r="T210" i="6" s="1"/>
  <c r="X209" i="6"/>
  <c r="W209" i="6"/>
  <c r="V209" i="6"/>
  <c r="U209" i="6"/>
  <c r="T209" i="6" s="1"/>
  <c r="X208" i="6"/>
  <c r="W208" i="6"/>
  <c r="V208" i="6"/>
  <c r="U208" i="6"/>
  <c r="T208" i="6" s="1"/>
  <c r="X207" i="6"/>
  <c r="W207" i="6"/>
  <c r="V207" i="6"/>
  <c r="U207" i="6"/>
  <c r="T207" i="6" s="1"/>
  <c r="X206" i="6"/>
  <c r="W206" i="6"/>
  <c r="V206" i="6"/>
  <c r="U206" i="6"/>
  <c r="T206" i="6" s="1"/>
  <c r="X205" i="6"/>
  <c r="W205" i="6"/>
  <c r="V205" i="6"/>
  <c r="U205" i="6"/>
  <c r="T205" i="6" s="1"/>
  <c r="X204" i="6"/>
  <c r="W204" i="6"/>
  <c r="V204" i="6"/>
  <c r="U204" i="6"/>
  <c r="T204" i="6" s="1"/>
  <c r="X203" i="6"/>
  <c r="W203" i="6"/>
  <c r="V203" i="6"/>
  <c r="U203" i="6"/>
  <c r="T203" i="6" s="1"/>
  <c r="X202" i="6"/>
  <c r="W202" i="6"/>
  <c r="V202" i="6"/>
  <c r="U202" i="6"/>
  <c r="T202" i="6" s="1"/>
  <c r="X201" i="6"/>
  <c r="W201" i="6"/>
  <c r="V201" i="6"/>
  <c r="U201" i="6"/>
  <c r="T201" i="6" s="1"/>
  <c r="X200" i="6"/>
  <c r="W200" i="6"/>
  <c r="V200" i="6"/>
  <c r="U200" i="6"/>
  <c r="T200" i="6" s="1"/>
  <c r="X199" i="6"/>
  <c r="W199" i="6"/>
  <c r="V199" i="6"/>
  <c r="U199" i="6"/>
  <c r="T199" i="6" s="1"/>
  <c r="X198" i="6"/>
  <c r="W198" i="6"/>
  <c r="V198" i="6"/>
  <c r="U198" i="6"/>
  <c r="T198" i="6" s="1"/>
  <c r="X197" i="6"/>
  <c r="W197" i="6"/>
  <c r="V197" i="6"/>
  <c r="U197" i="6"/>
  <c r="T197" i="6" s="1"/>
  <c r="X196" i="6"/>
  <c r="W196" i="6"/>
  <c r="V196" i="6"/>
  <c r="U196" i="6"/>
  <c r="T196" i="6" s="1"/>
  <c r="X195" i="6"/>
  <c r="W195" i="6"/>
  <c r="V195" i="6"/>
  <c r="U195" i="6"/>
  <c r="T195" i="6" s="1"/>
  <c r="X194" i="6"/>
  <c r="W194" i="6"/>
  <c r="V194" i="6"/>
  <c r="U194" i="6"/>
  <c r="T194" i="6" s="1"/>
  <c r="X193" i="6"/>
  <c r="W193" i="6"/>
  <c r="V193" i="6"/>
  <c r="U193" i="6"/>
  <c r="T193" i="6" s="1"/>
  <c r="O41" i="3"/>
  <c r="J41" i="3"/>
  <c r="R41" i="3" s="1"/>
  <c r="X192" i="6"/>
  <c r="W192" i="6"/>
  <c r="V192" i="6"/>
  <c r="U192" i="6"/>
  <c r="T192" i="6" s="1"/>
  <c r="X191" i="6"/>
  <c r="W191" i="6"/>
  <c r="V191" i="6"/>
  <c r="U191" i="6"/>
  <c r="T191" i="6" s="1"/>
  <c r="X190" i="6"/>
  <c r="W190" i="6"/>
  <c r="V190" i="6"/>
  <c r="U190" i="6"/>
  <c r="T190" i="6" s="1"/>
  <c r="X189" i="6"/>
  <c r="W189" i="6"/>
  <c r="V189" i="6"/>
  <c r="U189" i="6"/>
  <c r="T189" i="6" s="1"/>
  <c r="X188" i="6"/>
  <c r="W188" i="6"/>
  <c r="V188" i="6"/>
  <c r="U188" i="6"/>
  <c r="T188" i="6" s="1"/>
  <c r="X187" i="6"/>
  <c r="W187" i="6"/>
  <c r="V187" i="6"/>
  <c r="U187" i="6"/>
  <c r="T187" i="6" s="1"/>
  <c r="X186" i="6"/>
  <c r="W186" i="6"/>
  <c r="V186" i="6"/>
  <c r="U186" i="6"/>
  <c r="T186" i="6" s="1"/>
  <c r="X185" i="6"/>
  <c r="W185" i="6"/>
  <c r="V185" i="6"/>
  <c r="U185" i="6"/>
  <c r="T185" i="6" s="1"/>
  <c r="X184" i="6"/>
  <c r="W184" i="6"/>
  <c r="V184" i="6"/>
  <c r="U184" i="6"/>
  <c r="T184" i="6" s="1"/>
  <c r="X183" i="6"/>
  <c r="W183" i="6"/>
  <c r="V183" i="6"/>
  <c r="U183" i="6"/>
  <c r="T183" i="6" s="1"/>
  <c r="X182" i="6"/>
  <c r="W182" i="6"/>
  <c r="V182" i="6"/>
  <c r="U182" i="6"/>
  <c r="T182" i="6" s="1"/>
  <c r="X181" i="6"/>
  <c r="W181" i="6"/>
  <c r="V181" i="6"/>
  <c r="U181" i="6"/>
  <c r="T181" i="6" s="1"/>
  <c r="X180" i="6"/>
  <c r="W180" i="6"/>
  <c r="V180" i="6"/>
  <c r="U180" i="6"/>
  <c r="T180" i="6" s="1"/>
  <c r="X179" i="6"/>
  <c r="W179" i="6"/>
  <c r="V179" i="6"/>
  <c r="U179" i="6"/>
  <c r="T179" i="6" s="1"/>
  <c r="X178" i="6"/>
  <c r="W178" i="6"/>
  <c r="V178" i="6"/>
  <c r="U178" i="6"/>
  <c r="T178" i="6" s="1"/>
  <c r="X177" i="6"/>
  <c r="W177" i="6"/>
  <c r="V177" i="6"/>
  <c r="U177" i="6"/>
  <c r="T177" i="6" s="1"/>
  <c r="X176" i="6"/>
  <c r="W176" i="6"/>
  <c r="V176" i="6"/>
  <c r="U176" i="6"/>
  <c r="T176" i="6" s="1"/>
  <c r="X175" i="6"/>
  <c r="W175" i="6"/>
  <c r="V175" i="6"/>
  <c r="U175" i="6"/>
  <c r="T175" i="6" s="1"/>
  <c r="X174" i="6"/>
  <c r="W174" i="6"/>
  <c r="V174" i="6"/>
  <c r="U174" i="6"/>
  <c r="T174" i="6" s="1"/>
  <c r="X173" i="6"/>
  <c r="W173" i="6"/>
  <c r="V173" i="6"/>
  <c r="U173" i="6"/>
  <c r="T173" i="6" s="1"/>
  <c r="X172" i="6"/>
  <c r="W172" i="6"/>
  <c r="V172" i="6"/>
  <c r="U172" i="6"/>
  <c r="T172" i="6" s="1"/>
  <c r="X171" i="6"/>
  <c r="W171" i="6"/>
  <c r="V171" i="6"/>
  <c r="U171" i="6"/>
  <c r="T171" i="6" s="1"/>
  <c r="X170" i="6"/>
  <c r="W170" i="6"/>
  <c r="V170" i="6"/>
  <c r="U170" i="6"/>
  <c r="T170" i="6" s="1"/>
  <c r="X169" i="6"/>
  <c r="W169" i="6"/>
  <c r="V169" i="6"/>
  <c r="U169" i="6"/>
  <c r="T169" i="6" s="1"/>
  <c r="X168" i="6"/>
  <c r="W168" i="6"/>
  <c r="V168" i="6"/>
  <c r="U168" i="6"/>
  <c r="T168" i="6" s="1"/>
  <c r="X167" i="6"/>
  <c r="W167" i="6"/>
  <c r="V167" i="6"/>
  <c r="U167" i="6"/>
  <c r="T167" i="6" s="1"/>
  <c r="X166" i="6"/>
  <c r="W166" i="6"/>
  <c r="V166" i="6"/>
  <c r="U166" i="6"/>
  <c r="T166" i="6" s="1"/>
  <c r="X165" i="6"/>
  <c r="W165" i="6"/>
  <c r="V165" i="6"/>
  <c r="U165" i="6"/>
  <c r="T165" i="6" s="1"/>
  <c r="X164" i="6"/>
  <c r="W164" i="6"/>
  <c r="V164" i="6"/>
  <c r="U164" i="6"/>
  <c r="T164" i="6" s="1"/>
  <c r="X163" i="6"/>
  <c r="W163" i="6"/>
  <c r="V163" i="6"/>
  <c r="U163" i="6"/>
  <c r="T163" i="6" s="1"/>
  <c r="X162" i="6"/>
  <c r="W162" i="6"/>
  <c r="V162" i="6"/>
  <c r="U162" i="6"/>
  <c r="T162" i="6" s="1"/>
  <c r="X161" i="6"/>
  <c r="W161" i="6"/>
  <c r="V161" i="6"/>
  <c r="U161" i="6"/>
  <c r="T161" i="6" s="1"/>
  <c r="X160" i="6"/>
  <c r="W160" i="6"/>
  <c r="V160" i="6"/>
  <c r="U160" i="6"/>
  <c r="T160" i="6" s="1"/>
  <c r="X159" i="6"/>
  <c r="W159" i="6"/>
  <c r="V159" i="6"/>
  <c r="U159" i="6"/>
  <c r="T159" i="6" s="1"/>
  <c r="X158" i="6"/>
  <c r="W158" i="6"/>
  <c r="V158" i="6"/>
  <c r="U158" i="6"/>
  <c r="T158" i="6" s="1"/>
  <c r="X157" i="6"/>
  <c r="W157" i="6"/>
  <c r="V157" i="6"/>
  <c r="U157" i="6"/>
  <c r="T157" i="6" s="1"/>
  <c r="X156" i="6"/>
  <c r="W156" i="6"/>
  <c r="V156" i="6"/>
  <c r="U156" i="6"/>
  <c r="T156" i="6" s="1"/>
  <c r="X155" i="6"/>
  <c r="W155" i="6"/>
  <c r="V155" i="6"/>
  <c r="U155" i="6"/>
  <c r="T155" i="6" s="1"/>
  <c r="X154" i="6"/>
  <c r="W154" i="6"/>
  <c r="V154" i="6"/>
  <c r="U154" i="6"/>
  <c r="T154" i="6" s="1"/>
  <c r="X153" i="6"/>
  <c r="W153" i="6"/>
  <c r="V153" i="6"/>
  <c r="U153" i="6"/>
  <c r="T153" i="6" s="1"/>
  <c r="X152" i="6"/>
  <c r="W152" i="6"/>
  <c r="V152" i="6"/>
  <c r="U152" i="6"/>
  <c r="T152" i="6" s="1"/>
  <c r="X151" i="6"/>
  <c r="W151" i="6"/>
  <c r="V151" i="6"/>
  <c r="U151" i="6"/>
  <c r="T151" i="6" s="1"/>
  <c r="X150" i="6"/>
  <c r="W150" i="6"/>
  <c r="V150" i="6"/>
  <c r="U150" i="6"/>
  <c r="T150" i="6" s="1"/>
  <c r="X149" i="6"/>
  <c r="W149" i="6"/>
  <c r="V149" i="6"/>
  <c r="U149" i="6"/>
  <c r="T149" i="6" s="1"/>
  <c r="X148" i="6"/>
  <c r="W148" i="6"/>
  <c r="V148" i="6"/>
  <c r="U148" i="6"/>
  <c r="T148" i="6" s="1"/>
  <c r="X147" i="6"/>
  <c r="W147" i="6"/>
  <c r="V147" i="6"/>
  <c r="U147" i="6"/>
  <c r="T147" i="6" s="1"/>
  <c r="X146" i="6"/>
  <c r="W146" i="6"/>
  <c r="V146" i="6"/>
  <c r="U146" i="6"/>
  <c r="T146" i="6" s="1"/>
  <c r="X145" i="6"/>
  <c r="W145" i="6"/>
  <c r="V145" i="6"/>
  <c r="U145" i="6"/>
  <c r="T145" i="6" s="1"/>
  <c r="X144" i="6"/>
  <c r="W144" i="6"/>
  <c r="V144" i="6"/>
  <c r="U144" i="6"/>
  <c r="T144" i="6" s="1"/>
  <c r="X143" i="6"/>
  <c r="W143" i="6"/>
  <c r="V143" i="6"/>
  <c r="U143" i="6"/>
  <c r="T143" i="6" s="1"/>
  <c r="X142" i="6"/>
  <c r="W142" i="6"/>
  <c r="V142" i="6"/>
  <c r="U142" i="6"/>
  <c r="T142" i="6" s="1"/>
  <c r="X141" i="6"/>
  <c r="W141" i="6"/>
  <c r="V141" i="6"/>
  <c r="U141" i="6"/>
  <c r="T141" i="6" s="1"/>
  <c r="X140" i="6"/>
  <c r="W140" i="6"/>
  <c r="V140" i="6"/>
  <c r="U140" i="6"/>
  <c r="T140" i="6" s="1"/>
  <c r="X139" i="6"/>
  <c r="W139" i="6"/>
  <c r="V139" i="6"/>
  <c r="U139" i="6"/>
  <c r="T139" i="6" s="1"/>
  <c r="X138" i="6"/>
  <c r="W138" i="6"/>
  <c r="V138" i="6"/>
  <c r="U138" i="6"/>
  <c r="T138" i="6" s="1"/>
  <c r="X137" i="6"/>
  <c r="W137" i="6"/>
  <c r="V137" i="6"/>
  <c r="U137" i="6"/>
  <c r="T137" i="6" s="1"/>
  <c r="X136" i="6"/>
  <c r="W136" i="6"/>
  <c r="V136" i="6"/>
  <c r="U136" i="6"/>
  <c r="T136" i="6" s="1"/>
  <c r="X135" i="6"/>
  <c r="W135" i="6"/>
  <c r="V135" i="6"/>
  <c r="U135" i="6"/>
  <c r="T135" i="6" s="1"/>
  <c r="X134" i="6"/>
  <c r="W134" i="6"/>
  <c r="V134" i="6"/>
  <c r="U134" i="6"/>
  <c r="T134" i="6" s="1"/>
  <c r="X133" i="6"/>
  <c r="W133" i="6"/>
  <c r="V133" i="6"/>
  <c r="U133" i="6"/>
  <c r="T133" i="6" s="1"/>
  <c r="X132" i="6"/>
  <c r="W132" i="6"/>
  <c r="V132" i="6"/>
  <c r="U132" i="6"/>
  <c r="T132" i="6" s="1"/>
  <c r="X131" i="6"/>
  <c r="W131" i="6"/>
  <c r="V131" i="6"/>
  <c r="U131" i="6"/>
  <c r="T131" i="6" s="1"/>
  <c r="X130" i="6"/>
  <c r="W130" i="6"/>
  <c r="V130" i="6"/>
  <c r="U130" i="6"/>
  <c r="T130" i="6" s="1"/>
  <c r="X129" i="6"/>
  <c r="W129" i="6"/>
  <c r="V129" i="6"/>
  <c r="U129" i="6"/>
  <c r="T129" i="6" s="1"/>
  <c r="X128" i="6"/>
  <c r="W128" i="6"/>
  <c r="V128" i="6"/>
  <c r="U128" i="6"/>
  <c r="T128" i="6" s="1"/>
  <c r="X127" i="6"/>
  <c r="W127" i="6"/>
  <c r="V127" i="6"/>
  <c r="U127" i="6"/>
  <c r="T127" i="6" s="1"/>
  <c r="X126" i="6"/>
  <c r="W126" i="6"/>
  <c r="V126" i="6"/>
  <c r="U126" i="6"/>
  <c r="T126" i="6" s="1"/>
  <c r="X125" i="6"/>
  <c r="W125" i="6"/>
  <c r="V125" i="6"/>
  <c r="U125" i="6"/>
  <c r="T125" i="6" s="1"/>
  <c r="X124" i="6"/>
  <c r="W124" i="6"/>
  <c r="V124" i="6"/>
  <c r="U124" i="6"/>
  <c r="T124" i="6" s="1"/>
  <c r="X123" i="6"/>
  <c r="W123" i="6"/>
  <c r="V123" i="6"/>
  <c r="U123" i="6"/>
  <c r="T123" i="6" s="1"/>
  <c r="X122" i="6"/>
  <c r="W122" i="6"/>
  <c r="V122" i="6"/>
  <c r="U122" i="6"/>
  <c r="T122" i="6" s="1"/>
  <c r="X121" i="6"/>
  <c r="W121" i="6"/>
  <c r="V121" i="6"/>
  <c r="U121" i="6"/>
  <c r="T121" i="6" s="1"/>
  <c r="X120" i="6"/>
  <c r="W120" i="6"/>
  <c r="V120" i="6"/>
  <c r="U120" i="6"/>
  <c r="T120" i="6" s="1"/>
  <c r="X119" i="6"/>
  <c r="W119" i="6"/>
  <c r="V119" i="6"/>
  <c r="U119" i="6"/>
  <c r="T119" i="6" s="1"/>
  <c r="X118" i="6"/>
  <c r="W118" i="6"/>
  <c r="V118" i="6"/>
  <c r="U118" i="6"/>
  <c r="T118" i="6" s="1"/>
  <c r="X117" i="6"/>
  <c r="W117" i="6"/>
  <c r="V117" i="6"/>
  <c r="U117" i="6"/>
  <c r="T117" i="6" s="1"/>
  <c r="X116" i="6"/>
  <c r="W116" i="6"/>
  <c r="V116" i="6"/>
  <c r="U116" i="6"/>
  <c r="T116" i="6" s="1"/>
  <c r="X115" i="6"/>
  <c r="W115" i="6"/>
  <c r="V115" i="6"/>
  <c r="U115" i="6"/>
  <c r="T115" i="6" s="1"/>
  <c r="X114" i="6"/>
  <c r="W114" i="6"/>
  <c r="V114" i="6"/>
  <c r="U114" i="6"/>
  <c r="T114" i="6" s="1"/>
  <c r="V112" i="6"/>
  <c r="X113" i="6"/>
  <c r="W113" i="6"/>
  <c r="V113" i="6"/>
  <c r="U113" i="6"/>
  <c r="T113" i="6" s="1"/>
  <c r="X112" i="6"/>
  <c r="W112" i="6"/>
  <c r="U112" i="6"/>
  <c r="T112" i="6" s="1"/>
  <c r="X111" i="6"/>
  <c r="W111" i="6"/>
  <c r="V111" i="6"/>
  <c r="U111" i="6"/>
  <c r="T111" i="6" s="1"/>
  <c r="O40" i="3"/>
  <c r="J40" i="3"/>
  <c r="R40" i="3" s="1"/>
  <c r="X110" i="6"/>
  <c r="W110" i="6"/>
  <c r="V110" i="6"/>
  <c r="U110" i="6"/>
  <c r="T110" i="6" s="1"/>
  <c r="X109" i="6"/>
  <c r="W109" i="6"/>
  <c r="V109" i="6"/>
  <c r="U109" i="6"/>
  <c r="T109" i="6" s="1"/>
  <c r="X108" i="6"/>
  <c r="W108" i="6"/>
  <c r="V108" i="6"/>
  <c r="U108" i="6"/>
  <c r="T108" i="6" s="1"/>
  <c r="X107" i="6"/>
  <c r="W107" i="6"/>
  <c r="V107" i="6"/>
  <c r="U107" i="6"/>
  <c r="T107" i="6" s="1"/>
  <c r="Z27" i="3"/>
  <c r="Z24" i="3"/>
  <c r="Z21" i="3"/>
  <c r="X106" i="6"/>
  <c r="W106" i="6"/>
  <c r="V106" i="6"/>
  <c r="U106" i="6"/>
  <c r="T106" i="6" s="1"/>
  <c r="X105" i="6"/>
  <c r="W105" i="6"/>
  <c r="V105" i="6"/>
  <c r="U105" i="6"/>
  <c r="T105" i="6" s="1"/>
  <c r="O39" i="3"/>
  <c r="J39" i="3"/>
  <c r="R39" i="3" s="1"/>
  <c r="O12" i="5"/>
  <c r="O37" i="5"/>
  <c r="Z55" i="3" l="1"/>
  <c r="P12" i="5"/>
  <c r="P37" i="5"/>
  <c r="X104" i="6" l="1"/>
  <c r="W104" i="6"/>
  <c r="V104" i="6"/>
  <c r="U104" i="6"/>
  <c r="T104" i="6" s="1"/>
  <c r="X103" i="6"/>
  <c r="W103" i="6"/>
  <c r="V103" i="6"/>
  <c r="U103" i="6"/>
  <c r="T103" i="6" s="1"/>
  <c r="X102" i="6"/>
  <c r="W102" i="6"/>
  <c r="V102" i="6"/>
  <c r="U102" i="6"/>
  <c r="T102" i="6" s="1"/>
  <c r="X101" i="6"/>
  <c r="W101" i="6"/>
  <c r="V101" i="6"/>
  <c r="U101" i="6"/>
  <c r="T101" i="6" s="1"/>
  <c r="O38" i="3"/>
  <c r="J38" i="3"/>
  <c r="R38" i="3" s="1"/>
  <c r="O37" i="3"/>
  <c r="J37" i="3"/>
  <c r="R37" i="3" s="1"/>
  <c r="X100" i="6"/>
  <c r="W100" i="6"/>
  <c r="V100" i="6"/>
  <c r="U100" i="6"/>
  <c r="T100" i="6" s="1"/>
  <c r="X99" i="6"/>
  <c r="W99" i="6"/>
  <c r="V99" i="6"/>
  <c r="U99" i="6"/>
  <c r="T99" i="6" s="1"/>
  <c r="X98" i="6"/>
  <c r="W98" i="6"/>
  <c r="V98" i="6"/>
  <c r="U98" i="6"/>
  <c r="T98" i="6" s="1"/>
  <c r="X97" i="6"/>
  <c r="W97" i="6"/>
  <c r="V97" i="6"/>
  <c r="U97" i="6"/>
  <c r="T97" i="6" s="1"/>
  <c r="X96" i="6"/>
  <c r="W96" i="6"/>
  <c r="V96" i="6"/>
  <c r="U96" i="6"/>
  <c r="T96" i="6" s="1"/>
  <c r="X95" i="6"/>
  <c r="W95" i="6"/>
  <c r="V95" i="6"/>
  <c r="U95" i="6"/>
  <c r="T95" i="6" s="1"/>
  <c r="X94" i="6"/>
  <c r="W94" i="6"/>
  <c r="V94" i="6"/>
  <c r="U94" i="6"/>
  <c r="T94" i="6" s="1"/>
  <c r="X93" i="6"/>
  <c r="W93" i="6"/>
  <c r="V93" i="6"/>
  <c r="U93" i="6"/>
  <c r="T93" i="6" s="1"/>
  <c r="X92" i="6"/>
  <c r="W92" i="6"/>
  <c r="V92" i="6"/>
  <c r="U92" i="6"/>
  <c r="T92" i="6" s="1"/>
  <c r="X91" i="6"/>
  <c r="W91" i="6"/>
  <c r="V91" i="6"/>
  <c r="U91" i="6"/>
  <c r="T91" i="6" s="1"/>
  <c r="X90" i="6"/>
  <c r="W90" i="6"/>
  <c r="V90" i="6"/>
  <c r="U90" i="6"/>
  <c r="T90" i="6" s="1"/>
  <c r="X89" i="6"/>
  <c r="W89" i="6"/>
  <c r="V89" i="6"/>
  <c r="U89" i="6"/>
  <c r="T89" i="6" s="1"/>
  <c r="X88" i="6"/>
  <c r="W88" i="6"/>
  <c r="V88" i="6"/>
  <c r="U88" i="6"/>
  <c r="T88" i="6" s="1"/>
  <c r="X87" i="6"/>
  <c r="W87" i="6"/>
  <c r="V87" i="6"/>
  <c r="U87" i="6"/>
  <c r="T87" i="6" s="1"/>
  <c r="X86" i="6"/>
  <c r="W86" i="6"/>
  <c r="V86" i="6"/>
  <c r="U86" i="6"/>
  <c r="T86" i="6" s="1"/>
  <c r="X85" i="6"/>
  <c r="W85" i="6"/>
  <c r="V85" i="6"/>
  <c r="U85" i="6"/>
  <c r="T85" i="6" s="1"/>
  <c r="X84" i="6"/>
  <c r="W84" i="6"/>
  <c r="V84" i="6"/>
  <c r="U84" i="6"/>
  <c r="T84" i="6" s="1"/>
  <c r="X83" i="6"/>
  <c r="W83" i="6"/>
  <c r="V83" i="6"/>
  <c r="U83" i="6"/>
  <c r="T83" i="6" s="1"/>
  <c r="X82" i="6"/>
  <c r="W82" i="6"/>
  <c r="V82" i="6"/>
  <c r="U82" i="6"/>
  <c r="T82" i="6" s="1"/>
  <c r="X81" i="6"/>
  <c r="W81" i="6"/>
  <c r="V81" i="6"/>
  <c r="U81" i="6"/>
  <c r="T81" i="6" s="1"/>
  <c r="X80" i="6"/>
  <c r="W80" i="6"/>
  <c r="V80" i="6"/>
  <c r="U80" i="6"/>
  <c r="T80" i="6" s="1"/>
  <c r="O36" i="3"/>
  <c r="J36" i="3"/>
  <c r="R36" i="3" s="1"/>
  <c r="Z52" i="3" l="1"/>
  <c r="X79" i="6"/>
  <c r="W79" i="6"/>
  <c r="V79" i="6"/>
  <c r="U79" i="6"/>
  <c r="T79" i="6" s="1"/>
  <c r="X78" i="6"/>
  <c r="W78" i="6"/>
  <c r="V78" i="6"/>
  <c r="U78" i="6"/>
  <c r="T78" i="6" s="1"/>
  <c r="U2" i="6"/>
  <c r="T2" i="6" s="1"/>
  <c r="U3" i="6"/>
  <c r="T3" i="6" s="1"/>
  <c r="U4" i="6"/>
  <c r="T4" i="6" s="1"/>
  <c r="U5" i="6"/>
  <c r="T5" i="6" s="1"/>
  <c r="U6" i="6"/>
  <c r="T6" i="6" s="1"/>
  <c r="U7" i="6"/>
  <c r="T7" i="6" s="1"/>
  <c r="U8" i="6"/>
  <c r="T8" i="6" s="1"/>
  <c r="U9" i="6"/>
  <c r="T9" i="6" s="1"/>
  <c r="U10" i="6"/>
  <c r="T10" i="6" s="1"/>
  <c r="U11" i="6"/>
  <c r="T11" i="6" s="1"/>
  <c r="U12" i="6"/>
  <c r="T12" i="6" s="1"/>
  <c r="U13" i="6"/>
  <c r="T13" i="6" s="1"/>
  <c r="U14" i="6"/>
  <c r="T14" i="6" s="1"/>
  <c r="U15" i="6"/>
  <c r="T15" i="6" s="1"/>
  <c r="U16" i="6"/>
  <c r="T16" i="6" s="1"/>
  <c r="U17" i="6"/>
  <c r="T17" i="6" s="1"/>
  <c r="U18" i="6"/>
  <c r="T18" i="6" s="1"/>
  <c r="U19" i="6"/>
  <c r="T19" i="6" s="1"/>
  <c r="U20" i="6"/>
  <c r="T20" i="6" s="1"/>
  <c r="U21" i="6"/>
  <c r="T21" i="6" s="1"/>
  <c r="U22" i="6"/>
  <c r="T22" i="6" s="1"/>
  <c r="U23" i="6"/>
  <c r="T23" i="6" s="1"/>
  <c r="U24" i="6"/>
  <c r="T24" i="6" s="1"/>
  <c r="U25" i="6"/>
  <c r="T25" i="6" s="1"/>
  <c r="U26" i="6"/>
  <c r="T26" i="6" s="1"/>
  <c r="U27" i="6"/>
  <c r="T27" i="6" s="1"/>
  <c r="U28" i="6"/>
  <c r="T28" i="6" s="1"/>
  <c r="U29" i="6"/>
  <c r="T29" i="6" s="1"/>
  <c r="U30" i="6"/>
  <c r="T30" i="6" s="1"/>
  <c r="U31" i="6"/>
  <c r="T31" i="6" s="1"/>
  <c r="U32" i="6"/>
  <c r="T32" i="6" s="1"/>
  <c r="U33" i="6"/>
  <c r="T33" i="6" s="1"/>
  <c r="U34" i="6"/>
  <c r="T34" i="6" s="1"/>
  <c r="U35" i="6"/>
  <c r="T35" i="6" s="1"/>
  <c r="U36" i="6"/>
  <c r="T36" i="6" s="1"/>
  <c r="U37" i="6"/>
  <c r="T37" i="6" s="1"/>
  <c r="U38" i="6"/>
  <c r="T38" i="6" s="1"/>
  <c r="U39" i="6"/>
  <c r="T39" i="6" s="1"/>
  <c r="U40" i="6"/>
  <c r="T40" i="6" s="1"/>
  <c r="U41" i="6"/>
  <c r="T41" i="6" s="1"/>
  <c r="U42" i="6"/>
  <c r="T42" i="6" s="1"/>
  <c r="U43" i="6"/>
  <c r="T43" i="6" s="1"/>
  <c r="U44" i="6"/>
  <c r="T44" i="6" s="1"/>
  <c r="U45" i="6"/>
  <c r="T45" i="6" s="1"/>
  <c r="U46" i="6"/>
  <c r="T46" i="6" s="1"/>
  <c r="U47" i="6"/>
  <c r="T47" i="6" s="1"/>
  <c r="U48" i="6"/>
  <c r="T48" i="6" s="1"/>
  <c r="U49" i="6"/>
  <c r="T49" i="6" s="1"/>
  <c r="U50" i="6"/>
  <c r="T50" i="6" s="1"/>
  <c r="U51" i="6"/>
  <c r="T51" i="6" s="1"/>
  <c r="U52" i="6"/>
  <c r="T52" i="6" s="1"/>
  <c r="U53" i="6"/>
  <c r="T53" i="6" s="1"/>
  <c r="U54" i="6"/>
  <c r="T54" i="6" s="1"/>
  <c r="U55" i="6"/>
  <c r="T55" i="6" s="1"/>
  <c r="U56" i="6"/>
  <c r="T56" i="6" s="1"/>
  <c r="U57" i="6"/>
  <c r="T57" i="6" s="1"/>
  <c r="U58" i="6"/>
  <c r="T58" i="6" s="1"/>
  <c r="U59" i="6"/>
  <c r="T59" i="6" s="1"/>
  <c r="U60" i="6"/>
  <c r="T60" i="6" s="1"/>
  <c r="U61" i="6"/>
  <c r="T61" i="6" s="1"/>
  <c r="U62" i="6"/>
  <c r="T62" i="6" s="1"/>
  <c r="U63" i="6"/>
  <c r="T63" i="6" s="1"/>
  <c r="U64" i="6"/>
  <c r="T64" i="6" s="1"/>
  <c r="U65" i="6"/>
  <c r="T65" i="6" s="1"/>
  <c r="U66" i="6"/>
  <c r="T66" i="6" s="1"/>
  <c r="U67" i="6"/>
  <c r="T67" i="6" s="1"/>
  <c r="U68" i="6"/>
  <c r="T68" i="6" s="1"/>
  <c r="U69" i="6"/>
  <c r="T69" i="6" s="1"/>
  <c r="U70" i="6"/>
  <c r="T70" i="6" s="1"/>
  <c r="U71" i="6"/>
  <c r="T71" i="6" s="1"/>
  <c r="U72" i="6"/>
  <c r="T72" i="6" s="1"/>
  <c r="U73" i="6"/>
  <c r="T73" i="6" s="1"/>
  <c r="U74" i="6"/>
  <c r="T74" i="6" s="1"/>
  <c r="U75" i="6"/>
  <c r="T75" i="6" s="1"/>
  <c r="U76" i="6"/>
  <c r="T76" i="6" s="1"/>
  <c r="U77" i="6"/>
  <c r="T77" i="6" s="1"/>
  <c r="X77" i="6"/>
  <c r="W77" i="6"/>
  <c r="V77" i="6"/>
  <c r="X76" i="6"/>
  <c r="W76" i="6"/>
  <c r="V76" i="6"/>
  <c r="X75" i="6"/>
  <c r="W75" i="6"/>
  <c r="V75" i="6"/>
  <c r="X74" i="6"/>
  <c r="W74" i="6"/>
  <c r="V74" i="6"/>
  <c r="X73" i="6"/>
  <c r="W73" i="6"/>
  <c r="V73" i="6"/>
  <c r="X72" i="6"/>
  <c r="W72" i="6"/>
  <c r="V72" i="6"/>
  <c r="X71" i="6"/>
  <c r="W71" i="6"/>
  <c r="V71" i="6"/>
  <c r="X70" i="6"/>
  <c r="W70" i="6"/>
  <c r="V70" i="6"/>
  <c r="X69" i="6"/>
  <c r="W69" i="6"/>
  <c r="V69" i="6"/>
  <c r="O35" i="3"/>
  <c r="J35" i="3"/>
  <c r="R35" i="3" s="1"/>
  <c r="X68" i="6"/>
  <c r="W68" i="6"/>
  <c r="V68" i="6"/>
  <c r="X67" i="6"/>
  <c r="W67" i="6"/>
  <c r="V67" i="6"/>
  <c r="X66" i="6"/>
  <c r="W66" i="6"/>
  <c r="V66" i="6"/>
  <c r="I81" i="3" l="1" a="1"/>
  <c r="I19" i="3" a="1"/>
  <c r="I80" i="3" a="1"/>
  <c r="I76" i="3" a="1"/>
  <c r="I74" i="3" a="1"/>
  <c r="I72" i="3" a="1"/>
  <c r="I68" i="3" a="1"/>
  <c r="I64" i="3" a="1"/>
  <c r="I62" i="3" a="1"/>
  <c r="I60" i="3" a="1"/>
  <c r="I58" i="3" a="1"/>
  <c r="I56" i="3" a="1"/>
  <c r="I54" i="3" a="1"/>
  <c r="I52" i="3" a="1"/>
  <c r="I50" i="3" a="1"/>
  <c r="I48" i="3" a="1"/>
  <c r="I46" i="3" a="1"/>
  <c r="I44" i="3" a="1"/>
  <c r="I42" i="3" a="1"/>
  <c r="I40" i="3" a="1"/>
  <c r="I38" i="3" a="1"/>
  <c r="I36" i="3" a="1"/>
  <c r="I34" i="3" a="1"/>
  <c r="I32" i="3" a="1"/>
  <c r="I26" i="3" a="1"/>
  <c r="I22" i="3" a="1"/>
  <c r="I78" i="3" a="1"/>
  <c r="I70" i="3" a="1"/>
  <c r="I66" i="3" a="1"/>
  <c r="I79" i="3" a="1"/>
  <c r="I77" i="3" a="1"/>
  <c r="I75" i="3" a="1"/>
  <c r="I71" i="3" a="1"/>
  <c r="I67" i="3" a="1"/>
  <c r="I65" i="3" a="1"/>
  <c r="I63" i="3" a="1"/>
  <c r="I61" i="3" a="1"/>
  <c r="I59" i="3" a="1"/>
  <c r="I57" i="3" a="1"/>
  <c r="I55" i="3" a="1"/>
  <c r="I51" i="3" a="1"/>
  <c r="I45" i="3" a="1"/>
  <c r="I41" i="3" a="1"/>
  <c r="I37" i="3" a="1"/>
  <c r="I33" i="3" a="1"/>
  <c r="I29" i="3" a="1"/>
  <c r="I25" i="3" a="1"/>
  <c r="I21" i="3" a="1"/>
  <c r="I28" i="3" a="1"/>
  <c r="I24" i="3" a="1"/>
  <c r="I73" i="3" a="1"/>
  <c r="I69" i="3" a="1"/>
  <c r="I53" i="3" a="1"/>
  <c r="I49" i="3" a="1"/>
  <c r="I47" i="3" a="1"/>
  <c r="I43" i="3" a="1"/>
  <c r="I39" i="3" a="1"/>
  <c r="I35" i="3" a="1"/>
  <c r="I31" i="3" a="1"/>
  <c r="I27" i="3" a="1"/>
  <c r="I23" i="3" a="1"/>
  <c r="I30" i="3" a="1"/>
  <c r="I20" i="3" a="1"/>
  <c r="Z62" i="3"/>
  <c r="X65" i="6"/>
  <c r="W65" i="6"/>
  <c r="V65" i="6"/>
  <c r="X64" i="6"/>
  <c r="W64" i="6"/>
  <c r="V64" i="6"/>
  <c r="X63" i="6"/>
  <c r="W63" i="6"/>
  <c r="V63" i="6"/>
  <c r="X62" i="6"/>
  <c r="W62" i="6"/>
  <c r="V62" i="6"/>
  <c r="X61" i="6"/>
  <c r="W61" i="6"/>
  <c r="V61" i="6"/>
  <c r="X60" i="6"/>
  <c r="W60" i="6"/>
  <c r="V60" i="6"/>
  <c r="V58" i="6"/>
  <c r="W58" i="6"/>
  <c r="X58" i="6"/>
  <c r="V59" i="6"/>
  <c r="W59" i="6"/>
  <c r="X59" i="6"/>
  <c r="X57" i="6"/>
  <c r="W57" i="6"/>
  <c r="V57" i="6"/>
  <c r="G37" i="4"/>
  <c r="E37" i="4"/>
  <c r="O29" i="3"/>
  <c r="J29" i="3"/>
  <c r="R29" i="3" s="1"/>
  <c r="X56" i="6"/>
  <c r="W56" i="6"/>
  <c r="V56" i="6"/>
  <c r="X55" i="6"/>
  <c r="W55" i="6"/>
  <c r="V55" i="6"/>
  <c r="X54" i="6"/>
  <c r="W54" i="6"/>
  <c r="V54" i="6"/>
  <c r="X53" i="6"/>
  <c r="W53" i="6"/>
  <c r="V53" i="6"/>
  <c r="O28" i="3"/>
  <c r="J28" i="3"/>
  <c r="R28" i="3" s="1"/>
  <c r="X52" i="6"/>
  <c r="W52" i="6"/>
  <c r="V52" i="6"/>
  <c r="X51" i="6"/>
  <c r="W51" i="6"/>
  <c r="V51" i="6"/>
  <c r="X50" i="6"/>
  <c r="W50" i="6"/>
  <c r="V50" i="6"/>
  <c r="X49" i="6"/>
  <c r="W49" i="6"/>
  <c r="V49" i="6"/>
  <c r="X48" i="6"/>
  <c r="W48" i="6"/>
  <c r="V48" i="6"/>
  <c r="X47" i="6"/>
  <c r="W47" i="6"/>
  <c r="V47" i="6"/>
  <c r="X46" i="6"/>
  <c r="W46" i="6"/>
  <c r="V46" i="6"/>
  <c r="X45" i="6"/>
  <c r="W45" i="6"/>
  <c r="V45" i="6"/>
  <c r="X44" i="6"/>
  <c r="W44" i="6"/>
  <c r="V44" i="6"/>
  <c r="X43" i="6"/>
  <c r="W43" i="6"/>
  <c r="V43" i="6"/>
  <c r="X42" i="6"/>
  <c r="W42" i="6"/>
  <c r="V42" i="6"/>
  <c r="X41" i="6"/>
  <c r="W41" i="6"/>
  <c r="V41" i="6"/>
  <c r="X40" i="6"/>
  <c r="W40" i="6"/>
  <c r="V40" i="6"/>
  <c r="X39" i="6"/>
  <c r="W39" i="6"/>
  <c r="V39" i="6"/>
  <c r="X38" i="6"/>
  <c r="W38" i="6"/>
  <c r="V38" i="6"/>
  <c r="X37" i="6"/>
  <c r="W37" i="6"/>
  <c r="V37" i="6"/>
  <c r="X36" i="6"/>
  <c r="W36" i="6"/>
  <c r="V36" i="6"/>
  <c r="X35" i="6"/>
  <c r="W35" i="6"/>
  <c r="V35" i="6"/>
  <c r="X34" i="6"/>
  <c r="W34" i="6"/>
  <c r="V34" i="6"/>
  <c r="X33" i="6"/>
  <c r="W33" i="6"/>
  <c r="V33" i="6"/>
  <c r="X32" i="6"/>
  <c r="W32" i="6"/>
  <c r="V32" i="6"/>
  <c r="O23" i="3"/>
  <c r="J23" i="3"/>
  <c r="R23" i="3" s="1"/>
  <c r="W16" i="6"/>
  <c r="V16" i="6"/>
  <c r="Z68" i="3" l="1"/>
  <c r="Z58" i="3"/>
  <c r="Z59" i="3"/>
  <c r="Z63" i="3"/>
  <c r="Z23" i="3"/>
  <c r="O27" i="3"/>
  <c r="O26" i="3"/>
  <c r="O25" i="3"/>
  <c r="O24" i="3"/>
  <c r="O22" i="3"/>
  <c r="O21" i="3"/>
  <c r="O20" i="3"/>
  <c r="O19" i="3"/>
  <c r="N81" i="3" l="1" a="1"/>
  <c r="Z69" i="3"/>
  <c r="Z67" i="3"/>
  <c r="Z64" i="3"/>
  <c r="J22" i="3"/>
  <c r="R22" i="3" s="1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5" i="6"/>
  <c r="X14" i="6"/>
  <c r="X13" i="6"/>
  <c r="X12" i="6"/>
  <c r="X11" i="6"/>
  <c r="X10" i="6"/>
  <c r="X9" i="6"/>
  <c r="X8" i="6"/>
  <c r="X7" i="6"/>
  <c r="X6" i="6"/>
  <c r="X5" i="6"/>
  <c r="X4" i="6"/>
  <c r="X3" i="6"/>
  <c r="X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W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  <c r="J27" i="3"/>
  <c r="R27" i="3" s="1"/>
  <c r="J26" i="3"/>
  <c r="R26" i="3" s="1"/>
  <c r="J25" i="3"/>
  <c r="R25" i="3" s="1"/>
  <c r="Y79" i="3" l="1" a="1"/>
  <c r="Y79" i="3" s="1"/>
  <c r="Y51" i="3" a="1"/>
  <c r="Y51" i="3" s="1"/>
  <c r="Y23" i="3" a="1"/>
  <c r="Y23" i="3" s="1"/>
  <c r="Y75" i="3" a="1"/>
  <c r="Y75" i="3" s="1"/>
  <c r="Y37" i="3" a="1"/>
  <c r="Y37" i="3" s="1"/>
  <c r="Y30" i="3" a="1"/>
  <c r="Y30" i="3" s="1"/>
  <c r="Y68" i="3" a="1"/>
  <c r="Y68" i="3" s="1"/>
  <c r="Y50" i="3" a="1"/>
  <c r="Y50" i="3" s="1"/>
  <c r="X77" i="3" a="1"/>
  <c r="X77" i="3" s="1"/>
  <c r="X45" i="3" a="1"/>
  <c r="X45" i="3" s="1"/>
  <c r="X81" i="3" a="1"/>
  <c r="X81" i="3" s="1"/>
  <c r="X47" i="3" a="1"/>
  <c r="X47" i="3" s="1"/>
  <c r="X72" i="3" a="1"/>
  <c r="X72" i="3" s="1"/>
  <c r="X44" i="3" a="1"/>
  <c r="X44" i="3" s="1"/>
  <c r="Y77" i="3" a="1"/>
  <c r="Y77" i="3" s="1"/>
  <c r="Y49" i="3" a="1"/>
  <c r="Y49" i="3" s="1"/>
  <c r="Y52" i="3" a="1"/>
  <c r="Y52" i="3" s="1"/>
  <c r="Y71" i="3" a="1"/>
  <c r="Y71" i="3" s="1"/>
  <c r="Y33" i="3" a="1"/>
  <c r="Y33" i="3" s="1"/>
  <c r="Y24" i="3" a="1"/>
  <c r="Y24" i="3" s="1"/>
  <c r="Y66" i="3" a="1"/>
  <c r="Y66" i="3" s="1"/>
  <c r="Y44" i="3" a="1"/>
  <c r="Y44" i="3" s="1"/>
  <c r="X73" i="3" a="1"/>
  <c r="X73" i="3" s="1"/>
  <c r="X41" i="3" a="1"/>
  <c r="X41" i="3" s="1"/>
  <c r="X75" i="3" a="1"/>
  <c r="X75" i="3" s="1"/>
  <c r="X43" i="3" a="1"/>
  <c r="X43" i="3" s="1"/>
  <c r="X68" i="3" a="1"/>
  <c r="X68" i="3" s="1"/>
  <c r="X40" i="3" a="1"/>
  <c r="X40" i="3" s="1"/>
  <c r="X70" i="3" a="1"/>
  <c r="X70" i="3" s="1"/>
  <c r="X34" i="3" a="1"/>
  <c r="X34" i="3" s="1"/>
  <c r="Y73" i="3" a="1"/>
  <c r="Y73" i="3" s="1"/>
  <c r="Y45" i="3" a="1"/>
  <c r="Y45" i="3" s="1"/>
  <c r="Y46" i="3" a="1"/>
  <c r="Y46" i="3" s="1"/>
  <c r="Y67" i="3" a="1"/>
  <c r="Y67" i="3" s="1"/>
  <c r="Y29" i="3" a="1"/>
  <c r="Y29" i="3" s="1"/>
  <c r="Y80" i="3" a="1"/>
  <c r="Y80" i="3" s="1"/>
  <c r="Y64" i="3" a="1"/>
  <c r="Y64" i="3" s="1"/>
  <c r="Y40" i="3" a="1"/>
  <c r="Y40" i="3" s="1"/>
  <c r="X69" i="3" a="1"/>
  <c r="X69" i="3" s="1"/>
  <c r="X37" i="3" a="1"/>
  <c r="X37" i="3" s="1"/>
  <c r="X71" i="3" a="1"/>
  <c r="X71" i="3" s="1"/>
  <c r="X39" i="3" a="1"/>
  <c r="X39" i="3" s="1"/>
  <c r="X62" i="3" a="1"/>
  <c r="X62" i="3" s="1"/>
  <c r="X36" i="3" a="1"/>
  <c r="X36" i="3" s="1"/>
  <c r="X66" i="3" a="1"/>
  <c r="X66" i="3" s="1"/>
  <c r="X30" i="3" a="1"/>
  <c r="X30" i="3" s="1"/>
  <c r="Y69" i="3" a="1"/>
  <c r="Y69" i="3" s="1"/>
  <c r="Y41" i="3" a="1"/>
  <c r="Y41" i="3" s="1"/>
  <c r="Y38" i="3" a="1"/>
  <c r="Y38" i="3" s="1"/>
  <c r="Y63" i="3" a="1"/>
  <c r="Y63" i="3" s="1"/>
  <c r="Y25" i="3" a="1"/>
  <c r="Y25" i="3" s="1"/>
  <c r="Y78" i="3" a="1"/>
  <c r="Y78" i="3" s="1"/>
  <c r="Y62" i="3" a="1"/>
  <c r="Y62" i="3" s="1"/>
  <c r="Y32" i="3" a="1"/>
  <c r="Y32" i="3" s="1"/>
  <c r="X63" i="3" a="1"/>
  <c r="X63" i="3" s="1"/>
  <c r="X33" i="3" a="1"/>
  <c r="X33" i="3" s="1"/>
  <c r="X67" i="3" a="1"/>
  <c r="X67" i="3" s="1"/>
  <c r="X35" i="3" a="1"/>
  <c r="X35" i="3" s="1"/>
  <c r="X60" i="3" a="1"/>
  <c r="X60" i="3" s="1"/>
  <c r="X32" i="3" a="1"/>
  <c r="X32" i="3" s="1"/>
  <c r="X64" i="3" a="1"/>
  <c r="X64" i="3" s="1"/>
  <c r="X26" i="3" a="1"/>
  <c r="X26" i="3" s="1"/>
  <c r="Y65" i="3" a="1"/>
  <c r="Y65" i="3" s="1"/>
  <c r="Y39" i="3" a="1"/>
  <c r="Y39" i="3" s="1"/>
  <c r="Y34" i="3" a="1"/>
  <c r="Y34" i="3" s="1"/>
  <c r="Y59" i="3" a="1"/>
  <c r="Y59" i="3" s="1"/>
  <c r="Y21" i="3" a="1"/>
  <c r="Y21" i="3" s="1"/>
  <c r="Y76" i="3" a="1"/>
  <c r="Y76" i="3" s="1"/>
  <c r="Y60" i="3" a="1"/>
  <c r="Y60" i="3" s="1"/>
  <c r="Y26" i="3" a="1"/>
  <c r="Y26" i="3" s="1"/>
  <c r="X59" i="3" a="1"/>
  <c r="X59" i="3" s="1"/>
  <c r="X29" i="3" a="1"/>
  <c r="X29" i="3" s="1"/>
  <c r="X65" i="3" a="1"/>
  <c r="X65" i="3" s="1"/>
  <c r="X31" i="3" a="1"/>
  <c r="X31" i="3" s="1"/>
  <c r="X56" i="3" a="1"/>
  <c r="X56" i="3" s="1"/>
  <c r="X28" i="3" a="1"/>
  <c r="X28" i="3" s="1"/>
  <c r="X58" i="3" a="1"/>
  <c r="X58" i="3" s="1"/>
  <c r="X22" i="3" a="1"/>
  <c r="X22" i="3" s="1"/>
  <c r="Y61" i="3" a="1"/>
  <c r="Y61" i="3" s="1"/>
  <c r="Y35" i="3" a="1"/>
  <c r="Y35" i="3" s="1"/>
  <c r="Y28" i="3" a="1"/>
  <c r="Y28" i="3" s="1"/>
  <c r="Y55" i="3" a="1"/>
  <c r="Y55" i="3" s="1"/>
  <c r="Y48" i="3" a="1"/>
  <c r="Y48" i="3" s="1"/>
  <c r="Y74" i="3" a="1"/>
  <c r="Y74" i="3" s="1"/>
  <c r="Y58" i="3" a="1"/>
  <c r="Y58" i="3" s="1"/>
  <c r="Y20" i="3" a="1"/>
  <c r="Y20" i="3" s="1"/>
  <c r="X57" i="3" a="1"/>
  <c r="X57" i="3" s="1"/>
  <c r="X25" i="3" a="1"/>
  <c r="X25" i="3" s="1"/>
  <c r="X61" i="3" a="1"/>
  <c r="X61" i="3" s="1"/>
  <c r="X27" i="3" a="1"/>
  <c r="X27" i="3" s="1"/>
  <c r="X54" i="3" a="1"/>
  <c r="X54" i="3" s="1"/>
  <c r="X24" i="3" a="1"/>
  <c r="X24" i="3" s="1"/>
  <c r="X50" i="3" a="1"/>
  <c r="X50" i="3" s="1"/>
  <c r="X19" i="3" a="1"/>
  <c r="X19" i="3" s="1"/>
  <c r="Y57" i="3" a="1"/>
  <c r="Y57" i="3" s="1"/>
  <c r="Y31" i="3" a="1"/>
  <c r="Y31" i="3" s="1"/>
  <c r="Y22" i="3" a="1"/>
  <c r="Y22" i="3" s="1"/>
  <c r="Y47" i="3" a="1"/>
  <c r="Y47" i="3" s="1"/>
  <c r="Y42" i="3" a="1"/>
  <c r="Y42" i="3" s="1"/>
  <c r="Y72" i="3" a="1"/>
  <c r="Y72" i="3" s="1"/>
  <c r="Y56" i="3" a="1"/>
  <c r="Y56" i="3" s="1"/>
  <c r="Y19" i="3" a="1"/>
  <c r="Y19" i="3" s="1"/>
  <c r="X53" i="3" a="1"/>
  <c r="X53" i="3" s="1"/>
  <c r="X23" i="3" a="1"/>
  <c r="X23" i="3" s="1"/>
  <c r="X55" i="3" a="1"/>
  <c r="X55" i="3" s="1"/>
  <c r="X78" i="3" a="1"/>
  <c r="X78" i="3" s="1"/>
  <c r="X52" i="3" a="1"/>
  <c r="X52" i="3" s="1"/>
  <c r="X20" i="3" a="1"/>
  <c r="X20" i="3" s="1"/>
  <c r="X46" i="3" a="1"/>
  <c r="X46" i="3" s="1"/>
  <c r="X74" i="3" a="1"/>
  <c r="X74" i="3" s="1"/>
  <c r="Y53" i="3" a="1"/>
  <c r="Y53" i="3" s="1"/>
  <c r="Y27" i="3" a="1"/>
  <c r="Y27" i="3" s="1"/>
  <c r="Y81" i="3" a="1"/>
  <c r="Y81" i="3" s="1"/>
  <c r="Y43" i="3" a="1"/>
  <c r="Y43" i="3" s="1"/>
  <c r="Y36" i="3" a="1"/>
  <c r="Y36" i="3" s="1"/>
  <c r="Y70" i="3" a="1"/>
  <c r="Y70" i="3" s="1"/>
  <c r="Y54" i="3" a="1"/>
  <c r="Y54" i="3" s="1"/>
  <c r="X79" i="3" a="1"/>
  <c r="X79" i="3" s="1"/>
  <c r="X49" i="3" a="1"/>
  <c r="X49" i="3" s="1"/>
  <c r="X21" i="3" a="1"/>
  <c r="X21" i="3" s="1"/>
  <c r="X51" i="3" a="1"/>
  <c r="X51" i="3" s="1"/>
  <c r="X76" i="3" a="1"/>
  <c r="X76" i="3" s="1"/>
  <c r="X48" i="3" a="1"/>
  <c r="X48" i="3" s="1"/>
  <c r="X80" i="3" a="1"/>
  <c r="X80" i="3" s="1"/>
  <c r="X42" i="3" a="1"/>
  <c r="X42" i="3" s="1"/>
  <c r="X38" i="3" a="1"/>
  <c r="X38" i="3" s="1"/>
  <c r="I73" i="3"/>
  <c r="I44" i="3"/>
  <c r="I51" i="3"/>
  <c r="I21" i="3"/>
  <c r="I50" i="3"/>
  <c r="I36" i="3"/>
  <c r="I66" i="3"/>
  <c r="I69" i="3"/>
  <c r="I78" i="3"/>
  <c r="I60" i="3"/>
  <c r="I71" i="3"/>
  <c r="I55" i="3"/>
  <c r="I68" i="3"/>
  <c r="L68" i="3" s="1"/>
  <c r="N68" i="3" s="1" a="1"/>
  <c r="N68" i="3" s="1"/>
  <c r="I52" i="3"/>
  <c r="I38" i="3"/>
  <c r="I37" i="3"/>
  <c r="I58" i="3"/>
  <c r="I19" i="3"/>
  <c r="I26" i="3"/>
  <c r="I75" i="3"/>
  <c r="I47" i="3"/>
  <c r="I72" i="3"/>
  <c r="I54" i="3"/>
  <c r="I63" i="3"/>
  <c r="I77" i="3"/>
  <c r="I35" i="3"/>
  <c r="I41" i="3"/>
  <c r="I46" i="3"/>
  <c r="I32" i="3"/>
  <c r="I34" i="3"/>
  <c r="I25" i="3"/>
  <c r="I74" i="3"/>
  <c r="I70" i="3"/>
  <c r="I27" i="3"/>
  <c r="I24" i="3"/>
  <c r="I42" i="3"/>
  <c r="I62" i="3"/>
  <c r="I48" i="3"/>
  <c r="I49" i="3"/>
  <c r="I30" i="3"/>
  <c r="I31" i="3"/>
  <c r="I40" i="3"/>
  <c r="I45" i="3"/>
  <c r="I80" i="3"/>
  <c r="I81" i="3"/>
  <c r="I64" i="3"/>
  <c r="I29" i="3"/>
  <c r="I53" i="3"/>
  <c r="I57" i="3"/>
  <c r="I56" i="3"/>
  <c r="I61" i="3"/>
  <c r="I67" i="3"/>
  <c r="I39" i="3"/>
  <c r="I65" i="3"/>
  <c r="I20" i="3"/>
  <c r="I59" i="3"/>
  <c r="I33" i="3"/>
  <c r="I23" i="3"/>
  <c r="I76" i="3"/>
  <c r="I79" i="3"/>
  <c r="I22" i="3"/>
  <c r="I28" i="3"/>
  <c r="I43" i="3"/>
  <c r="Z70" i="3"/>
  <c r="Z71" i="3"/>
  <c r="N81" i="5"/>
  <c r="Q65" i="5"/>
  <c r="R59" i="5"/>
  <c r="N57" i="5"/>
  <c r="R28" i="5"/>
  <c r="R50" i="5"/>
  <c r="R77" i="5"/>
  <c r="N64" i="5"/>
  <c r="N78" i="5"/>
  <c r="N69" i="5"/>
  <c r="Q81" i="5"/>
  <c r="Q24" i="5"/>
  <c r="N59" i="5"/>
  <c r="N71" i="5"/>
  <c r="R32" i="5"/>
  <c r="Q76" i="5"/>
  <c r="R65" i="5"/>
  <c r="Q66" i="5"/>
  <c r="N44" i="5"/>
  <c r="Q36" i="5"/>
  <c r="N50" i="5"/>
  <c r="Q45" i="5"/>
  <c r="R43" i="5"/>
  <c r="N28" i="5"/>
  <c r="N26" i="5"/>
  <c r="N72" i="5"/>
  <c r="Q28" i="5"/>
  <c r="R24" i="5"/>
  <c r="Q62" i="5"/>
  <c r="Q49" i="5"/>
  <c r="Q47" i="5"/>
  <c r="Q32" i="5"/>
  <c r="N11" i="5"/>
  <c r="R29" i="5"/>
  <c r="R45" i="5"/>
  <c r="M29" i="5"/>
  <c r="N75" i="5"/>
  <c r="R58" i="5"/>
  <c r="Q69" i="5"/>
  <c r="R55" i="5"/>
  <c r="M21" i="5"/>
  <c r="Q33" i="5"/>
  <c r="Q50" i="5"/>
  <c r="R66" i="5"/>
  <c r="Q11" i="5"/>
  <c r="N48" i="5"/>
  <c r="N58" i="5"/>
  <c r="M26" i="5"/>
  <c r="R33" i="5"/>
  <c r="R49" i="5"/>
  <c r="Q58" i="5"/>
  <c r="M27" i="5"/>
  <c r="Q63" i="5"/>
  <c r="M33" i="5"/>
  <c r="R42" i="5"/>
  <c r="N49" i="5"/>
  <c r="N63" i="5"/>
  <c r="M25" i="5"/>
  <c r="R36" i="5"/>
  <c r="Q68" i="5"/>
  <c r="Q73" i="5"/>
  <c r="Q26" i="5"/>
  <c r="N77" i="5"/>
  <c r="Q54" i="5"/>
  <c r="R78" i="5"/>
  <c r="N67" i="5"/>
  <c r="N33" i="5"/>
  <c r="R62" i="5"/>
  <c r="Q53" i="5"/>
  <c r="R25" i="5"/>
  <c r="N43" i="5"/>
  <c r="Q57" i="5"/>
  <c r="N32" i="5"/>
  <c r="R75" i="5"/>
  <c r="N55" i="5"/>
  <c r="R61" i="5"/>
  <c r="R11" i="5"/>
  <c r="N25" i="5"/>
  <c r="M36" i="5"/>
  <c r="N47" i="5"/>
  <c r="Q60" i="5"/>
  <c r="R81" i="5"/>
  <c r="Q23" i="5"/>
  <c r="N54" i="5"/>
  <c r="R79" i="5"/>
  <c r="Q59" i="5"/>
  <c r="M17" i="5"/>
  <c r="R68" i="5"/>
  <c r="R23" i="5"/>
  <c r="N79" i="5"/>
  <c r="Q17" i="5"/>
  <c r="N29" i="5"/>
  <c r="Q77" i="5"/>
  <c r="N62" i="5"/>
  <c r="R46" i="5"/>
  <c r="N22" i="5"/>
  <c r="R21" i="5"/>
  <c r="Q61" i="5"/>
  <c r="Q72" i="5"/>
  <c r="Q80" i="5"/>
  <c r="N27" i="5"/>
  <c r="R64" i="5"/>
  <c r="Q44" i="5"/>
  <c r="N53" i="5"/>
  <c r="N73" i="5"/>
  <c r="N21" i="5"/>
  <c r="R47" i="5"/>
  <c r="N61" i="5"/>
  <c r="Q25" i="5"/>
  <c r="Q42" i="5"/>
  <c r="R67" i="5"/>
  <c r="M11" i="5"/>
  <c r="Q27" i="5"/>
  <c r="R80" i="5"/>
  <c r="R17" i="5"/>
  <c r="R48" i="5"/>
  <c r="Q79" i="5"/>
  <c r="R72" i="5"/>
  <c r="R76" i="5"/>
  <c r="Q64" i="5"/>
  <c r="R74" i="5"/>
  <c r="Q75" i="5"/>
  <c r="Q22" i="5"/>
  <c r="Q21" i="5"/>
  <c r="N46" i="5"/>
  <c r="Q55" i="5"/>
  <c r="R52" i="5"/>
  <c r="R22" i="5"/>
  <c r="N17" i="5"/>
  <c r="N24" i="5"/>
  <c r="R69" i="5"/>
  <c r="M22" i="5"/>
  <c r="Q29" i="5"/>
  <c r="R57" i="5"/>
  <c r="M28" i="5"/>
  <c r="R71" i="5"/>
  <c r="R63" i="5"/>
  <c r="R27" i="5"/>
  <c r="N80" i="5"/>
  <c r="Q43" i="5"/>
  <c r="N60" i="5"/>
  <c r="N42" i="5"/>
  <c r="R73" i="5"/>
  <c r="N68" i="5"/>
  <c r="Q52" i="5"/>
  <c r="M32" i="5"/>
  <c r="R44" i="5"/>
  <c r="N76" i="5"/>
  <c r="R53" i="5"/>
  <c r="N36" i="5"/>
  <c r="N45" i="5"/>
  <c r="Q74" i="5"/>
  <c r="Q48" i="5"/>
  <c r="N23" i="5"/>
  <c r="R54" i="5"/>
  <c r="Q46" i="5"/>
  <c r="N52" i="5"/>
  <c r="R26" i="5"/>
  <c r="Q67" i="5"/>
  <c r="R60" i="5"/>
  <c r="N74" i="5"/>
  <c r="Q78" i="5"/>
  <c r="Q71" i="5"/>
  <c r="L71" i="3" l="1"/>
  <c r="N71" i="3" s="1"/>
  <c r="K71" i="3" s="1"/>
  <c r="U71" i="3" s="1"/>
  <c r="V71" i="3" s="1"/>
  <c r="L76" i="3"/>
  <c r="M76" i="3" s="1"/>
  <c r="S75" i="3"/>
  <c r="T75" i="3" s="1"/>
  <c r="L75" i="3"/>
  <c r="M75" i="3" s="1"/>
  <c r="U75" i="3"/>
  <c r="V75" i="3" s="1"/>
  <c r="S71" i="3"/>
  <c r="T71" i="3" s="1"/>
  <c r="S43" i="5"/>
  <c r="S32" i="5"/>
  <c r="S73" i="5"/>
  <c r="S33" i="5"/>
  <c r="S60" i="5"/>
  <c r="S36" i="5"/>
  <c r="S42" i="5"/>
  <c r="S50" i="5"/>
  <c r="S76" i="5"/>
  <c r="S71" i="5"/>
  <c r="S75" i="5"/>
  <c r="S65" i="5"/>
  <c r="S25" i="5"/>
  <c r="S53" i="5"/>
  <c r="S68" i="5"/>
  <c r="S54" i="5"/>
  <c r="S55" i="5"/>
  <c r="S44" i="5"/>
  <c r="S80" i="5"/>
  <c r="S81" i="5"/>
  <c r="S77" i="5"/>
  <c r="S62" i="5"/>
  <c r="S64" i="5"/>
  <c r="S46" i="5"/>
  <c r="S58" i="5"/>
  <c r="S27" i="5"/>
  <c r="S59" i="5"/>
  <c r="S11" i="5"/>
  <c r="S45" i="5"/>
  <c r="S72" i="5"/>
  <c r="S79" i="5"/>
  <c r="S23" i="5"/>
  <c r="S22" i="5"/>
  <c r="S69" i="5"/>
  <c r="S47" i="5"/>
  <c r="S66" i="5"/>
  <c r="S29" i="5"/>
  <c r="S61" i="5"/>
  <c r="S74" i="5"/>
  <c r="S52" i="5"/>
  <c r="S48" i="5"/>
  <c r="S26" i="5"/>
  <c r="S57" i="5"/>
  <c r="S78" i="5"/>
  <c r="S24" i="5"/>
  <c r="S67" i="5"/>
  <c r="S49" i="5"/>
  <c r="S21" i="5"/>
  <c r="S63" i="5"/>
  <c r="S28" i="5"/>
  <c r="S17" i="5"/>
  <c r="L67" i="3"/>
  <c r="N67" i="3" s="1" a="1"/>
  <c r="N67" i="3" s="1"/>
  <c r="L70" i="3"/>
  <c r="N70" i="3" s="1" a="1"/>
  <c r="N70" i="3" s="1"/>
  <c r="L69" i="3"/>
  <c r="N69" i="3" s="1" a="1"/>
  <c r="N69" i="3" s="1"/>
  <c r="L65" i="3"/>
  <c r="N65" i="3" s="1" a="1"/>
  <c r="N65" i="3" s="1"/>
  <c r="S65" i="3"/>
  <c r="T65" i="3" s="1"/>
  <c r="S69" i="3"/>
  <c r="T69" i="3" s="1"/>
  <c r="S70" i="3"/>
  <c r="T70" i="3" s="1"/>
  <c r="M68" i="3"/>
  <c r="L64" i="3"/>
  <c r="N64" i="3" s="1" a="1"/>
  <c r="N64" i="3" s="1"/>
  <c r="U60" i="3"/>
  <c r="V60" i="3" s="1"/>
  <c r="S60" i="3"/>
  <c r="T60" i="3" s="1"/>
  <c r="L58" i="3"/>
  <c r="N58" i="3" s="1" a="1"/>
  <c r="N58" i="3" s="1"/>
  <c r="S58" i="3"/>
  <c r="T58" i="3" s="1"/>
  <c r="L33" i="3"/>
  <c r="N33" i="3" s="1" a="1"/>
  <c r="N33" i="3" s="1"/>
  <c r="L34" i="3"/>
  <c r="N34" i="3" s="1" a="1"/>
  <c r="N34" i="3" s="1"/>
  <c r="L61" i="3"/>
  <c r="N61" i="3" s="1" a="1"/>
  <c r="N61" i="3" s="1"/>
  <c r="S64" i="3"/>
  <c r="T64" i="3" s="1"/>
  <c r="L62" i="3"/>
  <c r="N62" i="3" s="1" a="1"/>
  <c r="N62" i="3" s="1"/>
  <c r="S59" i="3"/>
  <c r="T59" i="3" s="1"/>
  <c r="L59" i="3"/>
  <c r="N59" i="3" s="1" a="1"/>
  <c r="N59" i="3" s="1"/>
  <c r="U59" i="3"/>
  <c r="V59" i="3" s="1"/>
  <c r="L60" i="3"/>
  <c r="N60" i="3" s="1" a="1"/>
  <c r="N60" i="3" s="1"/>
  <c r="L63" i="3"/>
  <c r="N63" i="3" s="1" a="1"/>
  <c r="N63" i="3" s="1"/>
  <c r="U39" i="3"/>
  <c r="V39" i="3" s="1"/>
  <c r="S39" i="3"/>
  <c r="T39" i="3" s="1"/>
  <c r="U47" i="3"/>
  <c r="V47" i="3" s="1"/>
  <c r="S47" i="3"/>
  <c r="T47" i="3" s="1"/>
  <c r="U41" i="3"/>
  <c r="V41" i="3" s="1"/>
  <c r="S41" i="3"/>
  <c r="T41" i="3" s="1"/>
  <c r="S48" i="3"/>
  <c r="T48" i="3" s="1"/>
  <c r="U48" i="3"/>
  <c r="V48" i="3" s="1"/>
  <c r="S43" i="3"/>
  <c r="T43" i="3" s="1"/>
  <c r="U43" i="3"/>
  <c r="V43" i="3" s="1"/>
  <c r="U36" i="3"/>
  <c r="V36" i="3" s="1"/>
  <c r="S36" i="3"/>
  <c r="T36" i="3" s="1"/>
  <c r="U44" i="3"/>
  <c r="V44" i="3" s="1"/>
  <c r="S44" i="3"/>
  <c r="T44" i="3" s="1"/>
  <c r="U42" i="3"/>
  <c r="V42" i="3" s="1"/>
  <c r="S42" i="3"/>
  <c r="T42" i="3" s="1"/>
  <c r="L37" i="3"/>
  <c r="N37" i="3" s="1" a="1"/>
  <c r="N37" i="3" s="1"/>
  <c r="L32" i="3"/>
  <c r="N32" i="3" s="1" a="1"/>
  <c r="N32" i="3" s="1"/>
  <c r="L31" i="3"/>
  <c r="N31" i="3" s="1" a="1"/>
  <c r="N31" i="3" s="1"/>
  <c r="L57" i="3"/>
  <c r="N57" i="3" s="1" a="1"/>
  <c r="N57" i="3" s="1"/>
  <c r="L55" i="3"/>
  <c r="N55" i="3" s="1" a="1"/>
  <c r="N55" i="3" s="1"/>
  <c r="L56" i="3"/>
  <c r="N56" i="3" s="1" a="1"/>
  <c r="N56" i="3" s="1"/>
  <c r="L30" i="3"/>
  <c r="N30" i="3" s="1" a="1"/>
  <c r="N30" i="3" s="1"/>
  <c r="L54" i="3"/>
  <c r="N54" i="3" s="1" a="1"/>
  <c r="N54" i="3" s="1"/>
  <c r="L52" i="3"/>
  <c r="N52" i="3" s="1" a="1"/>
  <c r="N52" i="3" s="1"/>
  <c r="L48" i="3"/>
  <c r="N48" i="3" s="1" a="1"/>
  <c r="N48" i="3" s="1"/>
  <c r="L51" i="3"/>
  <c r="N51" i="3" s="1" a="1"/>
  <c r="N51" i="3" s="1"/>
  <c r="L47" i="3"/>
  <c r="N47" i="3" s="1" a="1"/>
  <c r="N47" i="3" s="1"/>
  <c r="L44" i="3"/>
  <c r="N44" i="3" s="1" a="1"/>
  <c r="N44" i="3" s="1"/>
  <c r="L53" i="3"/>
  <c r="N53" i="3" s="1" a="1"/>
  <c r="N53" i="3" s="1"/>
  <c r="L50" i="3"/>
  <c r="N50" i="3" s="1" a="1"/>
  <c r="N50" i="3" s="1"/>
  <c r="L49" i="3"/>
  <c r="N49" i="3" s="1" a="1"/>
  <c r="N49" i="3" s="1"/>
  <c r="L45" i="3"/>
  <c r="N45" i="3" s="1" a="1"/>
  <c r="N45" i="3" s="1"/>
  <c r="L46" i="3"/>
  <c r="N46" i="3" s="1" a="1"/>
  <c r="N46" i="3" s="1"/>
  <c r="L38" i="3"/>
  <c r="N38" i="3" s="1" a="1"/>
  <c r="N38" i="3" s="1"/>
  <c r="L36" i="3"/>
  <c r="N36" i="3" s="1" a="1"/>
  <c r="N36" i="3" s="1"/>
  <c r="L39" i="3"/>
  <c r="N39" i="3" s="1" a="1"/>
  <c r="N39" i="3" s="1"/>
  <c r="L42" i="3"/>
  <c r="N42" i="3" s="1" a="1"/>
  <c r="N42" i="3" s="1"/>
  <c r="L43" i="3"/>
  <c r="N43" i="3" s="1" a="1"/>
  <c r="N43" i="3" s="1"/>
  <c r="L41" i="3"/>
  <c r="N41" i="3" s="1" a="1"/>
  <c r="N41" i="3" s="1"/>
  <c r="C4" i="2"/>
  <c r="J24" i="3"/>
  <c r="R24" i="3" s="1"/>
  <c r="J20" i="3"/>
  <c r="R20" i="3" s="1"/>
  <c r="J19" i="3"/>
  <c r="R19" i="3" s="1"/>
  <c r="J21" i="3"/>
  <c r="R21" i="3" s="1"/>
  <c r="G36" i="4"/>
  <c r="E36" i="4"/>
  <c r="G35" i="4"/>
  <c r="E35" i="4"/>
  <c r="G34" i="4"/>
  <c r="E34" i="4"/>
  <c r="G33" i="4"/>
  <c r="E33" i="4"/>
  <c r="G32" i="4"/>
  <c r="E32" i="4"/>
  <c r="D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P3" i="4"/>
  <c r="G3" i="4"/>
  <c r="E3" i="4"/>
  <c r="O47" i="5"/>
  <c r="O75" i="5"/>
  <c r="O46" i="5"/>
  <c r="O36" i="5"/>
  <c r="O24" i="5"/>
  <c r="O80" i="5"/>
  <c r="O61" i="5"/>
  <c r="O26" i="5"/>
  <c r="O74" i="5"/>
  <c r="O17" i="5"/>
  <c r="O71" i="5"/>
  <c r="O62" i="5"/>
  <c r="O64" i="5"/>
  <c r="O68" i="5"/>
  <c r="O48" i="5"/>
  <c r="O78" i="5"/>
  <c r="O32" i="5"/>
  <c r="O77" i="5"/>
  <c r="O67" i="5"/>
  <c r="O44" i="5"/>
  <c r="O43" i="5"/>
  <c r="O69" i="5"/>
  <c r="O23" i="5"/>
  <c r="O81" i="5"/>
  <c r="O33" i="5"/>
  <c r="O49" i="5"/>
  <c r="O27" i="5"/>
  <c r="O63" i="5"/>
  <c r="O45" i="5"/>
  <c r="O57" i="5"/>
  <c r="O11" i="5"/>
  <c r="O29" i="5"/>
  <c r="O25" i="5"/>
  <c r="O72" i="5"/>
  <c r="O52" i="5"/>
  <c r="O22" i="5"/>
  <c r="O21" i="5"/>
  <c r="O58" i="5"/>
  <c r="O53" i="5"/>
  <c r="O50" i="5"/>
  <c r="O28" i="5"/>
  <c r="O42" i="5"/>
  <c r="O73" i="5"/>
  <c r="O76" i="5"/>
  <c r="O60" i="5"/>
  <c r="O79" i="5"/>
  <c r="O55" i="5"/>
  <c r="O54" i="5"/>
  <c r="O59" i="5"/>
  <c r="M71" i="3" l="1"/>
  <c r="N75" i="3" a="1"/>
  <c r="N75" i="3" s="1"/>
  <c r="K75" i="3" s="1"/>
  <c r="N76" i="3" a="1"/>
  <c r="N76" i="3" s="1"/>
  <c r="K76" i="3" s="1"/>
  <c r="E57" i="2"/>
  <c r="E58" i="2"/>
  <c r="E59" i="2"/>
  <c r="Z81" i="3"/>
  <c r="L81" i="3" s="1"/>
  <c r="M81" i="3" s="1"/>
  <c r="Z75" i="3"/>
  <c r="K65" i="3"/>
  <c r="U65" i="3" s="1"/>
  <c r="V65" i="3" s="1"/>
  <c r="M69" i="3"/>
  <c r="K70" i="3"/>
  <c r="U70" i="3" s="1"/>
  <c r="V70" i="3" s="1"/>
  <c r="M67" i="3"/>
  <c r="K67" i="3"/>
  <c r="U67" i="3" s="1"/>
  <c r="V67" i="3" s="1"/>
  <c r="Z80" i="3"/>
  <c r="Z79" i="3"/>
  <c r="L79" i="3" s="1"/>
  <c r="N79" i="3" s="1" a="1"/>
  <c r="N79" i="3" s="1"/>
  <c r="E53" i="2"/>
  <c r="E54" i="2"/>
  <c r="E55" i="2"/>
  <c r="E56" i="2"/>
  <c r="E52" i="2"/>
  <c r="Z54" i="3"/>
  <c r="P33" i="5"/>
  <c r="Z74" i="3"/>
  <c r="L74" i="3" s="1"/>
  <c r="N74" i="3" s="1" a="1"/>
  <c r="N74" i="3" s="1"/>
  <c r="P52" i="5"/>
  <c r="P50" i="5"/>
  <c r="P59" i="5"/>
  <c r="P29" i="5"/>
  <c r="Z32" i="3"/>
  <c r="P60" i="5"/>
  <c r="Z51" i="3"/>
  <c r="P17" i="5"/>
  <c r="P28" i="5"/>
  <c r="Z31" i="3"/>
  <c r="P45" i="5"/>
  <c r="Z66" i="3"/>
  <c r="L66" i="3" s="1"/>
  <c r="N66" i="3" s="1" a="1"/>
  <c r="N66" i="3" s="1"/>
  <c r="G13" i="7"/>
  <c r="N18" i="3" s="1"/>
  <c r="P67" i="5"/>
  <c r="Z49" i="3"/>
  <c r="P23" i="5"/>
  <c r="Z53" i="3"/>
  <c r="P68" i="5"/>
  <c r="Z77" i="3"/>
  <c r="Z72" i="3"/>
  <c r="L72" i="3" s="1"/>
  <c r="N72" i="3" s="1" a="1"/>
  <c r="N72" i="3" s="1"/>
  <c r="P48" i="5"/>
  <c r="P49" i="5"/>
  <c r="P76" i="5"/>
  <c r="P11" i="5"/>
  <c r="P25" i="5"/>
  <c r="P71" i="5"/>
  <c r="P58" i="5"/>
  <c r="P55" i="5"/>
  <c r="P64" i="5"/>
  <c r="P21" i="5"/>
  <c r="P78" i="5"/>
  <c r="P61" i="5"/>
  <c r="P46" i="5"/>
  <c r="P32" i="5"/>
  <c r="P75" i="5"/>
  <c r="P24" i="5"/>
  <c r="P69" i="5"/>
  <c r="Z73" i="3"/>
  <c r="L73" i="3" s="1"/>
  <c r="N73" i="3" s="1" a="1"/>
  <c r="N73" i="3" s="1"/>
  <c r="P66" i="5"/>
  <c r="P42" i="5"/>
  <c r="P72" i="5"/>
  <c r="P57" i="5"/>
  <c r="P65" i="5"/>
  <c r="Z65" i="3"/>
  <c r="P53" i="5"/>
  <c r="P63" i="5"/>
  <c r="P43" i="5"/>
  <c r="P80" i="5"/>
  <c r="P74" i="5"/>
  <c r="P77" i="5"/>
  <c r="P44" i="5"/>
  <c r="P73" i="5"/>
  <c r="P47" i="5"/>
  <c r="P62" i="5"/>
  <c r="Z78" i="3"/>
  <c r="L78" i="3" s="1"/>
  <c r="N78" i="3" s="1"/>
  <c r="P79" i="5"/>
  <c r="Z60" i="3"/>
  <c r="P54" i="5"/>
  <c r="P26" i="5"/>
  <c r="Z50" i="3"/>
  <c r="P27" i="5"/>
  <c r="Z30" i="3"/>
  <c r="P22" i="5"/>
  <c r="P81" i="5"/>
  <c r="P36" i="5"/>
  <c r="Z37" i="3"/>
  <c r="L77" i="3"/>
  <c r="N77" i="3" s="1" a="1"/>
  <c r="N77" i="3" s="1"/>
  <c r="F42" i="4"/>
  <c r="H42" i="4" s="1"/>
  <c r="I42" i="4" s="1"/>
  <c r="F41" i="4"/>
  <c r="H41" i="4" s="1"/>
  <c r="F39" i="4"/>
  <c r="H39" i="4" s="1"/>
  <c r="I39" i="4" s="1"/>
  <c r="F40" i="4"/>
  <c r="H40" i="4" s="1"/>
  <c r="I40" i="4" s="1"/>
  <c r="E51" i="2"/>
  <c r="E50" i="2"/>
  <c r="E48" i="2"/>
  <c r="E49" i="2"/>
  <c r="E47" i="2"/>
  <c r="S66" i="3"/>
  <c r="T66" i="3" s="1"/>
  <c r="M70" i="3"/>
  <c r="S67" i="3"/>
  <c r="T67" i="3" s="1"/>
  <c r="K69" i="3"/>
  <c r="U69" i="3" s="1"/>
  <c r="V69" i="3" s="1"/>
  <c r="M65" i="3"/>
  <c r="S68" i="3"/>
  <c r="T68" i="3" s="1"/>
  <c r="K68" i="3"/>
  <c r="U68" i="3" s="1"/>
  <c r="V68" i="3" s="1"/>
  <c r="E45" i="2"/>
  <c r="E46" i="2"/>
  <c r="K60" i="3"/>
  <c r="K34" i="3"/>
  <c r="K33" i="3"/>
  <c r="K59" i="3"/>
  <c r="K64" i="3"/>
  <c r="M61" i="3"/>
  <c r="K61" i="3"/>
  <c r="U61" i="3" s="1"/>
  <c r="V61" i="3" s="1"/>
  <c r="M34" i="3"/>
  <c r="M60" i="3"/>
  <c r="M64" i="3"/>
  <c r="M33" i="3"/>
  <c r="S61" i="3"/>
  <c r="T61" i="3" s="1"/>
  <c r="K63" i="3"/>
  <c r="U63" i="3" s="1"/>
  <c r="V63" i="3" s="1"/>
  <c r="S63" i="3"/>
  <c r="T63" i="3" s="1"/>
  <c r="S62" i="3"/>
  <c r="T62" i="3" s="1"/>
  <c r="K62" i="3"/>
  <c r="U62" i="3" s="1"/>
  <c r="V62" i="3" s="1"/>
  <c r="M63" i="3"/>
  <c r="M59" i="3"/>
  <c r="M62" i="3"/>
  <c r="M58" i="3"/>
  <c r="K58" i="3"/>
  <c r="U58" i="3" s="1"/>
  <c r="V58" i="3" s="1"/>
  <c r="K31" i="3"/>
  <c r="U21" i="3"/>
  <c r="V21" i="3" s="1"/>
  <c r="S21" i="3"/>
  <c r="T21" i="3" s="1"/>
  <c r="U26" i="3"/>
  <c r="V26" i="3" s="1"/>
  <c r="S26" i="3"/>
  <c r="T26" i="3" s="1"/>
  <c r="U23" i="3"/>
  <c r="V23" i="3" s="1"/>
  <c r="S23" i="3"/>
  <c r="T23" i="3" s="1"/>
  <c r="S22" i="3"/>
  <c r="T22" i="3" s="1"/>
  <c r="U22" i="3"/>
  <c r="V22" i="3" s="1"/>
  <c r="U28" i="3"/>
  <c r="V28" i="3" s="1"/>
  <c r="S28" i="3"/>
  <c r="T28" i="3" s="1"/>
  <c r="U29" i="3"/>
  <c r="V29" i="3" s="1"/>
  <c r="S29" i="3"/>
  <c r="T29" i="3" s="1"/>
  <c r="U24" i="3"/>
  <c r="V24" i="3" s="1"/>
  <c r="S24" i="3"/>
  <c r="T24" i="3" s="1"/>
  <c r="S27" i="3"/>
  <c r="T27" i="3" s="1"/>
  <c r="U27" i="3"/>
  <c r="V27" i="3" s="1"/>
  <c r="S35" i="3"/>
  <c r="T35" i="3" s="1"/>
  <c r="U35" i="3"/>
  <c r="V35" i="3" s="1"/>
  <c r="L23" i="3"/>
  <c r="N23" i="3" s="1" a="1"/>
  <c r="N23" i="3" s="1"/>
  <c r="K32" i="3"/>
  <c r="K50" i="3"/>
  <c r="K56" i="3"/>
  <c r="K53" i="3"/>
  <c r="K55" i="3"/>
  <c r="K54" i="3"/>
  <c r="K57" i="3"/>
  <c r="M55" i="3"/>
  <c r="M56" i="3"/>
  <c r="M57" i="3"/>
  <c r="F20" i="4"/>
  <c r="H20" i="4" s="1"/>
  <c r="F38" i="4"/>
  <c r="H38" i="4" s="1"/>
  <c r="I38" i="4" s="1"/>
  <c r="L29" i="3"/>
  <c r="N29" i="3" s="1" a="1"/>
  <c r="N29" i="3" s="1"/>
  <c r="M50" i="3"/>
  <c r="M54" i="3"/>
  <c r="M31" i="3"/>
  <c r="K51" i="3"/>
  <c r="M52" i="3"/>
  <c r="K52" i="3"/>
  <c r="M53" i="3"/>
  <c r="M32" i="3"/>
  <c r="M46" i="3"/>
  <c r="K46" i="3"/>
  <c r="M49" i="3"/>
  <c r="K49" i="3"/>
  <c r="M51" i="3"/>
  <c r="M30" i="3"/>
  <c r="K30" i="3"/>
  <c r="L35" i="3"/>
  <c r="N35" i="3" s="1" a="1"/>
  <c r="N35" i="3" s="1"/>
  <c r="F3" i="4"/>
  <c r="H3" i="4" s="1"/>
  <c r="I3" i="4" s="1"/>
  <c r="F37" i="4"/>
  <c r="H37" i="4" s="1"/>
  <c r="I37" i="4" s="1"/>
  <c r="K39" i="3"/>
  <c r="M39" i="3"/>
  <c r="E4" i="2" a="1"/>
  <c r="E4" i="2" s="1"/>
  <c r="K37" i="3"/>
  <c r="M37" i="3"/>
  <c r="L26" i="3"/>
  <c r="N26" i="3" s="1" a="1"/>
  <c r="N26" i="3" s="1"/>
  <c r="L25" i="3"/>
  <c r="N25" i="3" s="1" a="1"/>
  <c r="N25" i="3" s="1"/>
  <c r="L24" i="3"/>
  <c r="N24" i="3" s="1" a="1"/>
  <c r="N24" i="3" s="1"/>
  <c r="L22" i="3"/>
  <c r="N22" i="3" s="1" a="1"/>
  <c r="N22" i="3" s="1"/>
  <c r="L21" i="3"/>
  <c r="N21" i="3" s="1" a="1"/>
  <c r="N21" i="3" s="1"/>
  <c r="L19" i="3"/>
  <c r="N19" i="3" s="1" a="1"/>
  <c r="N19" i="3" s="1"/>
  <c r="F5" i="4"/>
  <c r="H5" i="4" s="1"/>
  <c r="F13" i="4"/>
  <c r="H13" i="4" s="1"/>
  <c r="I13" i="4" s="1"/>
  <c r="F17" i="4"/>
  <c r="H17" i="4" s="1"/>
  <c r="I17" i="4" s="1"/>
  <c r="G43" i="3" s="1"/>
  <c r="F22" i="4"/>
  <c r="H22" i="4" s="1"/>
  <c r="I22" i="4" s="1"/>
  <c r="F35" i="4"/>
  <c r="H35" i="4" s="1"/>
  <c r="I35" i="4" s="1"/>
  <c r="F4" i="4"/>
  <c r="H4" i="4" s="1"/>
  <c r="F8" i="4"/>
  <c r="H8" i="4" s="1"/>
  <c r="I8" i="4" s="1"/>
  <c r="G60" i="3" s="1"/>
  <c r="F12" i="4"/>
  <c r="H12" i="4" s="1"/>
  <c r="F16" i="4"/>
  <c r="H16" i="4" s="1"/>
  <c r="F21" i="4"/>
  <c r="H21" i="4" s="1"/>
  <c r="I21" i="4" s="1"/>
  <c r="F25" i="4"/>
  <c r="H25" i="4" s="1"/>
  <c r="I25" i="4" s="1"/>
  <c r="F29" i="4"/>
  <c r="H29" i="4" s="1"/>
  <c r="I29" i="4" s="1"/>
  <c r="F34" i="4"/>
  <c r="H34" i="4" s="1"/>
  <c r="I34" i="4" s="1"/>
  <c r="F9" i="4"/>
  <c r="H9" i="4" s="1"/>
  <c r="I9" i="4" s="1"/>
  <c r="F26" i="4"/>
  <c r="H26" i="4" s="1"/>
  <c r="I26" i="4" s="1"/>
  <c r="F30" i="4"/>
  <c r="H30" i="4" s="1"/>
  <c r="I30" i="4" s="1"/>
  <c r="F7" i="4"/>
  <c r="H7" i="4" s="1"/>
  <c r="F11" i="4"/>
  <c r="H11" i="4" s="1"/>
  <c r="I11" i="4" s="1"/>
  <c r="F15" i="4"/>
  <c r="H15" i="4" s="1"/>
  <c r="I15" i="4" s="1"/>
  <c r="F19" i="4"/>
  <c r="H19" i="4" s="1"/>
  <c r="F24" i="4"/>
  <c r="H24" i="4" s="1"/>
  <c r="I24" i="4" s="1"/>
  <c r="F28" i="4"/>
  <c r="H28" i="4" s="1"/>
  <c r="I28" i="4" s="1"/>
  <c r="F33" i="4"/>
  <c r="H33" i="4" s="1"/>
  <c r="I33" i="4" s="1"/>
  <c r="F6" i="4"/>
  <c r="H6" i="4" s="1"/>
  <c r="I6" i="4" s="1"/>
  <c r="F10" i="4"/>
  <c r="H10" i="4" s="1"/>
  <c r="F14" i="4"/>
  <c r="H14" i="4" s="1"/>
  <c r="F18" i="4"/>
  <c r="H18" i="4" s="1"/>
  <c r="F23" i="4"/>
  <c r="H23" i="4" s="1"/>
  <c r="I23" i="4" s="1"/>
  <c r="F27" i="4"/>
  <c r="H27" i="4" s="1"/>
  <c r="I27" i="4" s="1"/>
  <c r="F31" i="4"/>
  <c r="H31" i="4" s="1"/>
  <c r="I31" i="4" s="1"/>
  <c r="F32" i="4"/>
  <c r="H32" i="4" s="1"/>
  <c r="I32" i="4" s="1"/>
  <c r="F36" i="4"/>
  <c r="H36" i="4" s="1"/>
  <c r="I36" i="4" s="1"/>
  <c r="M78" i="5"/>
  <c r="M55" i="5"/>
  <c r="M47" i="5"/>
  <c r="R6" i="5"/>
  <c r="M63" i="5"/>
  <c r="M69" i="5"/>
  <c r="M80" i="5"/>
  <c r="M50" i="5"/>
  <c r="M62" i="5"/>
  <c r="R20" i="5"/>
  <c r="M74" i="5"/>
  <c r="M42" i="5"/>
  <c r="M54" i="5"/>
  <c r="M48" i="5"/>
  <c r="M9" i="5"/>
  <c r="R85" i="5"/>
  <c r="M61" i="5"/>
  <c r="N87" i="5"/>
  <c r="N6" i="5"/>
  <c r="M77" i="5"/>
  <c r="M46" i="5"/>
  <c r="M75" i="5"/>
  <c r="M71" i="5"/>
  <c r="R83" i="5"/>
  <c r="N4" i="5"/>
  <c r="M73" i="5"/>
  <c r="M64" i="5"/>
  <c r="M49" i="5"/>
  <c r="M53" i="5"/>
  <c r="M88" i="5"/>
  <c r="M6" i="5"/>
  <c r="Q87" i="5"/>
  <c r="Q20" i="5"/>
  <c r="M23" i="5"/>
  <c r="Q83" i="5"/>
  <c r="N7" i="5"/>
  <c r="Q84" i="5"/>
  <c r="M43" i="5"/>
  <c r="Q4" i="5"/>
  <c r="Q6" i="5"/>
  <c r="Q8" i="5"/>
  <c r="M58" i="5"/>
  <c r="R7" i="5"/>
  <c r="M24" i="5"/>
  <c r="M84" i="5"/>
  <c r="Q5" i="5"/>
  <c r="M57" i="5"/>
  <c r="N5" i="5"/>
  <c r="M66" i="5"/>
  <c r="M8" i="5"/>
  <c r="N8" i="5"/>
  <c r="R8" i="5"/>
  <c r="M45" i="5"/>
  <c r="M5" i="5"/>
  <c r="R87" i="5"/>
  <c r="M76" i="5"/>
  <c r="Q88" i="5"/>
  <c r="N85" i="5"/>
  <c r="M4" i="5"/>
  <c r="M59" i="5"/>
  <c r="M83" i="5"/>
  <c r="M79" i="5"/>
  <c r="M85" i="5"/>
  <c r="M20" i="5"/>
  <c r="M44" i="5"/>
  <c r="M7" i="5"/>
  <c r="Q85" i="5"/>
  <c r="R84" i="5"/>
  <c r="Q7" i="5"/>
  <c r="N83" i="5"/>
  <c r="Q9" i="5"/>
  <c r="M67" i="5"/>
  <c r="N86" i="5"/>
  <c r="R4" i="5"/>
  <c r="M72" i="5"/>
  <c r="N9" i="5"/>
  <c r="M86" i="5"/>
  <c r="M60" i="5"/>
  <c r="R86" i="5"/>
  <c r="R88" i="5"/>
  <c r="M68" i="5"/>
  <c r="R9" i="5"/>
  <c r="M87" i="5"/>
  <c r="M81" i="5"/>
  <c r="M65" i="5"/>
  <c r="N20" i="5"/>
  <c r="R5" i="5"/>
  <c r="Q86" i="5"/>
  <c r="N84" i="5"/>
  <c r="M52" i="5"/>
  <c r="I41" i="4" l="1"/>
  <c r="L41" i="4" s="1"/>
  <c r="K41" i="4"/>
  <c r="I20" i="4"/>
  <c r="K20" i="4"/>
  <c r="I4" i="4"/>
  <c r="L4" i="4" s="1"/>
  <c r="K4" i="4"/>
  <c r="I18" i="4"/>
  <c r="K18" i="4"/>
  <c r="I10" i="4"/>
  <c r="L10" i="4" s="1"/>
  <c r="K10" i="4"/>
  <c r="I7" i="4"/>
  <c r="K7" i="4"/>
  <c r="S81" i="3"/>
  <c r="T81" i="3" s="1"/>
  <c r="I16" i="4"/>
  <c r="K16" i="4"/>
  <c r="I14" i="4"/>
  <c r="L14" i="4" s="1"/>
  <c r="K14" i="4"/>
  <c r="I12" i="4"/>
  <c r="L12" i="4" s="1"/>
  <c r="K12" i="4"/>
  <c r="N81" i="3"/>
  <c r="K81" i="3" s="1"/>
  <c r="U81" i="3" s="1"/>
  <c r="V81" i="3" s="1"/>
  <c r="N80" i="3" a="1"/>
  <c r="L80" i="3"/>
  <c r="M80" i="3" s="1"/>
  <c r="I19" i="4"/>
  <c r="K19" i="4"/>
  <c r="M73" i="3"/>
  <c r="K73" i="3"/>
  <c r="U73" i="3" s="1"/>
  <c r="V73" i="3" s="1"/>
  <c r="M74" i="3"/>
  <c r="K74" i="3"/>
  <c r="U74" i="3" s="1"/>
  <c r="V74" i="3" s="1"/>
  <c r="M66" i="3"/>
  <c r="K66" i="3"/>
  <c r="K77" i="3"/>
  <c r="U77" i="3" s="1"/>
  <c r="V77" i="3" s="1"/>
  <c r="K78" i="3"/>
  <c r="U78" i="3" s="1"/>
  <c r="V78" i="3" s="1"/>
  <c r="S80" i="3"/>
  <c r="T80" i="3" s="1"/>
  <c r="S74" i="3"/>
  <c r="T74" i="3" s="1"/>
  <c r="S79" i="3"/>
  <c r="T79" i="3" s="1"/>
  <c r="M72" i="3"/>
  <c r="H13" i="7"/>
  <c r="C7" i="3" s="1"/>
  <c r="S78" i="3"/>
  <c r="T78" i="3" s="1"/>
  <c r="M78" i="3"/>
  <c r="S73" i="3"/>
  <c r="T73" i="3" s="1"/>
  <c r="S77" i="3"/>
  <c r="T77" i="3" s="1"/>
  <c r="M77" i="3"/>
  <c r="U66" i="3"/>
  <c r="V66" i="3" s="1"/>
  <c r="U64" i="3"/>
  <c r="V64" i="3" s="1"/>
  <c r="I5" i="4"/>
  <c r="G80" i="3" s="1"/>
  <c r="K5" i="4"/>
  <c r="G66" i="3"/>
  <c r="G67" i="3"/>
  <c r="G64" i="3"/>
  <c r="G65" i="3"/>
  <c r="G48" i="3"/>
  <c r="G73" i="3"/>
  <c r="G70" i="3"/>
  <c r="G69" i="3"/>
  <c r="G59" i="3"/>
  <c r="G42" i="3"/>
  <c r="G41" i="3"/>
  <c r="G22" i="3"/>
  <c r="G21" i="3"/>
  <c r="G23" i="3"/>
  <c r="G35" i="3"/>
  <c r="G36" i="3"/>
  <c r="G29" i="3"/>
  <c r="G28" i="3"/>
  <c r="G27" i="3"/>
  <c r="G24" i="3"/>
  <c r="G39" i="3"/>
  <c r="K21" i="3"/>
  <c r="K23" i="3"/>
  <c r="M23" i="3"/>
  <c r="M21" i="3"/>
  <c r="S9" i="5"/>
  <c r="S4" i="5"/>
  <c r="S83" i="5"/>
  <c r="S88" i="5"/>
  <c r="S86" i="5"/>
  <c r="S5" i="5"/>
  <c r="S85" i="5"/>
  <c r="S87" i="5"/>
  <c r="S7" i="5"/>
  <c r="S6" i="5"/>
  <c r="S8" i="5"/>
  <c r="S84" i="5"/>
  <c r="S20" i="5"/>
  <c r="C5" i="2"/>
  <c r="E5" i="2" s="1" a="1"/>
  <c r="E5" i="2" s="1"/>
  <c r="B5" i="2"/>
  <c r="O7" i="5"/>
  <c r="O4" i="5"/>
  <c r="O83" i="5"/>
  <c r="O5" i="5"/>
  <c r="O86" i="5"/>
  <c r="O88" i="5"/>
  <c r="O6" i="5"/>
  <c r="O84" i="5"/>
  <c r="O87" i="5"/>
  <c r="O9" i="5"/>
  <c r="O20" i="5"/>
  <c r="O85" i="5"/>
  <c r="O8" i="5"/>
  <c r="G72" i="3" l="1"/>
  <c r="G71" i="3"/>
  <c r="L19" i="4"/>
  <c r="G81" i="3"/>
  <c r="G78" i="3"/>
  <c r="L18" i="4"/>
  <c r="G44" i="3"/>
  <c r="G75" i="3"/>
  <c r="L7" i="4"/>
  <c r="G74" i="3"/>
  <c r="L20" i="4"/>
  <c r="G47" i="3"/>
  <c r="G79" i="3"/>
  <c r="L16" i="4"/>
  <c r="N80" i="3"/>
  <c r="K80" i="3" s="1"/>
  <c r="U80" i="3" s="1"/>
  <c r="V80" i="3" s="1"/>
  <c r="K79" i="3"/>
  <c r="U79" i="3" s="1"/>
  <c r="V79" i="3" s="1"/>
  <c r="M79" i="3"/>
  <c r="K72" i="3"/>
  <c r="U72" i="3" s="1"/>
  <c r="V72" i="3" s="1"/>
  <c r="S72" i="3"/>
  <c r="T72" i="3" s="1"/>
  <c r="G26" i="3"/>
  <c r="L5" i="4"/>
  <c r="B6" i="2"/>
  <c r="T5" i="2"/>
  <c r="Z48" i="3"/>
  <c r="Z47" i="3"/>
  <c r="Z39" i="3"/>
  <c r="Z46" i="3"/>
  <c r="Z36" i="3"/>
  <c r="Z29" i="3"/>
  <c r="Z44" i="3"/>
  <c r="Z45" i="3"/>
  <c r="Z43" i="3"/>
  <c r="Z42" i="3"/>
  <c r="Z28" i="3"/>
  <c r="L28" i="3" s="1"/>
  <c r="N28" i="3" s="1" a="1"/>
  <c r="N28" i="3" s="1"/>
  <c r="Z41" i="3"/>
  <c r="Z40" i="3"/>
  <c r="L40" i="3" s="1"/>
  <c r="N40" i="3" s="1" a="1"/>
  <c r="N40" i="3" s="1"/>
  <c r="Z25" i="3"/>
  <c r="Z19" i="3"/>
  <c r="Z22" i="3"/>
  <c r="Z20" i="3"/>
  <c r="Z38" i="3"/>
  <c r="Z26" i="3"/>
  <c r="Z35" i="3"/>
  <c r="M36" i="3"/>
  <c r="K36" i="3"/>
  <c r="L27" i="3"/>
  <c r="N27" i="3" s="1" a="1"/>
  <c r="N27" i="3" s="1"/>
  <c r="L20" i="3"/>
  <c r="N20" i="3" s="1" a="1"/>
  <c r="N20" i="3" s="1"/>
  <c r="P83" i="5"/>
  <c r="P87" i="5"/>
  <c r="P88" i="5"/>
  <c r="P6" i="5"/>
  <c r="P7" i="5"/>
  <c r="P85" i="5"/>
  <c r="P4" i="5"/>
  <c r="P9" i="5"/>
  <c r="P20" i="5"/>
  <c r="P8" i="5"/>
  <c r="P5" i="5"/>
  <c r="P86" i="5"/>
  <c r="P84" i="5"/>
  <c r="M25" i="3"/>
  <c r="K25" i="3"/>
  <c r="M26" i="3"/>
  <c r="M24" i="3"/>
  <c r="K24" i="3"/>
  <c r="K26" i="3"/>
  <c r="M22" i="3"/>
  <c r="K22" i="3"/>
  <c r="C6" i="2"/>
  <c r="E6" i="2" s="1" a="1"/>
  <c r="E6" i="2" s="1"/>
  <c r="D59" i="2" l="1" a="1"/>
  <c r="D59" i="2" s="1"/>
  <c r="F59" i="2" s="1"/>
  <c r="D57" i="2" a="1"/>
  <c r="D57" i="2" s="1"/>
  <c r="F57" i="2" s="1"/>
  <c r="D58" i="2" a="1"/>
  <c r="D58" i="2" s="1"/>
  <c r="F58" i="2" s="1"/>
  <c r="B7" i="2"/>
  <c r="T6" i="2"/>
  <c r="M48" i="3"/>
  <c r="K48" i="3"/>
  <c r="M40" i="3"/>
  <c r="M47" i="3"/>
  <c r="K47" i="3"/>
  <c r="M44" i="3"/>
  <c r="M42" i="3"/>
  <c r="M45" i="3"/>
  <c r="M43" i="3"/>
  <c r="K43" i="3"/>
  <c r="M41" i="3"/>
  <c r="M35" i="3"/>
  <c r="K35" i="3"/>
  <c r="M38" i="3"/>
  <c r="K38" i="3"/>
  <c r="M28" i="3"/>
  <c r="M19" i="3"/>
  <c r="K19" i="3"/>
  <c r="C7" i="2"/>
  <c r="E7" i="2" s="1" a="1"/>
  <c r="E7" i="2" s="1"/>
  <c r="B8" i="2" l="1"/>
  <c r="T7" i="2"/>
  <c r="K40" i="3"/>
  <c r="K44" i="3"/>
  <c r="K41" i="3"/>
  <c r="K29" i="3"/>
  <c r="M29" i="3"/>
  <c r="K42" i="3"/>
  <c r="K45" i="3"/>
  <c r="K28" i="3"/>
  <c r="M27" i="3"/>
  <c r="K27" i="3"/>
  <c r="C8" i="2"/>
  <c r="E8" i="2" s="1" a="1"/>
  <c r="E8" i="2" s="1"/>
  <c r="B9" i="2" l="1"/>
  <c r="T8" i="2"/>
  <c r="C9" i="2"/>
  <c r="E9" i="2" s="1" a="1"/>
  <c r="E9" i="2" s="1"/>
  <c r="B10" i="2" l="1"/>
  <c r="T9" i="2"/>
  <c r="C10" i="2"/>
  <c r="E10" i="2" s="1" a="1"/>
  <c r="E10" i="2" s="1"/>
  <c r="B11" i="2" l="1"/>
  <c r="T10" i="2"/>
  <c r="C11" i="2"/>
  <c r="E11" i="2" s="1" a="1"/>
  <c r="E11" i="2" s="1"/>
  <c r="B12" i="2" l="1"/>
  <c r="T11" i="2"/>
  <c r="C12" i="2"/>
  <c r="E12" i="2" s="1" a="1"/>
  <c r="E12" i="2" s="1"/>
  <c r="B13" i="2" l="1"/>
  <c r="T12" i="2"/>
  <c r="C13" i="2"/>
  <c r="E13" i="2" s="1" a="1"/>
  <c r="E13" i="2" s="1"/>
  <c r="B14" i="2" l="1"/>
  <c r="T13" i="2"/>
  <c r="C14" i="2"/>
  <c r="E14" i="2" s="1" a="1"/>
  <c r="E14" i="2" s="1"/>
  <c r="B15" i="2" l="1"/>
  <c r="T14" i="2"/>
  <c r="C15" i="2"/>
  <c r="E15" i="2" s="1" a="1"/>
  <c r="E15" i="2" s="1"/>
  <c r="B16" i="2" l="1"/>
  <c r="T15" i="2"/>
  <c r="C16" i="2"/>
  <c r="E16" i="2" s="1" a="1"/>
  <c r="E16" i="2" s="1"/>
  <c r="B17" i="2" l="1"/>
  <c r="T16" i="2"/>
  <c r="C17" i="2"/>
  <c r="E17" i="2" s="1" a="1"/>
  <c r="E17" i="2" s="1"/>
  <c r="B18" i="2" l="1"/>
  <c r="T17" i="2"/>
  <c r="C18" i="2"/>
  <c r="E18" i="2" s="1" a="1"/>
  <c r="E18" i="2" s="1"/>
  <c r="B19" i="2" l="1"/>
  <c r="T18" i="2"/>
  <c r="C19" i="2"/>
  <c r="E19" i="2" s="1" a="1"/>
  <c r="E19" i="2" s="1"/>
  <c r="B20" i="2" l="1"/>
  <c r="T19" i="2"/>
  <c r="C20" i="2"/>
  <c r="E20" i="2" s="1" a="1"/>
  <c r="E20" i="2" s="1"/>
  <c r="B21" i="2" l="1"/>
  <c r="T20" i="2"/>
  <c r="C21" i="2"/>
  <c r="E21" i="2" s="1" a="1"/>
  <c r="E21" i="2" s="1"/>
  <c r="B22" i="2" l="1"/>
  <c r="T21" i="2"/>
  <c r="C22" i="2"/>
  <c r="E22" i="2" s="1" a="1"/>
  <c r="E22" i="2" s="1"/>
  <c r="B23" i="2" l="1"/>
  <c r="T22" i="2"/>
  <c r="C23" i="2"/>
  <c r="E23" i="2" s="1" a="1"/>
  <c r="E23" i="2" s="1"/>
  <c r="B24" i="2" l="1"/>
  <c r="T23" i="2"/>
  <c r="C24" i="2"/>
  <c r="E24" i="2" s="1" a="1"/>
  <c r="E24" i="2" s="1"/>
  <c r="B25" i="2" l="1"/>
  <c r="T24" i="2"/>
  <c r="C25" i="2"/>
  <c r="E25" i="2" s="1" a="1"/>
  <c r="E25" i="2" s="1"/>
  <c r="B26" i="2" l="1"/>
  <c r="T25" i="2"/>
  <c r="C26" i="2"/>
  <c r="E26" i="2" s="1" a="1"/>
  <c r="E26" i="2" s="1"/>
  <c r="B27" i="2" l="1"/>
  <c r="T26" i="2"/>
  <c r="C27" i="2"/>
  <c r="E27" i="2" s="1" a="1"/>
  <c r="E27" i="2" s="1"/>
  <c r="B28" i="2" l="1"/>
  <c r="T27" i="2"/>
  <c r="C28" i="2"/>
  <c r="E28" i="2" s="1" a="1"/>
  <c r="E28" i="2" s="1"/>
  <c r="B29" i="2" l="1"/>
  <c r="T28" i="2"/>
  <c r="C29" i="2"/>
  <c r="E29" i="2" s="1" a="1"/>
  <c r="E29" i="2" s="1"/>
  <c r="B30" i="2" l="1"/>
  <c r="T29" i="2"/>
  <c r="C30" i="2"/>
  <c r="E30" i="2" s="1" a="1"/>
  <c r="E30" i="2" s="1"/>
  <c r="B31" i="2" l="1"/>
  <c r="T30" i="2"/>
  <c r="C31" i="2"/>
  <c r="E31" i="2" s="1" a="1"/>
  <c r="E31" i="2" s="1"/>
  <c r="B32" i="2" l="1"/>
  <c r="T31" i="2"/>
  <c r="C32" i="2"/>
  <c r="E32" i="2" s="1" a="1"/>
  <c r="E32" i="2" s="1"/>
  <c r="B33" i="2" l="1"/>
  <c r="T32" i="2"/>
  <c r="C33" i="2"/>
  <c r="E33" i="2" s="1" a="1"/>
  <c r="E33" i="2" s="1"/>
  <c r="B34" i="2" l="1"/>
  <c r="T33" i="2"/>
  <c r="C34" i="2"/>
  <c r="E34" i="2" s="1" a="1"/>
  <c r="E34" i="2" s="1"/>
  <c r="B35" i="2" l="1"/>
  <c r="T34" i="2"/>
  <c r="C35" i="2"/>
  <c r="E35" i="2" s="1" a="1"/>
  <c r="E35" i="2" s="1"/>
  <c r="B36" i="2" l="1"/>
  <c r="T35" i="2"/>
  <c r="C36" i="2"/>
  <c r="E36" i="2" s="1" a="1"/>
  <c r="E36" i="2" s="1"/>
  <c r="B37" i="2" l="1"/>
  <c r="T36" i="2"/>
  <c r="C37" i="2"/>
  <c r="E37" i="2" s="1" a="1"/>
  <c r="E37" i="2" s="1"/>
  <c r="B38" i="2" l="1"/>
  <c r="T37" i="2"/>
  <c r="C38" i="2"/>
  <c r="E38" i="2" s="1" a="1"/>
  <c r="E38" i="2" s="1"/>
  <c r="B39" i="2" l="1"/>
  <c r="T38" i="2"/>
  <c r="C39" i="2"/>
  <c r="E39" i="2" s="1" a="1"/>
  <c r="E39" i="2" s="1"/>
  <c r="B40" i="2" l="1"/>
  <c r="T39" i="2"/>
  <c r="C40" i="2"/>
  <c r="E40" i="2" s="1" a="1"/>
  <c r="E40" i="2" s="1"/>
  <c r="B41" i="2" l="1"/>
  <c r="T40" i="2"/>
  <c r="C41" i="2"/>
  <c r="E41" i="2" s="1" a="1"/>
  <c r="E41" i="2" s="1"/>
  <c r="B42" i="2" l="1"/>
  <c r="T41" i="2"/>
  <c r="C42" i="2"/>
  <c r="E42" i="2" s="1" a="1"/>
  <c r="E42" i="2" s="1"/>
  <c r="B43" i="2" l="1"/>
  <c r="T42" i="2"/>
  <c r="C43" i="2"/>
  <c r="E43" i="2" s="1" a="1"/>
  <c r="E43" i="2" s="1"/>
  <c r="B44" i="2" l="1"/>
  <c r="T43" i="2"/>
  <c r="C44" i="2"/>
  <c r="E44" i="2" s="1" a="1"/>
  <c r="E44" i="2" s="1"/>
  <c r="B45" i="2" l="1"/>
  <c r="T44" i="2"/>
  <c r="C45" i="2"/>
  <c r="B46" i="2" l="1"/>
  <c r="T45" i="2"/>
  <c r="C46" i="2"/>
  <c r="B47" i="2" l="1"/>
  <c r="T46" i="2"/>
  <c r="C47" i="2"/>
  <c r="B48" i="2" l="1"/>
  <c r="T47" i="2"/>
  <c r="C48" i="2"/>
  <c r="B49" i="2" l="1"/>
  <c r="T48" i="2"/>
  <c r="C49" i="2"/>
  <c r="B50" i="2" l="1"/>
  <c r="T49" i="2"/>
  <c r="C50" i="2"/>
  <c r="B51" i="2" l="1"/>
  <c r="T50" i="2"/>
  <c r="C51" i="2"/>
  <c r="B52" i="2" l="1"/>
  <c r="T51" i="2"/>
  <c r="C52" i="2"/>
  <c r="B53" i="2" l="1"/>
  <c r="T52" i="2"/>
  <c r="C53" i="2"/>
  <c r="B54" i="2" l="1"/>
  <c r="T53" i="2"/>
  <c r="C54" i="2"/>
  <c r="B55" i="2" l="1"/>
  <c r="T55" i="2" s="1"/>
  <c r="T54" i="2"/>
  <c r="C55" i="2"/>
  <c r="D43" i="2" l="1" a="1"/>
  <c r="D43" i="2" s="1"/>
  <c r="F43" i="2" s="1"/>
  <c r="D56" i="2" a="1"/>
  <c r="D56" i="2" s="1"/>
  <c r="F56" i="2" s="1"/>
  <c r="D53" i="2" a="1"/>
  <c r="D53" i="2" s="1"/>
  <c r="F53" i="2" s="1"/>
  <c r="D55" i="2" a="1"/>
  <c r="D55" i="2" s="1"/>
  <c r="F55" i="2" s="1"/>
  <c r="D54" i="2" a="1"/>
  <c r="D54" i="2" s="1"/>
  <c r="F54" i="2" s="1"/>
  <c r="D52" i="2" a="1"/>
  <c r="D52" i="2" s="1"/>
  <c r="F52" i="2" s="1"/>
  <c r="D50" i="2" a="1"/>
  <c r="D50" i="2" s="1"/>
  <c r="F50" i="2" s="1"/>
  <c r="D51" i="2" a="1"/>
  <c r="D51" i="2" s="1"/>
  <c r="F51" i="2" s="1"/>
  <c r="D47" i="2" a="1"/>
  <c r="D47" i="2" s="1"/>
  <c r="F47" i="2" s="1"/>
  <c r="D48" i="2" a="1"/>
  <c r="D48" i="2" s="1"/>
  <c r="F48" i="2" s="1"/>
  <c r="D49" i="2" a="1"/>
  <c r="D49" i="2" s="1"/>
  <c r="F49" i="2" s="1"/>
  <c r="D44" i="2" a="1"/>
  <c r="D44" i="2" s="1"/>
  <c r="F44" i="2" s="1"/>
  <c r="D46" i="2" a="1"/>
  <c r="D46" i="2" s="1"/>
  <c r="F46" i="2" s="1"/>
  <c r="D45" i="2" a="1"/>
  <c r="D45" i="2" s="1"/>
  <c r="F45" i="2" s="1"/>
  <c r="D42" i="2" a="1"/>
  <c r="D42" i="2" s="1"/>
  <c r="F42" i="2" s="1"/>
  <c r="D40" i="2" a="1"/>
  <c r="D40" i="2" s="1"/>
  <c r="F40" i="2" s="1"/>
  <c r="D41" i="2" a="1"/>
  <c r="D41" i="2" s="1"/>
  <c r="F41" i="2" s="1"/>
  <c r="D38" i="2" a="1"/>
  <c r="D38" i="2" s="1"/>
  <c r="F38" i="2" s="1"/>
  <c r="D39" i="2" a="1"/>
  <c r="D39" i="2" s="1"/>
  <c r="F39" i="2" s="1"/>
  <c r="D35" i="2" a="1"/>
  <c r="D35" i="2" s="1"/>
  <c r="F35" i="2" s="1"/>
  <c r="D37" i="2" a="1"/>
  <c r="D37" i="2" s="1"/>
  <c r="F37" i="2" s="1"/>
  <c r="D36" i="2" a="1"/>
  <c r="D36" i="2" s="1"/>
  <c r="F36" i="2" s="1"/>
  <c r="D31" i="2" a="1"/>
  <c r="D31" i="2" s="1"/>
  <c r="F31" i="2" s="1"/>
  <c r="D34" i="2" a="1"/>
  <c r="D34" i="2" s="1"/>
  <c r="F34" i="2" s="1"/>
  <c r="D33" i="2" a="1"/>
  <c r="D33" i="2" s="1"/>
  <c r="F33" i="2" s="1"/>
  <c r="D32" i="2" a="1"/>
  <c r="D32" i="2" s="1"/>
  <c r="F32" i="2" s="1"/>
  <c r="D27" i="2" a="1"/>
  <c r="D27" i="2" s="1"/>
  <c r="F27" i="2" s="1"/>
  <c r="D29" i="2" a="1"/>
  <c r="D29" i="2" s="1"/>
  <c r="F29" i="2" s="1"/>
  <c r="D28" i="2" a="1"/>
  <c r="D28" i="2" s="1"/>
  <c r="F28" i="2" s="1"/>
  <c r="D30" i="2" a="1"/>
  <c r="D30" i="2" s="1"/>
  <c r="F30" i="2" s="1"/>
  <c r="D24" i="2" a="1"/>
  <c r="D24" i="2" s="1"/>
  <c r="F24" i="2" s="1"/>
  <c r="D26" i="2" a="1"/>
  <c r="D26" i="2" s="1"/>
  <c r="F26" i="2" s="1"/>
  <c r="D25" i="2" a="1"/>
  <c r="D25" i="2" s="1"/>
  <c r="F25" i="2" s="1"/>
  <c r="D22" i="2" a="1"/>
  <c r="D22" i="2" s="1"/>
  <c r="F22" i="2" s="1"/>
  <c r="D23" i="2" a="1"/>
  <c r="D23" i="2" s="1"/>
  <c r="F23" i="2" s="1"/>
  <c r="D20" i="2" a="1"/>
  <c r="D20" i="2" s="1"/>
  <c r="F20" i="2" s="1"/>
  <c r="D21" i="2" a="1"/>
  <c r="D21" i="2" s="1"/>
  <c r="F21" i="2" s="1"/>
  <c r="D18" i="2" a="1"/>
  <c r="D18" i="2" s="1"/>
  <c r="F18" i="2" s="1"/>
  <c r="D19" i="2" a="1"/>
  <c r="D19" i="2" s="1"/>
  <c r="F19" i="2" s="1"/>
  <c r="C4" i="3"/>
  <c r="I17" i="9" s="1"/>
  <c r="D17" i="2" a="1"/>
  <c r="D17" i="2" s="1"/>
  <c r="F17" i="2" s="1"/>
  <c r="D16" i="2" a="1"/>
  <c r="D16" i="2" s="1"/>
  <c r="F16" i="2" s="1"/>
  <c r="D13" i="2" a="1"/>
  <c r="D11" i="2" a="1"/>
  <c r="D11" i="2" s="1"/>
  <c r="D9" i="2" a="1"/>
  <c r="D9" i="2" s="1"/>
  <c r="D12" i="2" a="1"/>
  <c r="D12" i="2" s="1"/>
  <c r="D7" i="2" a="1"/>
  <c r="D7" i="2" s="1"/>
  <c r="D8" i="2" a="1"/>
  <c r="D8" i="2" s="1"/>
  <c r="D10" i="2" a="1"/>
  <c r="D10" i="2" s="1"/>
  <c r="D4" i="2" a="1"/>
  <c r="D4" i="2" s="1"/>
  <c r="H4" i="2" s="1"/>
  <c r="K4" i="2" s="1"/>
  <c r="L4" i="2" s="1"/>
  <c r="D6" i="2" a="1"/>
  <c r="D6" i="2" s="1"/>
  <c r="D5" i="2" a="1"/>
  <c r="D5" i="2" s="1"/>
  <c r="D14" i="2" a="1"/>
  <c r="D14" i="2" s="1"/>
  <c r="F14" i="2" s="1"/>
  <c r="D15" i="2" a="1"/>
  <c r="D15" i="2" s="1"/>
  <c r="F15" i="2" s="1"/>
  <c r="D13" i="2"/>
  <c r="F13" i="2" s="1"/>
  <c r="M20" i="3"/>
  <c r="G58" i="2" l="1" a="1"/>
  <c r="G58" i="2" s="1"/>
  <c r="G59" i="2" a="1"/>
  <c r="G59" i="2" s="1"/>
  <c r="G56" i="2" a="1"/>
  <c r="G56" i="2" s="1"/>
  <c r="G57" i="2" a="1"/>
  <c r="G57" i="2" s="1"/>
  <c r="G52" i="2" a="1"/>
  <c r="G52" i="2" s="1"/>
  <c r="G53" i="2" a="1"/>
  <c r="G53" i="2" s="1"/>
  <c r="G55" i="2" a="1"/>
  <c r="G55" i="2" s="1"/>
  <c r="G54" i="2" a="1"/>
  <c r="G54" i="2" s="1"/>
  <c r="G50" i="2" a="1"/>
  <c r="G50" i="2" s="1"/>
  <c r="G51" i="2" a="1"/>
  <c r="G51" i="2" s="1"/>
  <c r="G48" i="2" a="1"/>
  <c r="G48" i="2" s="1"/>
  <c r="G49" i="2" a="1"/>
  <c r="G49" i="2" s="1"/>
  <c r="G47" i="2" a="1"/>
  <c r="G47" i="2" s="1"/>
  <c r="G44" i="2" a="1"/>
  <c r="G44" i="2" s="1"/>
  <c r="G45" i="2" a="1"/>
  <c r="G45" i="2" s="1"/>
  <c r="G46" i="2" a="1"/>
  <c r="G46" i="2" s="1"/>
  <c r="G42" i="2" a="1"/>
  <c r="G42" i="2" s="1"/>
  <c r="G43" i="2" a="1"/>
  <c r="G43" i="2" s="1"/>
  <c r="G40" i="2" a="1"/>
  <c r="G40" i="2" s="1"/>
  <c r="G41" i="2" a="1"/>
  <c r="G41" i="2" s="1"/>
  <c r="J13" i="9"/>
  <c r="E14" i="9" s="1"/>
  <c r="G38" i="2" a="1"/>
  <c r="G38" i="2" s="1"/>
  <c r="G39" i="2" a="1"/>
  <c r="G39" i="2" s="1"/>
  <c r="G37" i="2" a="1"/>
  <c r="G37" i="2" s="1"/>
  <c r="G35" i="2" a="1"/>
  <c r="G35" i="2" s="1"/>
  <c r="G36" i="2" a="1"/>
  <c r="G36" i="2" s="1"/>
  <c r="G9" i="2" a="1"/>
  <c r="G9" i="2" s="1"/>
  <c r="G34" i="2" a="1"/>
  <c r="G34" i="2" s="1"/>
  <c r="G26" i="2" a="1"/>
  <c r="G26" i="2" s="1"/>
  <c r="G18" i="2" a="1"/>
  <c r="G18" i="2" s="1"/>
  <c r="G10" i="2" a="1"/>
  <c r="G10" i="2" s="1"/>
  <c r="G27" i="2" a="1"/>
  <c r="G27" i="2" s="1"/>
  <c r="G19" i="2" a="1"/>
  <c r="G19" i="2" s="1"/>
  <c r="G11" i="2" a="1"/>
  <c r="G11" i="2" s="1"/>
  <c r="G32" i="2" a="1"/>
  <c r="G32" i="2" s="1"/>
  <c r="G24" i="2" a="1"/>
  <c r="G24" i="2" s="1"/>
  <c r="G16" i="2" a="1"/>
  <c r="G16" i="2" s="1"/>
  <c r="G33" i="2" a="1"/>
  <c r="G33" i="2" s="1"/>
  <c r="G25" i="2" a="1"/>
  <c r="G25" i="2" s="1"/>
  <c r="G17" i="2" a="1"/>
  <c r="G17" i="2" s="1"/>
  <c r="G30" i="2" a="1"/>
  <c r="G30" i="2" s="1"/>
  <c r="G22" i="2" a="1"/>
  <c r="G22" i="2" s="1"/>
  <c r="G14" i="2" a="1"/>
  <c r="G14" i="2" s="1"/>
  <c r="G31" i="2" a="1"/>
  <c r="G31" i="2" s="1"/>
  <c r="G23" i="2" a="1"/>
  <c r="G23" i="2" s="1"/>
  <c r="G15" i="2" a="1"/>
  <c r="G15" i="2" s="1"/>
  <c r="G28" i="2" a="1"/>
  <c r="G28" i="2" s="1"/>
  <c r="G20" i="2" a="1"/>
  <c r="G20" i="2" s="1"/>
  <c r="G12" i="2" a="1"/>
  <c r="G12" i="2" s="1"/>
  <c r="G29" i="2" a="1"/>
  <c r="G29" i="2" s="1"/>
  <c r="G21" i="2" a="1"/>
  <c r="G21" i="2" s="1"/>
  <c r="G13" i="2" a="1"/>
  <c r="G13" i="2" s="1"/>
  <c r="G7" i="2" a="1"/>
  <c r="G7" i="2" s="1"/>
  <c r="G8" i="2" a="1"/>
  <c r="G8" i="2" s="1"/>
  <c r="G5" i="2" a="1"/>
  <c r="G5" i="2" s="1"/>
  <c r="G6" i="2" a="1"/>
  <c r="G6" i="2" s="1"/>
  <c r="C9" i="3" a="1"/>
  <c r="C9" i="3" s="1"/>
  <c r="G4" i="2" a="1"/>
  <c r="G4" i="2" s="1"/>
  <c r="M4" i="2" s="1"/>
  <c r="C8" i="3"/>
  <c r="C10" i="3" a="1"/>
  <c r="C10" i="3" s="1"/>
  <c r="C11" i="3" a="1"/>
  <c r="C11" i="3" s="1"/>
  <c r="F11" i="2"/>
  <c r="F12" i="2"/>
  <c r="K20" i="3"/>
  <c r="Q13" i="9" l="1"/>
  <c r="L13" i="9"/>
  <c r="P4" i="2"/>
  <c r="Q4" i="2" s="1"/>
  <c r="O4" i="2"/>
  <c r="M5" i="2" s="1"/>
  <c r="C13" i="3" a="1"/>
  <c r="C13" i="3" s="1"/>
  <c r="F10" i="2"/>
  <c r="J4" i="2"/>
  <c r="N13" i="9" l="1"/>
  <c r="M13" i="9"/>
  <c r="O5" i="2"/>
  <c r="M6" i="2" s="1"/>
  <c r="P5" i="2"/>
  <c r="Q5" i="2" s="1"/>
  <c r="H5" i="2"/>
  <c r="K5" i="2" s="1"/>
  <c r="L5" i="2" s="1"/>
  <c r="F7" i="2"/>
  <c r="F5" i="2"/>
  <c r="F9" i="2"/>
  <c r="F8" i="2"/>
  <c r="F6" i="2"/>
  <c r="O13" i="9" l="1"/>
  <c r="P6" i="2"/>
  <c r="Q6" i="2" s="1"/>
  <c r="O6" i="2"/>
  <c r="M7" i="2" s="1"/>
  <c r="J5" i="2"/>
  <c r="H6" i="2" s="1"/>
  <c r="F4" i="2"/>
  <c r="P7" i="2" l="1"/>
  <c r="Q7" i="2" s="1"/>
  <c r="O7" i="2"/>
  <c r="M8" i="2" s="1"/>
  <c r="K6" i="2"/>
  <c r="L6" i="2" s="1"/>
  <c r="J6" i="2"/>
  <c r="P8" i="2" l="1"/>
  <c r="Q8" i="2" s="1"/>
  <c r="O8" i="2"/>
  <c r="M9" i="2" s="1"/>
  <c r="H7" i="2"/>
  <c r="K7" i="2" s="1"/>
  <c r="L7" i="2" s="1"/>
  <c r="P9" i="2" l="1"/>
  <c r="Q9" i="2" s="1"/>
  <c r="O9" i="2"/>
  <c r="M10" i="2" s="1"/>
  <c r="J7" i="2"/>
  <c r="H8" i="2" s="1"/>
  <c r="J8" i="2" s="1"/>
  <c r="P10" i="2" l="1"/>
  <c r="Q10" i="2" s="1"/>
  <c r="O10" i="2"/>
  <c r="M11" i="2" s="1"/>
  <c r="H9" i="2"/>
  <c r="K9" i="2" s="1"/>
  <c r="K8" i="2"/>
  <c r="L8" i="2" s="1"/>
  <c r="P11" i="2" l="1"/>
  <c r="Q11" i="2" s="1"/>
  <c r="O11" i="2"/>
  <c r="M12" i="2" s="1"/>
  <c r="L9" i="2"/>
  <c r="J9" i="2"/>
  <c r="P12" i="2" l="1"/>
  <c r="Q12" i="2" s="1"/>
  <c r="O12" i="2"/>
  <c r="M13" i="2" s="1"/>
  <c r="H10" i="2"/>
  <c r="J10" i="2" s="1"/>
  <c r="P13" i="2" l="1"/>
  <c r="Q13" i="2" s="1"/>
  <c r="O13" i="2"/>
  <c r="M14" i="2" s="1"/>
  <c r="K10" i="2"/>
  <c r="L10" i="2" s="1"/>
  <c r="H11" i="2"/>
  <c r="P14" i="2" l="1"/>
  <c r="Q14" i="2" s="1"/>
  <c r="O14" i="2"/>
  <c r="M15" i="2" s="1"/>
  <c r="K11" i="2"/>
  <c r="L11" i="2" s="1"/>
  <c r="J11" i="2"/>
  <c r="O15" i="2" l="1"/>
  <c r="M16" i="2" s="1"/>
  <c r="P15" i="2"/>
  <c r="Q15" i="2" s="1"/>
  <c r="H12" i="2"/>
  <c r="O16" i="2" l="1"/>
  <c r="M17" i="2" s="1"/>
  <c r="P16" i="2"/>
  <c r="Q16" i="2" s="1"/>
  <c r="K12" i="2"/>
  <c r="L12" i="2" s="1"/>
  <c r="J12" i="2"/>
  <c r="P17" i="2" l="1"/>
  <c r="Q17" i="2" s="1"/>
  <c r="O17" i="2"/>
  <c r="M18" i="2" s="1"/>
  <c r="H13" i="2"/>
  <c r="O18" i="2" l="1"/>
  <c r="M19" i="2" s="1"/>
  <c r="P18" i="2"/>
  <c r="Q18" i="2" s="1"/>
  <c r="K13" i="2"/>
  <c r="L13" i="2" s="1"/>
  <c r="J13" i="2"/>
  <c r="O19" i="2" l="1"/>
  <c r="M20" i="2" s="1"/>
  <c r="P19" i="2"/>
  <c r="Q19" i="2" s="1"/>
  <c r="H14" i="2"/>
  <c r="O20" i="2" l="1"/>
  <c r="M21" i="2" s="1"/>
  <c r="P20" i="2"/>
  <c r="Q20" i="2" s="1"/>
  <c r="K14" i="2"/>
  <c r="L14" i="2" s="1"/>
  <c r="J14" i="2"/>
  <c r="O21" i="2" l="1"/>
  <c r="M22" i="2" s="1"/>
  <c r="P21" i="2"/>
  <c r="Q21" i="2" s="1"/>
  <c r="H15" i="2"/>
  <c r="P22" i="2" l="1"/>
  <c r="Q22" i="2" s="1"/>
  <c r="O22" i="2"/>
  <c r="M23" i="2" s="1"/>
  <c r="K15" i="2"/>
  <c r="L15" i="2" s="1"/>
  <c r="J15" i="2"/>
  <c r="O23" i="2" l="1"/>
  <c r="M24" i="2" s="1"/>
  <c r="P23" i="2"/>
  <c r="Q23" i="2" s="1"/>
  <c r="H16" i="2"/>
  <c r="O24" i="2" l="1"/>
  <c r="M25" i="2" s="1"/>
  <c r="P24" i="2"/>
  <c r="Q24" i="2" s="1"/>
  <c r="K16" i="2"/>
  <c r="L16" i="2" s="1"/>
  <c r="J16" i="2"/>
  <c r="O25" i="2" l="1"/>
  <c r="M26" i="2" s="1"/>
  <c r="P25" i="2"/>
  <c r="Q25" i="2" s="1"/>
  <c r="H17" i="2"/>
  <c r="O26" i="2" l="1"/>
  <c r="M27" i="2" s="1"/>
  <c r="P26" i="2"/>
  <c r="Q26" i="2" s="1"/>
  <c r="K17" i="2"/>
  <c r="L17" i="2" s="1"/>
  <c r="J17" i="2"/>
  <c r="O27" i="2" l="1"/>
  <c r="M28" i="2" s="1"/>
  <c r="P27" i="2"/>
  <c r="Q27" i="2" s="1"/>
  <c r="H18" i="2"/>
  <c r="O28" i="2" l="1"/>
  <c r="M29" i="2" s="1"/>
  <c r="P28" i="2"/>
  <c r="Q28" i="2" s="1"/>
  <c r="K18" i="2"/>
  <c r="L18" i="2" s="1"/>
  <c r="J18" i="2"/>
  <c r="O29" i="2" l="1"/>
  <c r="M30" i="2" s="1"/>
  <c r="P29" i="2"/>
  <c r="Q29" i="2" s="1"/>
  <c r="H19" i="2"/>
  <c r="O30" i="2" l="1"/>
  <c r="M31" i="2" s="1"/>
  <c r="P30" i="2"/>
  <c r="Q30" i="2" s="1"/>
  <c r="K19" i="2"/>
  <c r="L19" i="2" s="1"/>
  <c r="J19" i="2"/>
  <c r="O31" i="2" l="1"/>
  <c r="M32" i="2" s="1"/>
  <c r="P31" i="2"/>
  <c r="Q31" i="2" s="1"/>
  <c r="H20" i="2"/>
  <c r="O32" i="2" l="1"/>
  <c r="M33" i="2" s="1"/>
  <c r="P32" i="2"/>
  <c r="Q32" i="2" s="1"/>
  <c r="K20" i="2"/>
  <c r="L20" i="2" s="1"/>
  <c r="J20" i="2"/>
  <c r="O33" i="2" l="1"/>
  <c r="M34" i="2" s="1"/>
  <c r="P33" i="2"/>
  <c r="Q33" i="2" s="1"/>
  <c r="H21" i="2"/>
  <c r="O34" i="2" l="1"/>
  <c r="M35" i="2" s="1"/>
  <c r="P34" i="2"/>
  <c r="Q34" i="2" s="1"/>
  <c r="K21" i="2"/>
  <c r="L21" i="2" s="1"/>
  <c r="J21" i="2"/>
  <c r="O35" i="2" l="1"/>
  <c r="M36" i="2" s="1"/>
  <c r="P35" i="2"/>
  <c r="Q35" i="2" s="1"/>
  <c r="H22" i="2"/>
  <c r="O36" i="2" l="1"/>
  <c r="M37" i="2" s="1"/>
  <c r="P36" i="2"/>
  <c r="Q36" i="2" s="1"/>
  <c r="K22" i="2"/>
  <c r="L22" i="2" s="1"/>
  <c r="J22" i="2"/>
  <c r="O37" i="2" l="1"/>
  <c r="M38" i="2" s="1"/>
  <c r="P37" i="2"/>
  <c r="Q37" i="2" s="1"/>
  <c r="H23" i="2"/>
  <c r="O38" i="2" l="1"/>
  <c r="M39" i="2" s="1"/>
  <c r="P38" i="2"/>
  <c r="Q38" i="2" s="1"/>
  <c r="K23" i="2"/>
  <c r="L23" i="2" s="1"/>
  <c r="J23" i="2"/>
  <c r="O39" i="2" l="1"/>
  <c r="M40" i="2" s="1"/>
  <c r="P39" i="2"/>
  <c r="Q39" i="2" s="1"/>
  <c r="H24" i="2"/>
  <c r="P40" i="2" l="1"/>
  <c r="Q40" i="2" s="1"/>
  <c r="O40" i="2"/>
  <c r="M41" i="2" s="1"/>
  <c r="K24" i="2"/>
  <c r="L24" i="2" s="1"/>
  <c r="J24" i="2"/>
  <c r="O41" i="2" l="1"/>
  <c r="M42" i="2" s="1"/>
  <c r="P41" i="2"/>
  <c r="Q41" i="2" s="1"/>
  <c r="H25" i="2"/>
  <c r="O42" i="2" l="1"/>
  <c r="M43" i="2" s="1"/>
  <c r="P42" i="2"/>
  <c r="Q42" i="2" s="1"/>
  <c r="K25" i="2"/>
  <c r="L25" i="2" s="1"/>
  <c r="J25" i="2"/>
  <c r="O43" i="2" l="1"/>
  <c r="M44" i="2" s="1"/>
  <c r="P43" i="2"/>
  <c r="Q43" i="2" s="1"/>
  <c r="H26" i="2"/>
  <c r="C12" i="3" a="1"/>
  <c r="C12" i="3" s="1"/>
  <c r="O44" i="2" l="1"/>
  <c r="M45" i="2" s="1"/>
  <c r="P44" i="2"/>
  <c r="Q44" i="2" s="1"/>
  <c r="K26" i="2"/>
  <c r="L26" i="2" s="1"/>
  <c r="J26" i="2"/>
  <c r="C14" i="3"/>
  <c r="O45" i="2" l="1"/>
  <c r="M46" i="2" s="1"/>
  <c r="P45" i="2"/>
  <c r="Q45" i="2" s="1"/>
  <c r="H27" i="2"/>
  <c r="O46" i="2" l="1"/>
  <c r="M47" i="2" s="1"/>
  <c r="P46" i="2"/>
  <c r="Q46" i="2" s="1"/>
  <c r="K27" i="2"/>
  <c r="L27" i="2" s="1"/>
  <c r="J27" i="2"/>
  <c r="O47" i="2" l="1"/>
  <c r="M48" i="2" s="1"/>
  <c r="P47" i="2"/>
  <c r="Q47" i="2" s="1"/>
  <c r="H28" i="2"/>
  <c r="O48" i="2" l="1"/>
  <c r="M49" i="2" s="1"/>
  <c r="P48" i="2"/>
  <c r="Q48" i="2" s="1"/>
  <c r="K28" i="2"/>
  <c r="L28" i="2" s="1"/>
  <c r="J28" i="2"/>
  <c r="O49" i="2" l="1"/>
  <c r="M50" i="2" s="1"/>
  <c r="P49" i="2"/>
  <c r="Q49" i="2" s="1"/>
  <c r="H29" i="2"/>
  <c r="O50" i="2" l="1"/>
  <c r="M51" i="2" s="1"/>
  <c r="P50" i="2"/>
  <c r="Q50" i="2" s="1"/>
  <c r="K29" i="2"/>
  <c r="L29" i="2" s="1"/>
  <c r="J29" i="2"/>
  <c r="O51" i="2" l="1"/>
  <c r="M52" i="2" s="1"/>
  <c r="P51" i="2"/>
  <c r="Q51" i="2" s="1"/>
  <c r="H30" i="2"/>
  <c r="O52" i="2" l="1"/>
  <c r="M53" i="2" s="1"/>
  <c r="P52" i="2"/>
  <c r="Q52" i="2" s="1"/>
  <c r="K30" i="2"/>
  <c r="L30" i="2" s="1"/>
  <c r="J30" i="2"/>
  <c r="O53" i="2" l="1"/>
  <c r="M54" i="2" s="1"/>
  <c r="P53" i="2"/>
  <c r="Q53" i="2" s="1"/>
  <c r="H31" i="2"/>
  <c r="O54" i="2" l="1"/>
  <c r="M55" i="2" s="1"/>
  <c r="P54" i="2"/>
  <c r="Q54" i="2" s="1"/>
  <c r="K31" i="2"/>
  <c r="L31" i="2" s="1"/>
  <c r="J31" i="2"/>
  <c r="O55" i="2" l="1"/>
  <c r="M56" i="2" s="1"/>
  <c r="P55" i="2"/>
  <c r="Q55" i="2" s="1"/>
  <c r="H32" i="2"/>
  <c r="P56" i="2" l="1"/>
  <c r="Q56" i="2" s="1"/>
  <c r="O56" i="2"/>
  <c r="M57" i="2" s="1"/>
  <c r="K32" i="2"/>
  <c r="L32" i="2" s="1"/>
  <c r="J32" i="2"/>
  <c r="P57" i="2" l="1"/>
  <c r="Q57" i="2" s="1"/>
  <c r="O57" i="2"/>
  <c r="M58" i="2" s="1"/>
  <c r="H33" i="2"/>
  <c r="P58" i="2" l="1"/>
  <c r="Q58" i="2" s="1"/>
  <c r="O58" i="2"/>
  <c r="M59" i="2" s="1"/>
  <c r="K33" i="2"/>
  <c r="L33" i="2" s="1"/>
  <c r="J33" i="2"/>
  <c r="P59" i="2" l="1"/>
  <c r="Q59" i="2" s="1"/>
  <c r="O59" i="2"/>
  <c r="H34" i="2"/>
  <c r="K34" i="2" l="1"/>
  <c r="L34" i="2" s="1"/>
  <c r="J34" i="2"/>
  <c r="H35" i="2" l="1"/>
  <c r="K35" i="2" l="1"/>
  <c r="L35" i="2" s="1"/>
  <c r="J35" i="2"/>
  <c r="H36" i="2" l="1"/>
  <c r="K36" i="2" l="1"/>
  <c r="L36" i="2" s="1"/>
  <c r="J36" i="2"/>
  <c r="H37" i="2" l="1"/>
  <c r="K37" i="2" l="1"/>
  <c r="L37" i="2" s="1"/>
  <c r="J37" i="2"/>
  <c r="H38" i="2" l="1"/>
  <c r="K38" i="2" l="1"/>
  <c r="L38" i="2" s="1"/>
  <c r="J38" i="2"/>
  <c r="H39" i="2" l="1"/>
  <c r="K39" i="2" l="1"/>
  <c r="L39" i="2" s="1"/>
  <c r="J39" i="2"/>
  <c r="H40" i="2" s="1"/>
  <c r="K40" i="2" l="1"/>
  <c r="L40" i="2" s="1"/>
  <c r="J40" i="2"/>
  <c r="H41" i="2" s="1"/>
  <c r="K41" i="2" l="1"/>
  <c r="L41" i="2" s="1"/>
  <c r="J41" i="2"/>
  <c r="H42" i="2" s="1"/>
  <c r="K42" i="2" l="1"/>
  <c r="L42" i="2" s="1"/>
  <c r="J42" i="2"/>
  <c r="H43" i="2" s="1"/>
  <c r="K43" i="2" l="1"/>
  <c r="L43" i="2" s="1"/>
  <c r="J43" i="2"/>
  <c r="H44" i="2" s="1"/>
  <c r="K44" i="2" l="1"/>
  <c r="L44" i="2" s="1"/>
  <c r="J44" i="2"/>
  <c r="H45" i="2" s="1"/>
  <c r="J14" i="9"/>
  <c r="E15" i="9" s="1"/>
  <c r="J15" i="9" s="1"/>
  <c r="E16" i="9" s="1"/>
  <c r="J16" i="9" s="1"/>
  <c r="E17" i="9" s="1"/>
  <c r="J17" i="9" s="1"/>
  <c r="Q17" i="9" l="1"/>
  <c r="L17" i="9"/>
  <c r="L16" i="9"/>
  <c r="M16" i="9" s="1"/>
  <c r="Q16" i="9"/>
  <c r="C3" i="3"/>
  <c r="D9" i="3" s="1"/>
  <c r="Q15" i="9"/>
  <c r="L15" i="9"/>
  <c r="L14" i="9"/>
  <c r="M14" i="9" s="1"/>
  <c r="K45" i="2"/>
  <c r="L45" i="2" s="1"/>
  <c r="J45" i="2"/>
  <c r="H46" i="2" s="1"/>
  <c r="Q14" i="9"/>
  <c r="N17" i="9" l="1"/>
  <c r="M17" i="9"/>
  <c r="N16" i="9"/>
  <c r="N15" i="9"/>
  <c r="M15" i="9"/>
  <c r="N14" i="9"/>
  <c r="K46" i="2"/>
  <c r="L46" i="2" s="1"/>
  <c r="J46" i="2"/>
  <c r="H47" i="2" s="1"/>
  <c r="D12" i="3"/>
  <c r="D10" i="3"/>
  <c r="D14" i="3"/>
  <c r="D11" i="3"/>
  <c r="D7" i="3"/>
  <c r="D13" i="3"/>
  <c r="C5" i="3" l="1"/>
  <c r="D8" i="3" s="1"/>
  <c r="O17" i="9"/>
  <c r="C6" i="3"/>
  <c r="O16" i="9"/>
  <c r="O15" i="9"/>
  <c r="J47" i="2"/>
  <c r="H48" i="2" s="1"/>
  <c r="K47" i="2"/>
  <c r="L47" i="2" s="1"/>
  <c r="K48" i="2" l="1"/>
  <c r="L48" i="2" s="1"/>
  <c r="J48" i="2"/>
  <c r="H49" i="2" s="1"/>
  <c r="K49" i="2" l="1"/>
  <c r="L49" i="2" s="1"/>
  <c r="J49" i="2"/>
  <c r="H50" i="2" s="1"/>
  <c r="K50" i="2" l="1"/>
  <c r="L50" i="2" s="1"/>
  <c r="J50" i="2"/>
  <c r="H51" i="2" s="1"/>
  <c r="K51" i="2" l="1"/>
  <c r="L51" i="2" s="1"/>
  <c r="J51" i="2"/>
  <c r="H52" i="2" s="1"/>
  <c r="K52" i="2" l="1"/>
  <c r="L52" i="2" s="1"/>
  <c r="J52" i="2"/>
  <c r="H53" i="2" s="1"/>
  <c r="J53" i="2" l="1"/>
  <c r="H54" i="2" s="1"/>
  <c r="K53" i="2"/>
  <c r="L53" i="2" s="1"/>
  <c r="K54" i="2" l="1"/>
  <c r="L54" i="2" s="1"/>
  <c r="J54" i="2"/>
  <c r="H55" i="2" s="1"/>
  <c r="K55" i="2" l="1"/>
  <c r="L55" i="2" s="1"/>
  <c r="J55" i="2"/>
  <c r="H56" i="2" s="1"/>
  <c r="K56" i="2" l="1"/>
  <c r="L56" i="2" s="1"/>
  <c r="J56" i="2"/>
  <c r="H57" i="2" s="1"/>
  <c r="K57" i="2" l="1"/>
  <c r="L57" i="2" s="1"/>
  <c r="J57" i="2"/>
  <c r="H58" i="2" s="1"/>
  <c r="K58" i="2" l="1"/>
  <c r="L58" i="2" s="1"/>
  <c r="J58" i="2"/>
  <c r="H59" i="2" s="1"/>
  <c r="K59" i="2" l="1"/>
  <c r="L59" i="2" s="1"/>
  <c r="J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Simone Patrese</author>
  </authors>
  <commentList>
    <comment ref="P17" authorId="0" shapeId="0" xr:uid="{9008A5E5-F07E-41AE-90C7-5D93654E4681}">
      <text>
        <r>
          <rPr>
            <b/>
            <sz val="9"/>
            <color indexed="81"/>
            <rFont val="Tahoma"/>
            <charset val="1"/>
          </rPr>
          <t>Simone Patrese:</t>
        </r>
        <r>
          <rPr>
            <sz val="9"/>
            <color indexed="81"/>
            <rFont val="Tahoma"/>
            <charset val="1"/>
          </rPr>
          <t xml:space="preserve">
ATR or Premium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<sst xmlns="http://schemas.openxmlformats.org/spreadsheetml/2006/main" count="10861" uniqueCount="478">
  <si>
    <t>WEEK</t>
  </si>
  <si>
    <t>UNDERLYING</t>
  </si>
  <si>
    <t>INSTRUMENT</t>
  </si>
  <si>
    <t>RISK $</t>
  </si>
  <si>
    <t>SPX</t>
  </si>
  <si>
    <t>NG</t>
  </si>
  <si>
    <t>Futures</t>
  </si>
  <si>
    <t>OPEN/CLOSE</t>
  </si>
  <si>
    <t>DATE</t>
  </si>
  <si>
    <t>RB</t>
  </si>
  <si>
    <t>QUANTITY</t>
  </si>
  <si>
    <t>MULTIPLIER</t>
  </si>
  <si>
    <t>Ticker</t>
  </si>
  <si>
    <t>Multiplier</t>
  </si>
  <si>
    <t>ATR</t>
  </si>
  <si>
    <t># ATR</t>
  </si>
  <si>
    <t>Capital $</t>
  </si>
  <si>
    <t>% Capital</t>
  </si>
  <si>
    <t>Sizing</t>
  </si>
  <si>
    <t>Capital Loc Crncy</t>
  </si>
  <si>
    <t>FX</t>
  </si>
  <si>
    <t>ES</t>
  </si>
  <si>
    <t>NQ</t>
  </si>
  <si>
    <t>RTY</t>
  </si>
  <si>
    <t>CL</t>
  </si>
  <si>
    <t>HG</t>
  </si>
  <si>
    <t>GC</t>
  </si>
  <si>
    <t>SI</t>
  </si>
  <si>
    <t>ZC</t>
  </si>
  <si>
    <t>ZW</t>
  </si>
  <si>
    <t>KE</t>
  </si>
  <si>
    <t>ZS</t>
  </si>
  <si>
    <t>SB</t>
  </si>
  <si>
    <t>KC</t>
  </si>
  <si>
    <t>CC</t>
  </si>
  <si>
    <t>LE</t>
  </si>
  <si>
    <t>GF</t>
  </si>
  <si>
    <t>HE</t>
  </si>
  <si>
    <t>DX</t>
  </si>
  <si>
    <t>6A</t>
  </si>
  <si>
    <t>6B</t>
  </si>
  <si>
    <t>6C</t>
  </si>
  <si>
    <t>6E</t>
  </si>
  <si>
    <t>6J</t>
  </si>
  <si>
    <t>BTC</t>
  </si>
  <si>
    <t>ETH</t>
  </si>
  <si>
    <t>ZB</t>
  </si>
  <si>
    <t>BTP</t>
  </si>
  <si>
    <t>BABA</t>
  </si>
  <si>
    <t>NVDA</t>
  </si>
  <si>
    <t>GOOG</t>
  </si>
  <si>
    <t>ENTRY PRICE</t>
  </si>
  <si>
    <t>EXIT PRICE</t>
  </si>
  <si>
    <t>Put</t>
  </si>
  <si>
    <t>RISK-RETURN</t>
  </si>
  <si>
    <t>P&amp;L $</t>
  </si>
  <si>
    <t>PLB %</t>
  </si>
  <si>
    <t>C</t>
  </si>
  <si>
    <t>Reference</t>
  </si>
  <si>
    <t>Symbol</t>
  </si>
  <si>
    <t>Security Type</t>
  </si>
  <si>
    <t>Exchange</t>
  </si>
  <si>
    <t>Currency</t>
  </si>
  <si>
    <t>Expiry Date</t>
  </si>
  <si>
    <t>Strike</t>
  </si>
  <si>
    <t>Put/ Call</t>
  </si>
  <si>
    <t>Primary Exchange</t>
  </si>
  <si>
    <t>Name</t>
  </si>
  <si>
    <t>Close</t>
  </si>
  <si>
    <t>Last</t>
  </si>
  <si>
    <t>% change</t>
  </si>
  <si>
    <t>Low</t>
  </si>
  <si>
    <t>High</t>
  </si>
  <si>
    <t>Mid</t>
  </si>
  <si>
    <t>EUR</t>
  </si>
  <si>
    <t>EUR.USD</t>
  </si>
  <si>
    <t>CASH</t>
  </si>
  <si>
    <t>IDEALPRO</t>
  </si>
  <si>
    <t>EUR.GBP</t>
  </si>
  <si>
    <t>EUR.CHF</t>
  </si>
  <si>
    <t>JPY</t>
  </si>
  <si>
    <t>USD.JPY</t>
  </si>
  <si>
    <t>FUT</t>
  </si>
  <si>
    <t>USD</t>
  </si>
  <si>
    <t>JPY.USD</t>
  </si>
  <si>
    <t xml:space="preserve">ES </t>
  </si>
  <si>
    <t>FOP</t>
  </si>
  <si>
    <t>OPT</t>
  </si>
  <si>
    <t>SMART</t>
  </si>
  <si>
    <t>P</t>
  </si>
  <si>
    <t>FTMIB</t>
  </si>
  <si>
    <t>IDEM</t>
  </si>
  <si>
    <t>ESTX50</t>
  </si>
  <si>
    <t>NYMEX</t>
  </si>
  <si>
    <t>IND</t>
  </si>
  <si>
    <t>DAX</t>
  </si>
  <si>
    <t>ST</t>
  </si>
  <si>
    <t>SX7E</t>
  </si>
  <si>
    <t>NIY</t>
  </si>
  <si>
    <t>PA</t>
  </si>
  <si>
    <t>NYBOT</t>
  </si>
  <si>
    <t>CT</t>
  </si>
  <si>
    <t>ZNM9</t>
  </si>
  <si>
    <t>ZN</t>
  </si>
  <si>
    <t>GBLM9</t>
  </si>
  <si>
    <t>GBL</t>
  </si>
  <si>
    <t>GBXM9</t>
  </si>
  <si>
    <t>GBX</t>
  </si>
  <si>
    <t>IKM9</t>
  </si>
  <si>
    <t>DXM9</t>
  </si>
  <si>
    <t>GBP</t>
  </si>
  <si>
    <t>6CM9</t>
  </si>
  <si>
    <t>CAD</t>
  </si>
  <si>
    <t>6AM9</t>
  </si>
  <si>
    <t>AUD</t>
  </si>
  <si>
    <t>BP</t>
  </si>
  <si>
    <t>BP.</t>
  </si>
  <si>
    <t>STK</t>
  </si>
  <si>
    <t>INDV</t>
  </si>
  <si>
    <t>NOKIA</t>
  </si>
  <si>
    <t>RNO</t>
  </si>
  <si>
    <t>SAN</t>
  </si>
  <si>
    <t>AF</t>
  </si>
  <si>
    <t>CA</t>
  </si>
  <si>
    <t>CME</t>
  </si>
  <si>
    <t>EUREX</t>
  </si>
  <si>
    <t>COMEX</t>
  </si>
  <si>
    <t>CBOT</t>
  </si>
  <si>
    <t>TICKER</t>
  </si>
  <si>
    <t>CBOE</t>
  </si>
  <si>
    <t>VG</t>
  </si>
  <si>
    <t>GX</t>
  </si>
  <si>
    <t>Call</t>
  </si>
  <si>
    <t>Initial PLB %</t>
  </si>
  <si>
    <t>SIN3</t>
  </si>
  <si>
    <t>BUY</t>
  </si>
  <si>
    <t>T 0 3/8 04/15/24</t>
  </si>
  <si>
    <t>BOND</t>
  </si>
  <si>
    <t>U11717501</t>
  </si>
  <si>
    <t>SELL</t>
  </si>
  <si>
    <t>NQU3</t>
  </si>
  <si>
    <t>NQ 30JUN23 13800 C</t>
  </si>
  <si>
    <t>QNEM3 C13800</t>
  </si>
  <si>
    <t>SI 27JUL23</t>
  </si>
  <si>
    <t>RB JUN23</t>
  </si>
  <si>
    <t>RBM3</t>
  </si>
  <si>
    <t>NQ 16JUN23</t>
  </si>
  <si>
    <t>NQM3</t>
  </si>
  <si>
    <t>NG JUN23</t>
  </si>
  <si>
    <t>NGM3</t>
  </si>
  <si>
    <t>NG MAY23</t>
  </si>
  <si>
    <t>NGK3</t>
  </si>
  <si>
    <t>SPX 16JUN23 3850 P</t>
  </si>
  <si>
    <t>SPX   230616P03850000</t>
  </si>
  <si>
    <t>SPX 16JUN23 3700 P</t>
  </si>
  <si>
    <t>SPX   230616P03700000</t>
  </si>
  <si>
    <t>CommissionCurrency</t>
  </si>
  <si>
    <t>Commission</t>
  </si>
  <si>
    <t>Amount</t>
  </si>
  <si>
    <t>Price</t>
  </si>
  <si>
    <t>Quantity</t>
  </si>
  <si>
    <t>Buy/Sell</t>
  </si>
  <si>
    <t>TradeDate</t>
  </si>
  <si>
    <t>Put/Call</t>
  </si>
  <si>
    <t>Expiry</t>
  </si>
  <si>
    <t>UnderlyingSymbol</t>
  </si>
  <si>
    <t>ListingExchange</t>
  </si>
  <si>
    <t>Description</t>
  </si>
  <si>
    <t>AssetClass</t>
  </si>
  <si>
    <t>CurrencyPrimary</t>
  </si>
  <si>
    <t>ClientAccountID</t>
  </si>
  <si>
    <t>INITIAL QUANTITY</t>
  </si>
  <si>
    <t>Week</t>
  </si>
  <si>
    <t>&gt;0</t>
  </si>
  <si>
    <t>&lt;0</t>
  </si>
  <si>
    <t>Market Data</t>
  </si>
  <si>
    <t>NOTIONAL $</t>
  </si>
  <si>
    <t>Data</t>
  </si>
  <si>
    <t>Notional Futures $</t>
  </si>
  <si>
    <t>Notional Call $</t>
  </si>
  <si>
    <t>Notional Put $</t>
  </si>
  <si>
    <t>Open Risk $</t>
  </si>
  <si>
    <t>AUM</t>
  </si>
  <si>
    <t>ROLL</t>
  </si>
  <si>
    <t>VOL SL</t>
  </si>
  <si>
    <t>TECH SL</t>
  </si>
  <si>
    <t>VOL/EXIT-1</t>
  </si>
  <si>
    <t>TECH/EXIT -1</t>
  </si>
  <si>
    <t>NGN3</t>
  </si>
  <si>
    <t>NG JUL23</t>
  </si>
  <si>
    <t>(potential conflicting VLOOKUP if same instrument traded in different weeks)</t>
  </si>
  <si>
    <t>INITIAL RISK</t>
  </si>
  <si>
    <t>INITIAL RISK $</t>
  </si>
  <si>
    <t>HGN3</t>
  </si>
  <si>
    <t>HG 27JUL23</t>
  </si>
  <si>
    <t>INDA</t>
  </si>
  <si>
    <t>INDA  231215C00044000</t>
  </si>
  <si>
    <t>INDA 15DEC23 44 C</t>
  </si>
  <si>
    <t>ASSET CLASS</t>
  </si>
  <si>
    <t>Equity</t>
  </si>
  <si>
    <t>Commodities</t>
  </si>
  <si>
    <t>Stocks</t>
  </si>
  <si>
    <t>SPXW  230622P04340000</t>
  </si>
  <si>
    <t>SPXW 22JUN23 4340 P</t>
  </si>
  <si>
    <t>US economy hard-landing / earnings estimates downward revisions</t>
  </si>
  <si>
    <t>Long Natural Gas Futures</t>
  </si>
  <si>
    <t>Major producers pulling back on drilling and completing wells</t>
  </si>
  <si>
    <t>80% correction, extreme oversold, basing around $2</t>
  </si>
  <si>
    <t>Long Gasoline Futures</t>
  </si>
  <si>
    <t>OPEC cuts / OPEC production at 2003 levels / positive seasonality / US driving season</t>
  </si>
  <si>
    <t>Solid earnings reports by mega-cap tech stocks</t>
  </si>
  <si>
    <t>Long Nasdaq Futures and Calls</t>
  </si>
  <si>
    <t>Long Silver Futures</t>
  </si>
  <si>
    <t>Precious Metals strength on the back of Central Banks buying Gold and talks about global de-dollarization / ongoing supply deficit</t>
  </si>
  <si>
    <t>Weekly 50% retracement / rotation up from the $24 price area</t>
  </si>
  <si>
    <t>Long Copper Futures</t>
  </si>
  <si>
    <t>QTR up trigger</t>
  </si>
  <si>
    <t>Long-term shortage / declining production levels in Chile</t>
  </si>
  <si>
    <t>Long India ETF Calls</t>
  </si>
  <si>
    <t xml:space="preserve">Bullish long-term set-up similar to the recent break-out in the Nikkei 225 / weekly doji + weekly up    </t>
  </si>
  <si>
    <t>Long SPX Puts</t>
  </si>
  <si>
    <t>Short-term hedge against FOMC volatility</t>
  </si>
  <si>
    <t>India’s infrastructure boom, could become the third largest economy in a few years</t>
  </si>
  <si>
    <t>Weekly 50% retracement / daily up trigger</t>
  </si>
  <si>
    <t>Long SPX Put Spread</t>
  </si>
  <si>
    <t>THEME</t>
  </si>
  <si>
    <t>TECHNICAL SET-UP</t>
  </si>
  <si>
    <t>Weekly 78.6% retracement and 200SMA test / weekly up trigger</t>
  </si>
  <si>
    <t>RBQ3</t>
  </si>
  <si>
    <t>(manually change "Week" if traded in multiple weeks)</t>
  </si>
  <si>
    <t>US economy hard landing probability decreasing / OPEC production at 2003 levels / positive seasonality and US driving season</t>
  </si>
  <si>
    <t>Weekly horizontal triangle trigger &gt; 2.75</t>
  </si>
  <si>
    <t>RB AUG23</t>
  </si>
  <si>
    <t>HGU3</t>
  </si>
  <si>
    <t>HG 27SEP23</t>
  </si>
  <si>
    <t>SIU3</t>
  </si>
  <si>
    <t>SI 27SEP23</t>
  </si>
  <si>
    <t>OZC</t>
  </si>
  <si>
    <t>Trading Class</t>
  </si>
  <si>
    <t>Monthly bull flag / first break-out attempt rejection and entry at lower price range</t>
  </si>
  <si>
    <t>Notable soil moisture deterioration in the core US Corn Belt over the last four weeks / US Crops in Drought Area Rise to 70%: USDA</t>
  </si>
  <si>
    <t>ZCU3</t>
  </si>
  <si>
    <t>ZC 14SEP23</t>
  </si>
  <si>
    <t>C OZC  DEC 23   6000</t>
  </si>
  <si>
    <t>ZC DEC23 6 C</t>
  </si>
  <si>
    <t>ZC   DEC 23</t>
  </si>
  <si>
    <t>Long Corn Futures and Calls</t>
  </si>
  <si>
    <t>Total</t>
  </si>
  <si>
    <t>IBCID481995953</t>
  </si>
  <si>
    <t>T-BOND</t>
  </si>
  <si>
    <t>TOTAL</t>
  </si>
  <si>
    <t xml:space="preserve">INTEREST  </t>
  </si>
  <si>
    <t>INTEREST ACCRUALS</t>
  </si>
  <si>
    <t>CASH MGMT</t>
  </si>
  <si>
    <t>Long Sugar Futures</t>
  </si>
  <si>
    <t>Large downward crop revisions in the key producing countries (India, Thailand, China and Pakistan)</t>
  </si>
  <si>
    <t>61.8% retracement of the YTD move and bounce / daily bull flag break-out</t>
  </si>
  <si>
    <t>SBV3</t>
  </si>
  <si>
    <t>Open P&amp;L $</t>
  </si>
  <si>
    <t>PLB Risk $</t>
  </si>
  <si>
    <t>SB OCT23</t>
  </si>
  <si>
    <t>ZCZ3</t>
  </si>
  <si>
    <t>ZC 14DEC23</t>
  </si>
  <si>
    <t>KCU3</t>
  </si>
  <si>
    <t>Long Coffee Futures</t>
  </si>
  <si>
    <t>Extreme weather conditions (El Nino) could hit major producers like Vietnam and Indonesia. Brazil’s crop has also been impacted by drought</t>
  </si>
  <si>
    <t>3x weekly up @ 200SMA</t>
  </si>
  <si>
    <t>KC 20SEP23</t>
  </si>
  <si>
    <t>weekly RSI = 70 / 10 weekly candles from 9SMA / daily down trigger</t>
  </si>
  <si>
    <t>Hedge Funds ‘Throwing In Towel’ on short bets / overbought on multiple time-frames / US10Y breaking above 4%</t>
  </si>
  <si>
    <t>SPX   231020P04390000</t>
  </si>
  <si>
    <t>SPX 20OCT23 4390 P</t>
  </si>
  <si>
    <t>SPX   231020P04300000</t>
  </si>
  <si>
    <t>SPX 20OCT23 4300 P</t>
  </si>
  <si>
    <t>RISK FREE P&amp;L</t>
  </si>
  <si>
    <t>COUPON</t>
  </si>
  <si>
    <t>Risk-free P&amp;L $</t>
  </si>
  <si>
    <t>Projected P&amp;L $</t>
  </si>
  <si>
    <t>SIZ3</t>
  </si>
  <si>
    <t>SI 27DEC23</t>
  </si>
  <si>
    <t>CLV3</t>
  </si>
  <si>
    <t>Long WTI Futures</t>
  </si>
  <si>
    <t>Saudi Arabia and Russia output cuts / China’s potential new stimulus plan</t>
  </si>
  <si>
    <t>Weekly bull flag / weekly up &gt; 81.75 / TP: 1.618% = 88.50</t>
  </si>
  <si>
    <t>CL OCT23</t>
  </si>
  <si>
    <t>CTZ3</t>
  </si>
  <si>
    <t>Long Cotton Futures</t>
  </si>
  <si>
    <t>11 months consolidation / upper boundary $88-90 / Cocoa recent break-out analog</t>
  </si>
  <si>
    <t xml:space="preserve">US expected to harvest smallest crop since 2015, import from China expected to rebound (USDA) </t>
  </si>
  <si>
    <t>CT 13DEC23</t>
  </si>
  <si>
    <t>Max Sizing</t>
  </si>
  <si>
    <t>% Risk Capital</t>
  </si>
  <si>
    <t>MAX QUANTITY</t>
  </si>
  <si>
    <t>SOZ3 C2220</t>
  </si>
  <si>
    <t>SI DEC23 22.2 C</t>
  </si>
  <si>
    <t>SOZ3 P2000</t>
  </si>
  <si>
    <t>SI DEC23 20 P</t>
  </si>
  <si>
    <t>SOZ3 C2470</t>
  </si>
  <si>
    <t>SI DEC23 24.7 C</t>
  </si>
  <si>
    <t>LOZ3 C9000</t>
  </si>
  <si>
    <t>CL DEC23 90 C</t>
  </si>
  <si>
    <t>CLZ3</t>
  </si>
  <si>
    <t>LOZ3 C9500</t>
  </si>
  <si>
    <t>CL DEC23 95 C</t>
  </si>
  <si>
    <t>SO</t>
  </si>
  <si>
    <t>LO</t>
  </si>
  <si>
    <t>Long WTI Call Spread</t>
  </si>
  <si>
    <t xml:space="preserve">Israel-Palestine war / Saudi Arabia and Russia output cuts </t>
  </si>
  <si>
    <t>Retracement of the gap up (gap fill) after the war announcement and daily up</t>
  </si>
  <si>
    <t>NAV</t>
  </si>
  <si>
    <t>EW</t>
  </si>
  <si>
    <t>EWX3 P4200</t>
  </si>
  <si>
    <t>EWX3 C4400</t>
  </si>
  <si>
    <t>KOF4 C1.65</t>
  </si>
  <si>
    <t>KOF4 C1.75</t>
  </si>
  <si>
    <t xml:space="preserve">Core inflation below 2%, no more rate hikes from the Fed / extreme bearish positioning / positive seasonality </t>
  </si>
  <si>
    <t>ABC summer correction completed / daily bull flag breakout (pre)</t>
  </si>
  <si>
    <t>Weekly double bottom / weekly bull flag breakout (pre)</t>
  </si>
  <si>
    <t>ES 30NOV23 4400 C</t>
  </si>
  <si>
    <t>ESZ3</t>
  </si>
  <si>
    <t>ES 30NOV23 4200 P</t>
  </si>
  <si>
    <t>KC JAN24 1.65 C</t>
  </si>
  <si>
    <t>KCH4</t>
  </si>
  <si>
    <t>KC JAN24 1.75 C</t>
  </si>
  <si>
    <t>T 1 1/2 10/31/24</t>
  </si>
  <si>
    <t>T-BOND 2</t>
  </si>
  <si>
    <t>IBCID388841199</t>
  </si>
  <si>
    <t>T-BOND 2 CPN</t>
  </si>
  <si>
    <t>T-BOND CPN</t>
  </si>
  <si>
    <t>URA   240419C00032000</t>
  </si>
  <si>
    <t>URA 19APR24 32 C</t>
  </si>
  <si>
    <t>URA</t>
  </si>
  <si>
    <t>Monthly bull flag breakout / TP 161.8% = 40</t>
  </si>
  <si>
    <t xml:space="preserve">Structural long-term supply deficit / geopolitical risk: Niger coup, ban on Russian nuclear fuel </t>
  </si>
  <si>
    <t>HEG3</t>
  </si>
  <si>
    <t>HEG4 C0800</t>
  </si>
  <si>
    <t>HEG4 C0860</t>
  </si>
  <si>
    <t>Long Lean Hogs Call Spread</t>
  </si>
  <si>
    <t xml:space="preserve">Weekly bull flag breakout (adjusted chart) </t>
  </si>
  <si>
    <t>Long Uranium ETF Call Spread</t>
  </si>
  <si>
    <t xml:space="preserve">Long SPX Futures Reverse Call Spread </t>
  </si>
  <si>
    <t>HE 16FEB24 0.8 C</t>
  </si>
  <si>
    <t>HEG4</t>
  </si>
  <si>
    <t>HE 16FEB24 0.86 C</t>
  </si>
  <si>
    <t>https://www.nationalhogfarmer.com/market-news/searching-for-a-low</t>
  </si>
  <si>
    <t>U.S. pork exports are up 14% YoY. U.S. pork is the cheapest in the world, while EU prices are near record high. The U.S. pork industry is expected to gain global market share</t>
  </si>
  <si>
    <t>T 2 1/8 11/30/24</t>
  </si>
  <si>
    <t>T-BOND 3</t>
  </si>
  <si>
    <t>T-BOND 3 CPN</t>
  </si>
  <si>
    <t>IBCID297892019</t>
  </si>
  <si>
    <t>SOJ4 C3000</t>
  </si>
  <si>
    <t>SOJ4 C2650</t>
  </si>
  <si>
    <t>SI APR24 26.5 C</t>
  </si>
  <si>
    <t>SIK4</t>
  </si>
  <si>
    <t>SI APR24 30 C</t>
  </si>
  <si>
    <t>CLF4</t>
  </si>
  <si>
    <t>RBF4</t>
  </si>
  <si>
    <t>Long WTI and Gasoline Futures</t>
  </si>
  <si>
    <t xml:space="preserve">CL: weekly up after $20 retracement / RB: 3x weekly up </t>
  </si>
  <si>
    <t xml:space="preserve">OPEC discussing a preliminary agreement for an additional cut of more than 1mbd </t>
  </si>
  <si>
    <t>CL JAN24</t>
  </si>
  <si>
    <t>RB JAN24</t>
  </si>
  <si>
    <t>SAVE</t>
  </si>
  <si>
    <t>Long SAVE Call Spread</t>
  </si>
  <si>
    <t>SAVE  240119C00017500</t>
  </si>
  <si>
    <t>SAVE 19JAN24 17.5 C</t>
  </si>
  <si>
    <t>SAVE  240119C00027500</t>
  </si>
  <si>
    <t>SAVE 19JAN24 27.5 C</t>
  </si>
  <si>
    <t>JetBlue's acquisition of Spirit Airlines: end of the anti-trust trial to block the merger by US DoJ / market pricing a significant discount to bid price (ca. $29)</t>
  </si>
  <si>
    <t>NGG4</t>
  </si>
  <si>
    <t>Extreme overbought after break-down below $3 / daily RSI = 21 / daily up trigger</t>
  </si>
  <si>
    <t>Extreme bearish sentiment, mean reversion trade. Warmer weather forecasts and elevated production / delay of Golden Pass, much of the structural growth the market has been counting on has been pushed back further</t>
  </si>
  <si>
    <t>NG FEB24</t>
  </si>
  <si>
    <t>BoP NAV $</t>
  </si>
  <si>
    <t>EoP NAV$</t>
  </si>
  <si>
    <t>BoP MIN NAV $</t>
  </si>
  <si>
    <t>EoP MIN NAV $</t>
  </si>
  <si>
    <r>
      <t>∆</t>
    </r>
    <r>
      <rPr>
        <b/>
        <sz val="9"/>
        <color theme="1"/>
        <rFont val="Calibri"/>
        <family val="2"/>
        <scheme val="minor"/>
      </rPr>
      <t xml:space="preserve"> CAPITAL</t>
    </r>
  </si>
  <si>
    <t>WK PERF %</t>
  </si>
  <si>
    <t>PERF %</t>
  </si>
  <si>
    <t>WK PLB %</t>
  </si>
  <si>
    <t>SAVE-S</t>
  </si>
  <si>
    <t>SPIRIT AIRLINES INC</t>
  </si>
  <si>
    <t>NYSE</t>
  </si>
  <si>
    <t>HGH4</t>
  </si>
  <si>
    <t>Weaker dollar and lower rates headwind / China's stock market lowest valuation in a decade, potential oversold rebound (13D)</t>
  </si>
  <si>
    <t>Monthly bull flag / 3x weekly up / CTL trade + COT analysis</t>
  </si>
  <si>
    <t>HG 26MAR24</t>
  </si>
  <si>
    <t>BBG00ZYX8V96</t>
  </si>
  <si>
    <t>BBG00QL6Z5C2</t>
  </si>
  <si>
    <t>BBG00JC22VC6</t>
  </si>
  <si>
    <t>x</t>
  </si>
  <si>
    <t>Date</t>
  </si>
  <si>
    <t xml:space="preserve">∆ Shares </t>
  </si>
  <si>
    <t xml:space="preserve">∆ Capital </t>
  </si>
  <si>
    <t>Management Fee $</t>
  </si>
  <si>
    <t>Costs $</t>
  </si>
  <si>
    <t xml:space="preserve">Shares </t>
  </si>
  <si>
    <t>Volatility</t>
  </si>
  <si>
    <t>BoP Capital $</t>
  </si>
  <si>
    <t xml:space="preserve">EoP Capital $ </t>
  </si>
  <si>
    <t>Performance Fee $</t>
  </si>
  <si>
    <t>Performance ITD %</t>
  </si>
  <si>
    <t>Performance MTD %</t>
  </si>
  <si>
    <t>Perf. ITD</t>
  </si>
  <si>
    <t>Perf. MTD</t>
  </si>
  <si>
    <t>CYTK-S</t>
  </si>
  <si>
    <t>CYTK</t>
  </si>
  <si>
    <t>NASDAQ</t>
  </si>
  <si>
    <t>CYTOKINETICS INC</t>
  </si>
  <si>
    <t>Long CYTK Shares</t>
  </si>
  <si>
    <t>Novartis to acquire Cytokinetics in a deal that could value the company up to $140 per share. The auction includes AstraZeneca and J&amp;J.</t>
  </si>
  <si>
    <t>URA   240419C00040000</t>
  </si>
  <si>
    <t>URA 19APR24 40 C</t>
  </si>
  <si>
    <t>CLG4</t>
  </si>
  <si>
    <t>Continued tensions in the Middle East, more tanker diversions from the Red Sea</t>
  </si>
  <si>
    <t>5-week range $70-75 after retracement from $95 / anticipated 1/2 weekly up &gt; $75.25</t>
  </si>
  <si>
    <t>CL FEB24</t>
  </si>
  <si>
    <t>AAPL</t>
  </si>
  <si>
    <t>ZWH4</t>
  </si>
  <si>
    <t>Long Wheat Futures</t>
  </si>
  <si>
    <t>Reverse H&amp;S on weekly / weekly hammer - doji / weekly RSI positive divergence / CTL trade</t>
  </si>
  <si>
    <t>Mean reversion trade, market expecting abundant crops and soft global demand</t>
  </si>
  <si>
    <t>CLH4</t>
  </si>
  <si>
    <t>NGH4</t>
  </si>
  <si>
    <t>CL MAR24</t>
  </si>
  <si>
    <t>NG MAR24</t>
  </si>
  <si>
    <t>ZW 14MAR24</t>
  </si>
  <si>
    <t>CTK4</t>
  </si>
  <si>
    <t>Break-out from multi-month (14) consolidation &gt; 90 / daily retrace to 9SMA after 12 days rip</t>
  </si>
  <si>
    <t>CT 15MAY24</t>
  </si>
  <si>
    <t>HGK4</t>
  </si>
  <si>
    <t>HG 29MAY24</t>
  </si>
  <si>
    <t>ZWK4</t>
  </si>
  <si>
    <t>ZW 14MAY24</t>
  </si>
  <si>
    <t>Texas farmers plan to plant 5.3mm acres, down 5.1% from last year. U.S. farmers intend to plant 9.8mm acres this spring, down 3.7% from 2023</t>
  </si>
  <si>
    <t>https://texasfarmbureau.org/u-s-texas-cotton-farmers-intend-to-plant-fewer-acres/</t>
  </si>
  <si>
    <t>IBB-S</t>
  </si>
  <si>
    <t>CLJ4</t>
  </si>
  <si>
    <t>Monthly bull flag / monthly up &gt; 79</t>
  </si>
  <si>
    <t>CL APR24</t>
  </si>
  <si>
    <t>OPEC+ is extending its production cuts through at least the second quarter. The cartel could keep the cuts in place for the rest of the year.</t>
  </si>
  <si>
    <t>EWJ4 P4920</t>
  </si>
  <si>
    <t>ES 30APR24 4920 P</t>
  </si>
  <si>
    <t>ESM4</t>
  </si>
  <si>
    <t>EWJ4 P5020</t>
  </si>
  <si>
    <t>ES 30APR24 5020 P</t>
  </si>
  <si>
    <t>Long ES Put Spread</t>
  </si>
  <si>
    <t>Weekly RSI = 75 / 19 weeks &gt; 9SMA / multiple daily upper BB tags</t>
  </si>
  <si>
    <t>Hedge / mean reversion trade after a 19 weeks rally</t>
  </si>
  <si>
    <t>KCK4</t>
  </si>
  <si>
    <t>KC 21MAY24</t>
  </si>
  <si>
    <t>Weekly bull flag break-out / CTL trade</t>
  </si>
  <si>
    <t xml:space="preserve"> 47% year-on-year increase in Vietnam’s coffee exports / excessive dry conditions in Brazil’s / ongoing Red Sea crisis impacting global trade routes</t>
  </si>
  <si>
    <t>Sizing / Capital</t>
  </si>
  <si>
    <t>Max Sizing / Capital</t>
  </si>
  <si>
    <t>ZSK4</t>
  </si>
  <si>
    <t>Long Soybean Futures</t>
  </si>
  <si>
    <t>Monthly look below and reversal from daily RSI = 22 / weekly up (-2) &gt; 1161 / daily bull flag + inside week</t>
  </si>
  <si>
    <t>USDA’s latest monthly report constructive for soybeans as lower supply pushed down global inventory estimates</t>
  </si>
  <si>
    <t>ZS 14MAY24</t>
  </si>
  <si>
    <t>Fixed income</t>
  </si>
  <si>
    <t>NQM4</t>
  </si>
  <si>
    <t>Short NDX Futures</t>
  </si>
  <si>
    <t>Rate cuts expectations adjustment to &lt;2 / US10YR breaking out &gt; 4.40% / Geopolical tensions, Iran ready to strike</t>
  </si>
  <si>
    <t>Potential distribution patterns / Inside month, potential first monthly down in 6 months</t>
  </si>
  <si>
    <t>NQ 21JUN24</t>
  </si>
  <si>
    <t>T-BOND 4</t>
  </si>
  <si>
    <t>T-BOND 4 CPN</t>
  </si>
  <si>
    <t>BBG016NJ8DP4</t>
  </si>
  <si>
    <t>T 2 5/8 04/15/25</t>
  </si>
  <si>
    <t>CTN4</t>
  </si>
  <si>
    <t>CT 16JUL24</t>
  </si>
  <si>
    <t>Long Coca Futures</t>
  </si>
  <si>
    <t>CCN4</t>
  </si>
  <si>
    <t>CC 17JUL24</t>
  </si>
  <si>
    <t>Bad weather, aging cocoa trees and crop disease affect West Africa, or half of global output / supplies to fall short of demand for a third year</t>
  </si>
  <si>
    <t xml:space="preserve">61.8% retracement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</si>
</sst>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\x"/>
    <numFmt numFmtId="165" formatCode="#,##0.0"/>
    <numFmt numFmtId="166" formatCode="0.0%"/>
    <numFmt numFmtId="167" formatCode="#,##0.0000"/>
    <numFmt numFmtId="168" formatCode="0.0000"/>
    <numFmt numFmtId="169" formatCode="#,##0.000_ ;\-#,##0.000\ "/>
    <numFmt numFmtId="170" formatCode="#,##0.000;\-#,##0.000"/>
    <numFmt numFmtId="171" formatCode="[$-F800]dddd\,\ mmmm\ dd\,\ yyyy"/>
    <numFmt numFmtId="172" formatCode="0.000%"/>
    <numFmt numFmtId="173" formatCode="#,##0.00_ ;\-#,##0.00\ "/>
    <numFmt numFmtId="174" formatCode="#,##0_-;\-#,##0_-;_-;_-@_-"/>
    <numFmt numFmtId="175" formatCode="#,##0.00_-;\-#,##0.00_-;_-;_-@_-"/>
    <numFmt numFmtId="17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i/>
      <sz val="10"/>
      <color theme="4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2" tint="-9.9978637043366805E-2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 tint="-4.9989318521683403E-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/>
    <xf numFmtId="10" fontId="4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37" fontId="3" fillId="0" borderId="0" xfId="0" applyNumberFormat="1" applyFont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7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7" fontId="5" fillId="0" borderId="0" xfId="0" applyNumberFormat="1" applyFont="1" applyAlignment="1">
      <alignment horizontal="center" vertical="center"/>
    </xf>
    <xf numFmtId="37" fontId="3" fillId="0" borderId="0" xfId="0" quotePrefix="1" applyNumberFormat="1" applyFont="1" applyAlignment="1">
      <alignment horizontal="center" vertical="center"/>
    </xf>
    <xf numFmtId="0" fontId="5" fillId="0" borderId="0" xfId="0" applyFont="1"/>
    <xf numFmtId="3" fontId="5" fillId="0" borderId="0" xfId="2" applyNumberFormat="1" applyFont="1" applyAlignment="1">
      <alignment horizontal="center"/>
    </xf>
    <xf numFmtId="4" fontId="5" fillId="0" borderId="0" xfId="2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3" fontId="3" fillId="0" borderId="0" xfId="2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4" fontId="2" fillId="0" borderId="0" xfId="2" applyNumberFormat="1" applyFont="1" applyAlignment="1">
      <alignment horizontal="center"/>
    </xf>
    <xf numFmtId="165" fontId="5" fillId="0" borderId="0" xfId="2" applyNumberFormat="1" applyFont="1" applyAlignment="1">
      <alignment horizontal="center"/>
    </xf>
    <xf numFmtId="166" fontId="6" fillId="0" borderId="0" xfId="1" applyNumberFormat="1" applyFont="1" applyAlignment="1">
      <alignment horizontal="center"/>
    </xf>
    <xf numFmtId="167" fontId="5" fillId="0" borderId="0" xfId="2" applyNumberFormat="1" applyFont="1" applyAlignment="1">
      <alignment horizontal="center"/>
    </xf>
    <xf numFmtId="39" fontId="5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/>
    </xf>
    <xf numFmtId="3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/>
    <xf numFmtId="0" fontId="2" fillId="0" borderId="0" xfId="0" applyFont="1"/>
    <xf numFmtId="168" fontId="8" fillId="0" borderId="0" xfId="0" applyNumberFormat="1" applyFont="1" applyAlignment="1">
      <alignment horizontal="center"/>
    </xf>
    <xf numFmtId="2" fontId="8" fillId="0" borderId="0" xfId="0" applyNumberFormat="1" applyFont="1"/>
    <xf numFmtId="10" fontId="9" fillId="0" borderId="0" xfId="1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7" fillId="0" borderId="0" xfId="0" applyNumberFormat="1" applyFont="1"/>
    <xf numFmtId="2" fontId="0" fillId="0" borderId="0" xfId="0" applyNumberFormat="1"/>
    <xf numFmtId="3" fontId="7" fillId="0" borderId="0" xfId="2" applyNumberFormat="1" applyFont="1"/>
    <xf numFmtId="0" fontId="10" fillId="0" borderId="1" xfId="0" applyFont="1" applyBorder="1" applyAlignment="1">
      <alignment horizontal="center"/>
    </xf>
    <xf numFmtId="170" fontId="11" fillId="0" borderId="0" xfId="0" applyNumberFormat="1" applyFont="1" applyAlignment="1">
      <alignment horizontal="center"/>
    </xf>
    <xf numFmtId="169" fontId="11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171" fontId="3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4" fontId="3" fillId="0" borderId="0" xfId="0" applyNumberFormat="1" applyFont="1"/>
    <xf numFmtId="43" fontId="3" fillId="0" borderId="0" xfId="2" applyFont="1" applyAlignment="1">
      <alignment horizontal="left"/>
    </xf>
    <xf numFmtId="170" fontId="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4" fontId="2" fillId="0" borderId="1" xfId="0" applyNumberFormat="1" applyFont="1" applyBorder="1"/>
    <xf numFmtId="0" fontId="15" fillId="0" borderId="0" xfId="0" applyFont="1" applyAlignment="1">
      <alignment horizontal="left" vertical="center" readingOrder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3" fillId="3" borderId="0" xfId="0" applyFont="1" applyFill="1"/>
    <xf numFmtId="37" fontId="3" fillId="0" borderId="0" xfId="0" applyNumberFormat="1" applyFont="1"/>
    <xf numFmtId="0" fontId="5" fillId="0" borderId="1" xfId="0" applyFont="1" applyBorder="1"/>
    <xf numFmtId="0" fontId="10" fillId="0" borderId="0" xfId="0" applyFont="1" applyAlignment="1">
      <alignment horizontal="center"/>
    </xf>
    <xf numFmtId="39" fontId="5" fillId="0" borderId="1" xfId="0" applyNumberFormat="1" applyFont="1" applyBorder="1" applyAlignment="1">
      <alignment horizontal="center"/>
    </xf>
    <xf numFmtId="37" fontId="5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wrapText="1"/>
    </xf>
    <xf numFmtId="172" fontId="5" fillId="0" borderId="1" xfId="0" applyNumberFormat="1" applyFont="1" applyBorder="1" applyAlignment="1">
      <alignment horizontal="center"/>
    </xf>
    <xf numFmtId="173" fontId="3" fillId="0" borderId="0" xfId="0" applyNumberFormat="1" applyFont="1"/>
    <xf numFmtId="0" fontId="15" fillId="0" borderId="0" xfId="0" applyFont="1"/>
    <xf numFmtId="4" fontId="3" fillId="0" borderId="0" xfId="2" applyNumberFormat="1" applyFont="1" applyAlignment="1">
      <alignment horizontal="center"/>
    </xf>
    <xf numFmtId="172" fontId="5" fillId="0" borderId="0" xfId="0" applyNumberFormat="1" applyFont="1" applyAlignment="1">
      <alignment horizontal="center"/>
    </xf>
    <xf numFmtId="167" fontId="3" fillId="0" borderId="0" xfId="0" applyNumberFormat="1" applyFont="1"/>
    <xf numFmtId="37" fontId="5" fillId="0" borderId="0" xfId="0" quotePrefix="1" applyNumberFormat="1" applyFont="1" applyAlignment="1">
      <alignment horizontal="center" vertical="center"/>
    </xf>
    <xf numFmtId="37" fontId="3" fillId="0" borderId="1" xfId="0" applyNumberFormat="1" applyFont="1" applyBorder="1" applyAlignment="1">
      <alignment horizontal="center" vertical="center"/>
    </xf>
    <xf numFmtId="174" fontId="18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175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4" fontId="3" fillId="0" borderId="0" xfId="0" applyNumberFormat="1" applyFont="1" applyAlignment="1">
      <alignment horizontal="center" vertical="center"/>
    </xf>
    <xf numFmtId="175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174" fontId="19" fillId="0" borderId="0" xfId="0" applyNumberFormat="1" applyFont="1"/>
    <xf numFmtId="10" fontId="20" fillId="0" borderId="0" xfId="1" applyNumberFormat="1" applyFont="1" applyAlignment="1">
      <alignment horizontal="center" vertical="center"/>
    </xf>
    <xf numFmtId="16" fontId="2" fillId="0" borderId="0" xfId="0" applyNumberFormat="1" applyFont="1" applyAlignment="1">
      <alignment horizontal="left" vertical="center"/>
    </xf>
    <xf numFmtId="16" fontId="2" fillId="0" borderId="1" xfId="0" applyNumberFormat="1" applyFont="1" applyBorder="1" applyAlignment="1">
      <alignment horizontal="left" vertical="center"/>
    </xf>
    <xf numFmtId="176" fontId="3" fillId="0" borderId="0" xfId="2" applyNumberFormat="1" applyFont="1"/>
  </cellXfs>
  <cellStyles count="3">
    <cellStyle name="Comma" xfId="2" builtinId="3"/>
    <cellStyle name="Normal" xfId="0" builtinId="0"/>
    <cellStyle name="Per cent" xfId="1" builtinId="5"/>
  </cellStyles>
  <dxfs count="13"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hoadleyibquotes_net.quotes">
      <tp t="s">
        <v>0</v>
        <stp/>
        <stp>SPX</stp>
        <stp>9</stp>
        <stp>OPT</stp>
        <stp>SMART</stp>
        <stp>USD</stp>
        <stp>20231019</stp>
        <stp>4300</stp>
        <stp>P</stp>
        <stp>100</stp>
        <stp/>
        <stp/>
        <tr r="N24" s="5"/>
      </tp>
      <tp t="s">
        <v>0</v>
        <stp/>
        <stp>SPX</stp>
        <stp>4</stp>
        <stp>OPT</stp>
        <stp>SMART</stp>
        <stp>USD</stp>
        <stp>20231019</stp>
        <stp>4300</stp>
        <stp>P</stp>
        <stp>100</stp>
        <stp/>
        <stp/>
        <tr r="O24" s="5"/>
      </tp>
      <tp t="s">
        <v>0</v>
        <stp/>
        <stp>SPX</stp>
        <stp>7</stp>
        <stp>OPT</stp>
        <stp>SMART</stp>
        <stp>USD</stp>
        <stp>20231019</stp>
        <stp>4300</stp>
        <stp>P</stp>
        <stp>100</stp>
        <stp/>
        <stp/>
        <tr r="Q24" s="5"/>
      </tp>
      <tp t="s">
        <v>0</v>
        <stp/>
        <stp>SPX</stp>
        <stp>6</stp>
        <stp>OPT</stp>
        <stp>SMART</stp>
        <stp>USD</stp>
        <stp>20231019</stp>
        <stp>4300</stp>
        <stp>P</stp>
        <stp>100</stp>
        <stp/>
        <stp/>
        <tr r="R24" s="5"/>
      </tp>
      <tp t="s">
        <v>0</v>
        <stp/>
        <stp>BP.</stp>
        <stp>10</stp>
        <stp>STK</stp>
        <stp>SMART</stp>
        <stp>GBP</stp>
        <stp/>
        <stp>0</stp>
        <stp/>
        <stp/>
        <stp/>
        <stp/>
        <tr r="M83" s="5"/>
      </tp>
      <tp t="s">
        <v>0</v>
        <stp/>
        <stp>SPX</stp>
        <stp>9</stp>
        <stp>OPT</stp>
        <stp>SMART</stp>
        <stp>USD</stp>
        <stp>20231019</stp>
        <stp>4390</stp>
        <stp>P</stp>
        <stp>100</stp>
        <stp/>
        <stp/>
        <tr r="N23" s="5"/>
      </tp>
      <tp t="s">
        <v>0</v>
        <stp/>
        <stp>SPX</stp>
        <stp>4</stp>
        <stp>OPT</stp>
        <stp>SMART</stp>
        <stp>USD</stp>
        <stp>20231019</stp>
        <stp>4390</stp>
        <stp>P</stp>
        <stp>100</stp>
        <stp/>
        <stp/>
        <tr r="O23" s="5"/>
      </tp>
      <tp t="s">
        <v>0</v>
        <stp/>
        <stp>SPX</stp>
        <stp>7</stp>
        <stp>OPT</stp>
        <stp>SMART</stp>
        <stp>USD</stp>
        <stp>20231019</stp>
        <stp>4390</stp>
        <stp>P</stp>
        <stp>100</stp>
        <stp/>
        <stp/>
        <tr r="Q23" s="5"/>
      </tp>
      <tp t="s">
        <v>0</v>
        <stp/>
        <stp>SPX</stp>
        <stp>6</stp>
        <stp>OPT</stp>
        <stp>SMART</stp>
        <stp>USD</stp>
        <stp>20231019</stp>
        <stp>4390</stp>
        <stp>P</stp>
        <stp>100</stp>
        <stp/>
        <stp/>
        <tr r="R23" s="5"/>
      </tp>
      <tp t="s">
        <v>0</v>
        <stp/>
        <stp>NIY</stp>
        <stp>10</stp>
        <stp>FUT</stp>
        <stp>CME</stp>
        <stp>JPY</stp>
        <stp>202306</stp>
        <stp>0</stp>
        <stp/>
        <stp>500</stp>
        <stp/>
        <stp/>
        <tr r="M50" s="5"/>
      </tp>
      <tp t="s">
        <v>0</v>
        <stp/>
        <stp>ZC</stp>
        <stp>9</stp>
        <stp>FOP</stp>
        <stp>CBOT</stp>
        <stp>USD</stp>
        <stp>20231124</stp>
        <stp>600</stp>
        <stp>C</stp>
        <stp>5000</stp>
        <stp/>
        <stp>OZC</stp>
        <tr r="N21" s="5"/>
      </tp>
      <tp t="s">
        <v>0</v>
        <stp/>
        <stp>SPX</stp>
        <stp>9</stp>
        <stp>OPT</stp>
        <stp>SMART</stp>
        <stp>USD</stp>
        <stp>20230622</stp>
        <stp>4340</stp>
        <stp>P</stp>
        <stp>100</stp>
        <stp/>
        <stp/>
        <tr r="N22" s="5"/>
      </tp>
      <tp t="s">
        <v>0</v>
        <stp/>
        <stp>SPX</stp>
        <stp>4</stp>
        <stp>OPT</stp>
        <stp>SMART</stp>
        <stp>USD</stp>
        <stp>20230622</stp>
        <stp>4340</stp>
        <stp>P</stp>
        <stp>100</stp>
        <stp/>
        <stp/>
        <tr r="O22" s="5"/>
      </tp>
      <tp t="s">
        <v>0</v>
        <stp/>
        <stp>SPX</stp>
        <stp>6</stp>
        <stp>OPT</stp>
        <stp>SMART</stp>
        <stp>USD</stp>
        <stp>20230622</stp>
        <stp>4340</stp>
        <stp>P</stp>
        <stp>100</stp>
        <stp/>
        <stp/>
        <tr r="R22" s="5"/>
      </tp>
      <tp t="s">
        <v>0</v>
        <stp/>
        <stp>SPX</stp>
        <stp>7</stp>
        <stp>OPT</stp>
        <stp>SMART</stp>
        <stp>USD</stp>
        <stp>20230622</stp>
        <stp>4340</stp>
        <stp>P</stp>
        <stp>100</stp>
        <stp/>
        <stp/>
        <tr r="Q22" s="5"/>
      </tp>
      <tp t="s">
        <v>0</v>
        <stp/>
        <stp>USD.JPY</stp>
        <stp>4</stp>
        <stp>CASH</stp>
        <stp>IDEALPRO</stp>
        <stp/>
        <stp/>
        <stp>0</stp>
        <stp/>
        <stp/>
        <stp/>
        <stp/>
        <tr r="O7" s="5"/>
      </tp>
      <tp t="s">
        <v>0</v>
        <stp/>
        <stp>DX</stp>
        <stp>9</stp>
        <stp>FUT</stp>
        <stp>NYBOT</stp>
        <stp>USD</stp>
        <stp>202306</stp>
        <stp>0</stp>
        <stp/>
        <stp>1000</stp>
        <stp/>
        <stp/>
        <tr r="N76" s="5"/>
      </tp>
      <tp t="s">
        <v>0</v>
        <stp/>
        <stp>DX</stp>
        <stp>6</stp>
        <stp>FUT</stp>
        <stp>NYBOT</stp>
        <stp>USD</stp>
        <stp>202306</stp>
        <stp>0</stp>
        <stp/>
        <stp>1000</stp>
        <stp/>
        <stp/>
        <tr r="R76" s="5"/>
      </tp>
      <tp t="s">
        <v>0</v>
        <stp/>
        <stp>DX</stp>
        <stp>7</stp>
        <stp>FUT</stp>
        <stp>NYBOT</stp>
        <stp>USD</stp>
        <stp>202306</stp>
        <stp>0</stp>
        <stp/>
        <stp>1000</stp>
        <stp/>
        <stp/>
        <tr r="Q76" s="5"/>
      </tp>
      <tp t="s">
        <v>0</v>
        <stp/>
        <stp>DX</stp>
        <stp>4</stp>
        <stp>FUT</stp>
        <stp>NYBOT</stp>
        <stp>USD</stp>
        <stp>202306</stp>
        <stp>0</stp>
        <stp/>
        <stp>1000</stp>
        <stp/>
        <stp/>
        <tr r="O76" s="5"/>
      </tp>
      <tp t="s">
        <v>0</v>
        <stp/>
        <stp>BBG00ZYX8V96</stp>
        <stp>7</stp>
        <stp>BOND</stp>
        <stp>SMART</stp>
        <stp>USD</stp>
        <stp/>
        <stp>0</stp>
        <stp/>
        <stp/>
        <stp/>
        <stp/>
        <tr r="Q11" s="5"/>
      </tp>
      <tp t="s">
        <v>0</v>
        <stp/>
        <stp>BBG00ZYX8V96</stp>
        <stp>6</stp>
        <stp>BOND</stp>
        <stp>SMART</stp>
        <stp>USD</stp>
        <stp/>
        <stp>0</stp>
        <stp/>
        <stp/>
        <stp/>
        <stp/>
        <tr r="R11" s="5"/>
      </tp>
      <tp t="s">
        <v>0</v>
        <stp/>
        <stp>EUR.USD</stp>
        <stp>9</stp>
        <stp>CASH</stp>
        <stp>IDEALPRO</stp>
        <stp/>
        <stp/>
        <stp>0</stp>
        <stp/>
        <stp/>
        <stp/>
        <stp/>
        <tr r="N4" s="5"/>
      </tp>
      <tp t="s">
        <v>0</v>
        <stp/>
        <stp>USD.JPY</stp>
        <stp>6</stp>
        <stp>CASH</stp>
        <stp>IDEALPRO</stp>
        <stp/>
        <stp/>
        <stp>0</stp>
        <stp/>
        <stp/>
        <stp/>
        <stp/>
        <tr r="R7" s="5"/>
      </tp>
      <tp t="s">
        <v>0</v>
        <stp/>
        <stp>USD.JPY</stp>
        <stp>7</stp>
        <stp>CASH</stp>
        <stp>IDEALPRO</stp>
        <stp/>
        <stp/>
        <stp>0</stp>
        <stp/>
        <stp/>
        <stp/>
        <stp/>
        <tr r="Q7" s="5"/>
      </tp>
      <tp t="s">
        <v>0</v>
        <stp/>
        <stp>CT</stp>
        <stp>9</stp>
        <stp>FUT</stp>
        <stp>NYBOT</stp>
        <stp>USD</stp>
        <stp>202407</stp>
        <stp>0</stp>
        <stp/>
        <stp>50000</stp>
        <stp/>
        <stp/>
        <tr r="N66" s="5"/>
      </tp>
      <tp t="s">
        <v>0</v>
        <stp/>
        <stp>CT</stp>
        <stp>6</stp>
        <stp>FUT</stp>
        <stp>NYBOT</stp>
        <stp>USD</stp>
        <stp>202407</stp>
        <stp>0</stp>
        <stp/>
        <stp>50000</stp>
        <stp/>
        <stp/>
        <tr r="R66" s="5"/>
      </tp>
      <tp t="s">
        <v>0</v>
        <stp/>
        <stp>CT</stp>
        <stp>7</stp>
        <stp>FUT</stp>
        <stp>NYBOT</stp>
        <stp>USD</stp>
        <stp>202407</stp>
        <stp>0</stp>
        <stp/>
        <stp>50000</stp>
        <stp/>
        <stp/>
        <tr r="Q66" s="5"/>
      </tp>
      <tp t="s">
        <v>0</v>
        <stp/>
        <stp>CT</stp>
        <stp>4</stp>
        <stp>FUT</stp>
        <stp>NYBOT</stp>
        <stp>USD</stp>
        <stp>202407</stp>
        <stp>0</stp>
        <stp/>
        <stp>50000</stp>
        <stp/>
        <stp/>
        <tr r="O66" s="5"/>
      </tp>
      <tp t="s">
        <v>0</v>
        <stp/>
        <stp>BBG00ZYX8V96</stp>
        <stp>4</stp>
        <stp>BOND</stp>
        <stp>SMART</stp>
        <stp>USD</stp>
        <stp/>
        <stp>0</stp>
        <stp/>
        <stp/>
        <stp/>
        <stp/>
        <tr r="O11" s="5"/>
      </tp>
      <tp t="s">
        <v>0</v>
        <stp/>
        <stp>EUR.USD</stp>
        <stp>7</stp>
        <stp>CASH</stp>
        <stp>IDEALPRO</stp>
        <stp/>
        <stp/>
        <stp>0</stp>
        <stp/>
        <stp/>
        <stp/>
        <stp/>
        <tr r="Q4" s="5"/>
      </tp>
      <tp t="s">
        <v>0</v>
        <stp/>
        <stp>EUR.USD</stp>
        <stp>6</stp>
        <stp>CASH</stp>
        <stp>IDEALPRO</stp>
        <stp/>
        <stp/>
        <stp>0</stp>
        <stp/>
        <stp/>
        <stp/>
        <stp/>
        <tr r="R4" s="5"/>
      </tp>
      <tp t="s">
        <v>0</v>
        <stp/>
        <stp>USD.JPY</stp>
        <stp>9</stp>
        <stp>CASH</stp>
        <stp>IDEALPRO</stp>
        <stp/>
        <stp/>
        <stp>0</stp>
        <stp/>
        <stp/>
        <stp/>
        <stp/>
        <tr r="N7" s="5"/>
      </tp>
      <tp t="s">
        <v>0</v>
        <stp/>
        <stp>USD.JPY</stp>
        <stp>10</stp>
        <stp>CASH</stp>
        <stp>IDEALPRO</stp>
        <stp/>
        <stp/>
        <stp>0</stp>
        <stp/>
        <stp/>
        <stp/>
        <stp/>
        <tr r="M7" s="5"/>
      </tp>
      <tp t="s">
        <v>0</v>
        <stp/>
        <stp>BBG00ZYX8V96</stp>
        <stp>9</stp>
        <stp>BOND</stp>
        <stp>SMART</stp>
        <stp>USD</stp>
        <stp/>
        <stp>0</stp>
        <stp/>
        <stp/>
        <stp/>
        <stp/>
        <tr r="N11" s="5"/>
      </tp>
      <tp t="s">
        <v>0</v>
        <stp/>
        <stp>EUR.USD</stp>
        <stp>4</stp>
        <stp>CASH</stp>
        <stp>IDEALPRO</stp>
        <stp/>
        <stp/>
        <stp>0</stp>
        <stp/>
        <stp/>
        <stp/>
        <stp/>
        <tr r="O4" s="5"/>
      </tp>
      <tp t="s">
        <v>0</v>
        <stp/>
        <stp>CL</stp>
        <stp>4</stp>
        <stp>FUT</stp>
        <stp>NYMEX</stp>
        <stp>USD</stp>
        <stp>202404</stp>
        <stp>0</stp>
        <stp/>
        <stp>1000</stp>
        <stp/>
        <stp/>
        <tr r="O52" s="5"/>
      </tp>
      <tp t="s">
        <v>0</v>
        <stp/>
        <stp>CL</stp>
        <stp>7</stp>
        <stp>FUT</stp>
        <stp>NYMEX</stp>
        <stp>USD</stp>
        <stp>202404</stp>
        <stp>0</stp>
        <stp/>
        <stp>1000</stp>
        <stp/>
        <stp/>
        <tr r="Q52" s="5"/>
      </tp>
      <tp t="s">
        <v>0</v>
        <stp/>
        <stp>CL</stp>
        <stp>6</stp>
        <stp>FUT</stp>
        <stp>NYMEX</stp>
        <stp>USD</stp>
        <stp>202404</stp>
        <stp>0</stp>
        <stp/>
        <stp>1000</stp>
        <stp/>
        <stp/>
        <tr r="R52" s="5"/>
      </tp>
      <tp t="s">
        <v>0</v>
        <stp/>
        <stp>CL</stp>
        <stp>9</stp>
        <stp>FUT</stp>
        <stp>NYMEX</stp>
        <stp>USD</stp>
        <stp>202404</stp>
        <stp>0</stp>
        <stp/>
        <stp>1000</stp>
        <stp/>
        <stp/>
        <tr r="N52" s="5"/>
      </tp>
      <tp t="s">
        <v>0</v>
        <stp/>
        <stp>EUR.USD</stp>
        <stp>10</stp>
        <stp>CASH</stp>
        <stp>IDEALPRO</stp>
        <stp/>
        <stp/>
        <stp>0</stp>
        <stp/>
        <stp/>
        <stp/>
        <stp/>
        <tr r="M4" s="5"/>
      </tp>
      <tp t="s">
        <v>0</v>
        <stp/>
        <stp>SX7E</stp>
        <stp>4</stp>
        <stp>FUT</stp>
        <stp>EUREX</stp>
        <stp>EUR</stp>
        <stp>202306</stp>
        <stp>0</stp>
        <stp/>
        <stp>50</stp>
        <stp/>
        <stp/>
        <tr r="O49" s="5"/>
      </tp>
      <tp t="s">
        <v>0</v>
        <stp/>
        <stp>SX7E</stp>
        <stp>6</stp>
        <stp>FUT</stp>
        <stp>EUREX</stp>
        <stp>EUR</stp>
        <stp>202306</stp>
        <stp>0</stp>
        <stp/>
        <stp>50</stp>
        <stp/>
        <stp/>
        <tr r="R49" s="5"/>
      </tp>
      <tp t="s">
        <v>0</v>
        <stp/>
        <stp>SX7E</stp>
        <stp>7</stp>
        <stp>FUT</stp>
        <stp>EUREX</stp>
        <stp>EUR</stp>
        <stp>202306</stp>
        <stp>0</stp>
        <stp/>
        <stp>50</stp>
        <stp/>
        <stp/>
        <tr r="Q49" s="5"/>
      </tp>
      <tp t="s">
        <v>0</v>
        <stp/>
        <stp>SX7E</stp>
        <stp>9</stp>
        <stp>FUT</stp>
        <stp>EUREX</stp>
        <stp>EUR</stp>
        <stp>202306</stp>
        <stp>0</stp>
        <stp/>
        <stp>50</stp>
        <stp/>
        <stp/>
        <tr r="N49" s="5"/>
      </tp>
      <tp t="s">
        <v>0</v>
        <stp/>
        <stp>DX</stp>
        <stp>10</stp>
        <stp>FUT</stp>
        <stp>NYBOT</stp>
        <stp>USD</stp>
        <stp>202306</stp>
        <stp>0</stp>
        <stp/>
        <stp>1000</stp>
        <stp/>
        <stp/>
        <tr r="M76" s="5"/>
      </tp>
      <tp t="s">
        <v>0</v>
        <stp/>
        <stp>AAPL</stp>
        <stp>10</stp>
        <stp>STK</stp>
        <stp>SMART</stp>
        <stp>USD</stp>
        <stp/>
        <stp>0</stp>
        <stp/>
        <stp/>
        <stp>NASDAQ</stp>
        <stp/>
        <tr r="M90" s="5"/>
      </tp>
      <tp t="s">
        <v>0</v>
        <stp/>
        <stp>BTP</stp>
        <stp>9</stp>
        <stp>FUT</stp>
        <stp>EUREX</stp>
        <stp>EUR</stp>
        <stp>202306</stp>
        <stp>0</stp>
        <stp/>
        <stp>1000</stp>
        <stp/>
        <stp/>
        <tr r="N75" s="5"/>
      </tp>
      <tp t="s">
        <v>0</v>
        <stp/>
        <stp>BTP</stp>
        <stp>7</stp>
        <stp>FUT</stp>
        <stp>EUREX</stp>
        <stp>EUR</stp>
        <stp>202306</stp>
        <stp>0</stp>
        <stp/>
        <stp>1000</stp>
        <stp/>
        <stp/>
        <tr r="Q75" s="5"/>
      </tp>
      <tp t="s">
        <v>0</v>
        <stp/>
        <stp>BTP</stp>
        <stp>6</stp>
        <stp>FUT</stp>
        <stp>EUREX</stp>
        <stp>EUR</stp>
        <stp>202306</stp>
        <stp>0</stp>
        <stp/>
        <stp>1000</stp>
        <stp/>
        <stp/>
        <tr r="R75" s="5"/>
      </tp>
      <tp t="s">
        <v>0</v>
        <stp/>
        <stp>BTP</stp>
        <stp>4</stp>
        <stp>FUT</stp>
        <stp>EUREX</stp>
        <stp>EUR</stp>
        <stp>202306</stp>
        <stp>0</stp>
        <stp/>
        <stp>1000</stp>
        <stp/>
        <stp/>
        <tr r="O75" s="5"/>
      </tp>
      <tp t="s">
        <v>0</v>
        <stp/>
        <stp>ZC</stp>
        <stp>6</stp>
        <stp>FOP</stp>
        <stp>CBOT</stp>
        <stp>USD</stp>
        <stp>20231124</stp>
        <stp>600</stp>
        <stp>C</stp>
        <stp>5000</stp>
        <stp/>
        <stp>OZC</stp>
        <tr r="R21" s="5"/>
      </tp>
      <tp t="s">
        <v>0</v>
        <stp/>
        <stp>SB</stp>
        <stp>9</stp>
        <stp>FUT</stp>
        <stp>NYBOT</stp>
        <stp>USD</stp>
        <stp>202310</stp>
        <stp>0</stp>
        <stp/>
        <stp>112000</stp>
        <stp/>
        <stp/>
        <tr r="N63" s="5"/>
      </tp>
      <tp t="s">
        <v>0</v>
        <stp/>
        <stp>SB</stp>
        <stp>4</stp>
        <stp>FUT</stp>
        <stp>NYBOT</stp>
        <stp>USD</stp>
        <stp>202310</stp>
        <stp>0</stp>
        <stp/>
        <stp>112000</stp>
        <stp/>
        <stp/>
        <tr r="O63" s="5"/>
      </tp>
      <tp t="s">
        <v>0</v>
        <stp/>
        <stp>SB</stp>
        <stp>7</stp>
        <stp>FUT</stp>
        <stp>NYBOT</stp>
        <stp>USD</stp>
        <stp>202310</stp>
        <stp>0</stp>
        <stp/>
        <stp>112000</stp>
        <stp/>
        <stp/>
        <tr r="Q63" s="5"/>
      </tp>
      <tp t="s">
        <v>0</v>
        <stp/>
        <stp>SB</stp>
        <stp>6</stp>
        <stp>FUT</stp>
        <stp>NYBOT</stp>
        <stp>USD</stp>
        <stp>202310</stp>
        <stp>0</stp>
        <stp/>
        <stp>112000</stp>
        <stp/>
        <stp/>
        <tr r="R63" s="5"/>
      </tp>
      <tp t="s">
        <v>0</v>
        <stp/>
        <stp>CYTK</stp>
        <stp>10</stp>
        <stp>STK</stp>
        <stp>SMART</stp>
        <stp>USD</stp>
        <stp/>
        <stp>0</stp>
        <stp/>
        <stp/>
        <stp/>
        <stp/>
        <tr r="M89" s="5"/>
      </tp>
      <tp t="s">
        <v>0</v>
        <stp/>
        <stp>ZC</stp>
        <stp>7</stp>
        <stp>FOP</stp>
        <stp>CBOT</stp>
        <stp>USD</stp>
        <stp>20231124</stp>
        <stp>600</stp>
        <stp>C</stp>
        <stp>5000</stp>
        <stp/>
        <stp>OZC</stp>
        <tr r="Q21" s="5"/>
      </tp>
      <tp t="s">
        <v>0</v>
        <stp/>
        <stp>EUR.CHF</stp>
        <stp>9</stp>
        <stp>CASH</stp>
        <stp>IDEALPRO</stp>
        <stp/>
        <stp/>
        <stp>0</stp>
        <stp/>
        <stp/>
        <stp/>
        <stp/>
        <tr r="N6" s="5"/>
      </tp>
      <tp t="s">
        <v>0</v>
        <stp/>
        <stp>SAN</stp>
        <stp>10</stp>
        <stp>STK</stp>
        <stp>SMART</stp>
        <stp>EUR</stp>
        <stp/>
        <stp>0</stp>
        <stp/>
        <stp/>
        <stp/>
        <stp/>
        <tr r="M87" s="5"/>
      </tp>
      <tp t="s">
        <v>0</v>
        <stp/>
        <stp>SI</stp>
        <stp>4</stp>
        <stp>FOP</stp>
        <stp>COMEX</stp>
        <stp>USD</stp>
        <stp>20231127</stp>
        <stp>22.2</stp>
        <stp>C</stp>
        <stp>5000</stp>
        <stp/>
        <stp/>
        <tr r="O28" s="5"/>
      </tp>
      <tp t="s">
        <v>0</v>
        <stp/>
        <stp>SI</stp>
        <stp>4</stp>
        <stp>FOP</stp>
        <stp>COMEX</stp>
        <stp>USD</stp>
        <stp>20231127</stp>
        <stp>24.7</stp>
        <stp>C</stp>
        <stp>5000</stp>
        <stp/>
        <stp/>
        <tr r="O29" s="5"/>
      </tp>
      <tp t="s">
        <v>0</v>
        <stp/>
        <stp>CL</stp>
        <stp>10</stp>
        <stp>FUT</stp>
        <stp>NYMEX</stp>
        <stp>USD</stp>
        <stp>202404</stp>
        <stp>0</stp>
        <stp/>
        <stp>1000</stp>
        <stp/>
        <stp/>
        <tr r="M52" s="5"/>
      </tp>
      <tp t="s">
        <v>0</v>
        <stp/>
        <stp>RNO</stp>
        <stp>10</stp>
        <stp>STK</stp>
        <stp>SMART</stp>
        <stp>EUR</stp>
        <stp/>
        <stp>0</stp>
        <stp/>
        <stp/>
        <stp/>
        <stp/>
        <tr r="M86" s="5"/>
      </tp>
      <tp t="s">
        <v>0</v>
        <stp/>
        <stp>SI</stp>
        <stp>10</stp>
        <stp>FUT</stp>
        <stp>COMEX</stp>
        <stp>USD</stp>
        <stp>202312</stp>
        <stp>0</stp>
        <stp/>
        <stp>5000</stp>
        <stp/>
        <stp/>
        <tr r="M58" s="5"/>
      </tp>
      <tp t="s">
        <v>0</v>
        <stp/>
        <stp>HG</stp>
        <stp>4</stp>
        <stp>FUT</stp>
        <stp>COMEX</stp>
        <stp>USD</stp>
        <stp>202405</stp>
        <stp>0</stp>
        <stp/>
        <stp>25000</stp>
        <stp/>
        <stp/>
        <tr r="O56" s="5"/>
      </tp>
      <tp t="s">
        <v>0</v>
        <stp/>
        <stp>HG</stp>
        <stp>4</stp>
        <stp>FUT</stp>
        <stp>COMEX</stp>
        <stp>USD</stp>
        <stp>202403</stp>
        <stp>0</stp>
        <stp/>
        <stp>25000</stp>
        <stp/>
        <stp/>
        <tr r="O55" s="5"/>
      </tp>
      <tp t="s">
        <v>0</v>
        <stp/>
        <stp>HG</stp>
        <stp>7</stp>
        <stp>FUT</stp>
        <stp>COMEX</stp>
        <stp>USD</stp>
        <stp>202405</stp>
        <stp>0</stp>
        <stp/>
        <stp>25000</stp>
        <stp/>
        <stp/>
        <tr r="Q56" s="5"/>
      </tp>
      <tp t="s">
        <v>0</v>
        <stp/>
        <stp>HG</stp>
        <stp>7</stp>
        <stp>FUT</stp>
        <stp>COMEX</stp>
        <stp>USD</stp>
        <stp>202403</stp>
        <stp>0</stp>
        <stp/>
        <stp>25000</stp>
        <stp/>
        <stp/>
        <tr r="Q55" s="5"/>
      </tp>
      <tp t="s">
        <v>0</v>
        <stp/>
        <stp>HG</stp>
        <stp>6</stp>
        <stp>FUT</stp>
        <stp>COMEX</stp>
        <stp>USD</stp>
        <stp>202405</stp>
        <stp>0</stp>
        <stp/>
        <stp>25000</stp>
        <stp/>
        <stp/>
        <tr r="R56" s="5"/>
      </tp>
      <tp t="s">
        <v>0</v>
        <stp/>
        <stp>HG</stp>
        <stp>6</stp>
        <stp>FUT</stp>
        <stp>COMEX</stp>
        <stp>USD</stp>
        <stp>202403</stp>
        <stp>0</stp>
        <stp/>
        <stp>25000</stp>
        <stp/>
        <stp/>
        <tr r="R55" s="5"/>
      </tp>
      <tp t="s">
        <v>0</v>
        <stp/>
        <stp>HG</stp>
        <stp>9</stp>
        <stp>FUT</stp>
        <stp>COMEX</stp>
        <stp>USD</stp>
        <stp>202405</stp>
        <stp>0</stp>
        <stp/>
        <stp>25000</stp>
        <stp/>
        <stp/>
        <tr r="N56" s="5"/>
      </tp>
      <tp t="s">
        <v>0</v>
        <stp/>
        <stp>HG</stp>
        <stp>9</stp>
        <stp>FUT</stp>
        <stp>COMEX</stp>
        <stp>USD</stp>
        <stp>202403</stp>
        <stp>0</stp>
        <stp/>
        <stp>25000</stp>
        <stp/>
        <stp/>
        <tr r="N55" s="5"/>
      </tp>
      <tp t="s">
        <v>0</v>
        <stp/>
        <stp>BBG00ZYX8V96</stp>
        <stp>10</stp>
        <stp>BOND</stp>
        <stp>SMART</stp>
        <stp>USD</stp>
        <stp/>
        <stp>0</stp>
        <stp/>
        <stp/>
        <stp/>
        <stp/>
        <tr r="M11" s="5"/>
      </tp>
      <tp t="s">
        <v>0</v>
        <stp/>
        <stp>SI</stp>
        <stp>4</stp>
        <stp>FOP</stp>
        <stp>COMEX</stp>
        <stp>USD</stp>
        <stp>20240325</stp>
        <stp>26.5</stp>
        <stp>C</stp>
        <stp>5000</stp>
        <stp/>
        <stp/>
        <tr r="O30" s="5"/>
      </tp>
      <tp t="s">
        <v>0</v>
        <stp/>
        <stp>BBG00JC22VC6</stp>
        <stp>7</stp>
        <stp>BOND</stp>
        <stp>SMART</stp>
        <stp>USD</stp>
        <stp/>
        <stp>0</stp>
        <stp/>
        <stp/>
        <stp/>
        <stp/>
        <tr r="Q13" s="5"/>
      </tp>
      <tp t="s">
        <v>0</v>
        <stp/>
        <stp>EUR.GBP</stp>
        <stp>9</stp>
        <stp>CASH</stp>
        <stp>IDEALPRO</stp>
        <stp/>
        <stp/>
        <stp>0</stp>
        <stp/>
        <stp/>
        <stp/>
        <stp/>
        <tr r="N5" s="5"/>
      </tp>
      <tp t="s">
        <v>0</v>
        <stp/>
        <stp>NQ</stp>
        <stp>9</stp>
        <stp>FOP</stp>
        <stp>CME</stp>
        <stp>USD</stp>
        <stp>20230630</stp>
        <stp>13800</stp>
        <stp>C</stp>
        <stp>20</stp>
        <stp/>
        <stp/>
        <tr r="N20" s="5"/>
      </tp>
      <tp t="s">
        <v>0</v>
        <stp/>
        <stp>BBG00JC22VC6</stp>
        <stp>6</stp>
        <stp>BOND</stp>
        <stp>SMART</stp>
        <stp>USD</stp>
        <stp/>
        <stp>0</stp>
        <stp/>
        <stp/>
        <stp/>
        <stp/>
        <tr r="R13" s="5"/>
      </tp>
      <tp t="s">
        <v>0</v>
        <stp/>
        <stp>KC</stp>
        <stp>9</stp>
        <stp>FUT</stp>
        <stp>NYBOT</stp>
        <stp>USD</stp>
        <stp>202405</stp>
        <stp>0</stp>
        <stp/>
        <stp>37500</stp>
        <stp/>
        <stp/>
        <tr r="N64" s="5"/>
      </tp>
      <tp t="s">
        <v>0</v>
        <stp/>
        <stp>KC</stp>
        <stp>7</stp>
        <stp>FUT</stp>
        <stp>NYBOT</stp>
        <stp>USD</stp>
        <stp>202405</stp>
        <stp>0</stp>
        <stp/>
        <stp>37500</stp>
        <stp/>
        <stp/>
        <tr r="Q64" s="5"/>
      </tp>
      <tp t="s">
        <v>0</v>
        <stp/>
        <stp>KC</stp>
        <stp>6</stp>
        <stp>FUT</stp>
        <stp>NYBOT</stp>
        <stp>USD</stp>
        <stp>202405</stp>
        <stp>0</stp>
        <stp/>
        <stp>37500</stp>
        <stp/>
        <stp/>
        <tr r="R64" s="5"/>
      </tp>
      <tp t="s">
        <v>0</v>
        <stp/>
        <stp>KC</stp>
        <stp>4</stp>
        <stp>FUT</stp>
        <stp>NYBOT</stp>
        <stp>USD</stp>
        <stp>202405</stp>
        <stp>0</stp>
        <stp/>
        <stp>37500</stp>
        <stp/>
        <stp/>
        <tr r="O64" s="5"/>
      </tp>
      <tp t="s">
        <v>0</v>
        <stp/>
        <stp>BBG00JC22VC6</stp>
        <stp>4</stp>
        <stp>BOND</stp>
        <stp>SMART</stp>
        <stp>USD</stp>
        <stp/>
        <stp>0</stp>
        <stp/>
        <stp/>
        <stp/>
        <stp/>
        <tr r="O13" s="5"/>
      </tp>
      <tp t="s">
        <v>0</v>
        <stp/>
        <stp>EUR.CHF</stp>
        <stp>10</stp>
        <stp>CASH</stp>
        <stp>IDEALPRO</stp>
        <stp/>
        <stp/>
        <stp>0</stp>
        <stp/>
        <stp/>
        <stp/>
        <stp/>
        <tr r="M6" s="5"/>
      </tp>
      <tp t="s">
        <v>0</v>
        <stp/>
        <stp>NQ</stp>
        <stp>9</stp>
        <stp>FUT</stp>
        <stp>CME</stp>
        <stp>USD</stp>
        <stp>202406</stp>
        <stp>0</stp>
        <stp/>
        <stp>20</stp>
        <stp/>
        <stp/>
        <tr r="N43" s="5"/>
      </tp>
      <tp t="s">
        <v>0</v>
        <stp/>
        <stp>NQ</stp>
        <stp>7</stp>
        <stp>FUT</stp>
        <stp>CME</stp>
        <stp>USD</stp>
        <stp>202406</stp>
        <stp>0</stp>
        <stp/>
        <stp>20</stp>
        <stp/>
        <stp/>
        <tr r="Q43" s="5"/>
      </tp>
      <tp t="s">
        <v>0</v>
        <stp/>
        <stp>NQ</stp>
        <stp>6</stp>
        <stp>FUT</stp>
        <stp>CME</stp>
        <stp>USD</stp>
        <stp>202406</stp>
        <stp>0</stp>
        <stp/>
        <stp>20</stp>
        <stp/>
        <stp/>
        <tr r="R43" s="5"/>
      </tp>
      <tp t="s">
        <v>0</v>
        <stp/>
        <stp>NQ</stp>
        <stp>4</stp>
        <stp>FUT</stp>
        <stp>CME</stp>
        <stp>USD</stp>
        <stp>202406</stp>
        <stp>0</stp>
        <stp/>
        <stp>20</stp>
        <stp/>
        <stp/>
        <tr r="O43" s="5"/>
      </tp>
      <tp t="s">
        <v>0</v>
        <stp/>
        <stp>INDV</stp>
        <stp>10</stp>
        <stp>STK</stp>
        <stp>SMART</stp>
        <stp>GBP</stp>
        <stp/>
        <stp>0</stp>
        <stp/>
        <stp/>
        <stp/>
        <stp/>
        <tr r="M84" s="5"/>
      </tp>
      <tp t="s">
        <v>0</v>
        <stp/>
        <stp>EUR.GBP</stp>
        <stp>4</stp>
        <stp>CASH</stp>
        <stp>IDEALPRO</stp>
        <stp/>
        <stp/>
        <stp>0</stp>
        <stp/>
        <stp/>
        <stp/>
        <stp/>
        <tr r="O5" s="5"/>
      </tp>
      <tp t="s">
        <v>0</v>
        <stp/>
        <stp>NQ</stp>
        <stp>4</stp>
        <stp>FOP</stp>
        <stp>CME</stp>
        <stp>USD</stp>
        <stp>20230630</stp>
        <stp>13800</stp>
        <stp>C</stp>
        <stp>20</stp>
        <stp/>
        <stp/>
        <tr r="O20" s="5"/>
      </tp>
      <tp t="s">
        <v>0</v>
        <stp/>
        <stp>ES</stp>
        <stp>10</stp>
        <stp>FOP</stp>
        <stp>CME</stp>
        <stp>USD</stp>
        <stp>20240430</stp>
        <stp>5020</stp>
        <stp>P</stp>
        <stp>50</stp>
        <stp>CME</stp>
        <stp/>
        <tr r="M19" s="5"/>
      </tp>
      <tp t="s">
        <v>0</v>
        <stp/>
        <stp>ES</stp>
        <stp>10</stp>
        <stp>FOP</stp>
        <stp>CME</stp>
        <stp>USD</stp>
        <stp>20240430</stp>
        <stp>4920</stp>
        <stp>P</stp>
        <stp>50</stp>
        <stp>CME</stp>
        <stp/>
        <tr r="M18" s="5"/>
      </tp>
      <tp t="s">
        <v>0</v>
        <stp/>
        <stp>BBG00JC22VC6</stp>
        <stp>9</stp>
        <stp>BOND</stp>
        <stp>SMART</stp>
        <stp>USD</stp>
        <stp/>
        <stp>0</stp>
        <stp/>
        <stp/>
        <stp/>
        <stp/>
        <tr r="N13" s="5"/>
      </tp>
      <tp t="s">
        <v>0</v>
        <stp/>
        <stp>EUR.GBP</stp>
        <stp>7</stp>
        <stp>CASH</stp>
        <stp>IDEALPRO</stp>
        <stp/>
        <stp/>
        <stp>0</stp>
        <stp/>
        <stp/>
        <stp/>
        <stp/>
        <tr r="Q5" s="5"/>
      </tp>
      <tp t="s">
        <v>0</v>
        <stp/>
        <stp>NQ</stp>
        <stp>7</stp>
        <stp>FOP</stp>
        <stp>CME</stp>
        <stp>USD</stp>
        <stp>20230630</stp>
        <stp>13800</stp>
        <stp>C</stp>
        <stp>20</stp>
        <stp/>
        <stp/>
        <tr r="Q20" s="5"/>
      </tp>
      <tp t="s">
        <v>0</v>
        <stp/>
        <stp>ES</stp>
        <stp>10</stp>
        <stp>FOP</stp>
        <stp>CME</stp>
        <stp>USD</stp>
        <stp>20231130</stp>
        <stp>4200</stp>
        <stp>P</stp>
        <stp>50</stp>
        <stp/>
        <stp/>
        <tr r="M17" s="5"/>
      </tp>
      <tp t="s">
        <v>0</v>
        <stp/>
        <stp>EUR.GBP</stp>
        <stp>6</stp>
        <stp>CASH</stp>
        <stp>IDEALPRO</stp>
        <stp/>
        <stp/>
        <stp>0</stp>
        <stp/>
        <stp/>
        <stp/>
        <stp/>
        <tr r="R5" s="5"/>
      </tp>
      <tp t="s">
        <v>0</v>
        <stp/>
        <stp>ES</stp>
        <stp>10</stp>
        <stp>FOP</stp>
        <stp>CME</stp>
        <stp>USD</stp>
        <stp>20231130</stp>
        <stp>4400</stp>
        <stp>C</stp>
        <stp>50</stp>
        <stp/>
        <stp/>
        <tr r="M16" s="5"/>
      </tp>
      <tp t="s">
        <v>0</v>
        <stp/>
        <stp>GBL</stp>
        <stp>9</stp>
        <stp>FUT</stp>
        <stp>EUREX</stp>
        <stp>EUR</stp>
        <stp>202306</stp>
        <stp>0</stp>
        <stp/>
        <stp>1000</stp>
        <stp/>
        <stp/>
        <tr r="N73" s="5"/>
      </tp>
      <tp t="s">
        <v>0</v>
        <stp/>
        <stp>GBL</stp>
        <stp>6</stp>
        <stp>FUT</stp>
        <stp>EUREX</stp>
        <stp>EUR</stp>
        <stp>202306</stp>
        <stp>0</stp>
        <stp/>
        <stp>1000</stp>
        <stp/>
        <stp/>
        <tr r="R73" s="5"/>
      </tp>
      <tp t="s">
        <v>0</v>
        <stp/>
        <stp>GBL</stp>
        <stp>7</stp>
        <stp>FUT</stp>
        <stp>EUREX</stp>
        <stp>EUR</stp>
        <stp>202306</stp>
        <stp>0</stp>
        <stp/>
        <stp>1000</stp>
        <stp/>
        <stp/>
        <tr r="Q73" s="5"/>
      </tp>
      <tp t="s">
        <v>0</v>
        <stp/>
        <stp>GBL</stp>
        <stp>4</stp>
        <stp>FUT</stp>
        <stp>EUREX</stp>
        <stp>EUR</stp>
        <stp>202306</stp>
        <stp>0</stp>
        <stp/>
        <stp>1000</stp>
        <stp/>
        <stp/>
        <tr r="O73" s="5"/>
      </tp>
      <tp t="s">
        <v>0</v>
        <stp/>
        <stp>NQ</stp>
        <stp>6</stp>
        <stp>FOP</stp>
        <stp>CME</stp>
        <stp>USD</stp>
        <stp>20230630</stp>
        <stp>13800</stp>
        <stp>C</stp>
        <stp>20</stp>
        <stp/>
        <stp/>
        <tr r="R20" s="5"/>
      </tp>
      <tp t="s">
        <v>0</v>
        <stp/>
        <stp>GBX</stp>
        <stp>9</stp>
        <stp>FUT</stp>
        <stp>EUREX</stp>
        <stp>EUR</stp>
        <stp>202306</stp>
        <stp>0</stp>
        <stp/>
        <stp>1000</stp>
        <stp/>
        <stp/>
        <tr r="N74" s="5"/>
      </tp>
      <tp t="s">
        <v>0</v>
        <stp/>
        <stp>GBX</stp>
        <stp>6</stp>
        <stp>FUT</stp>
        <stp>EUREX</stp>
        <stp>EUR</stp>
        <stp>202306</stp>
        <stp>0</stp>
        <stp/>
        <stp>1000</stp>
        <stp/>
        <stp/>
        <tr r="R74" s="5"/>
      </tp>
      <tp t="s">
        <v>0</v>
        <stp/>
        <stp>GBX</stp>
        <stp>7</stp>
        <stp>FUT</stp>
        <stp>EUREX</stp>
        <stp>EUR</stp>
        <stp>202306</stp>
        <stp>0</stp>
        <stp/>
        <stp>1000</stp>
        <stp/>
        <stp/>
        <tr r="Q74" s="5"/>
      </tp>
      <tp t="s">
        <v>0</v>
        <stp/>
        <stp>GBX</stp>
        <stp>4</stp>
        <stp>FUT</stp>
        <stp>EUREX</stp>
        <stp>EUR</stp>
        <stp>202306</stp>
        <stp>0</stp>
        <stp/>
        <stp>1000</stp>
        <stp/>
        <stp/>
        <tr r="O74" s="5"/>
      </tp>
      <tp t="s">
        <v>0</v>
        <stp/>
        <stp>NG</stp>
        <stp>4</stp>
        <stp>FUT</stp>
        <stp>NYMEX</stp>
        <stp>USD</stp>
        <stp>202403</stp>
        <stp>0</stp>
        <stp/>
        <stp>10000</stp>
        <stp/>
        <stp/>
        <tr r="O53" s="5"/>
      </tp>
      <tp t="s">
        <v>0</v>
        <stp/>
        <stp>NG</stp>
        <stp>7</stp>
        <stp>FUT</stp>
        <stp>NYMEX</stp>
        <stp>USD</stp>
        <stp>202403</stp>
        <stp>0</stp>
        <stp/>
        <stp>10000</stp>
        <stp/>
        <stp/>
        <tr r="Q53" s="5"/>
      </tp>
      <tp t="s">
        <v>0</v>
        <stp/>
        <stp>NG</stp>
        <stp>6</stp>
        <stp>FUT</stp>
        <stp>NYMEX</stp>
        <stp>USD</stp>
        <stp>202403</stp>
        <stp>0</stp>
        <stp/>
        <stp>10000</stp>
        <stp/>
        <stp/>
        <tr r="R53" s="5"/>
      </tp>
      <tp t="s">
        <v>0</v>
        <stp/>
        <stp>NG</stp>
        <stp>9</stp>
        <stp>FUT</stp>
        <stp>NYMEX</stp>
        <stp>USD</stp>
        <stp>202403</stp>
        <stp>0</stp>
        <stp/>
        <stp>10000</stp>
        <stp/>
        <stp/>
        <tr r="N53" s="5"/>
      </tp>
      <tp t="s">
        <v>0</v>
        <stp/>
        <stp>RB</stp>
        <stp>4</stp>
        <stp>FUT</stp>
        <stp>NYMEX</stp>
        <stp>USD</stp>
        <stp>202401</stp>
        <stp>0</stp>
        <stp/>
        <stp>42000</stp>
        <stp/>
        <stp/>
        <tr r="O54" s="5"/>
      </tp>
      <tp t="s">
        <v>0</v>
        <stp/>
        <stp>RB</stp>
        <stp>7</stp>
        <stp>FUT</stp>
        <stp>NYMEX</stp>
        <stp>USD</stp>
        <stp>202401</stp>
        <stp>0</stp>
        <stp/>
        <stp>42000</stp>
        <stp/>
        <stp/>
        <tr r="Q54" s="5"/>
      </tp>
      <tp t="s">
        <v>0</v>
        <stp/>
        <stp>RB</stp>
        <stp>6</stp>
        <stp>FUT</stp>
        <stp>NYMEX</stp>
        <stp>USD</stp>
        <stp>202401</stp>
        <stp>0</stp>
        <stp/>
        <stp>42000</stp>
        <stp/>
        <stp/>
        <tr r="R54" s="5"/>
      </tp>
      <tp t="s">
        <v>0</v>
        <stp/>
        <stp>RB</stp>
        <stp>9</stp>
        <stp>FUT</stp>
        <stp>NYMEX</stp>
        <stp>USD</stp>
        <stp>202401</stp>
        <stp>0</stp>
        <stp/>
        <stp>42000</stp>
        <stp/>
        <stp/>
        <tr r="N54" s="5"/>
      </tp>
      <tp t="s">
        <v>0</v>
        <stp/>
        <stp>SI</stp>
        <stp>4</stp>
        <stp>FUT</stp>
        <stp>COMEX</stp>
        <stp>USD</stp>
        <stp>202312</stp>
        <stp>0</stp>
        <stp/>
        <stp>5000</stp>
        <stp/>
        <stp/>
        <tr r="O58" s="5"/>
      </tp>
      <tp t="s">
        <v>0</v>
        <stp/>
        <stp>SI</stp>
        <stp>6</stp>
        <stp>FUT</stp>
        <stp>COMEX</stp>
        <stp>USD</stp>
        <stp>202312</stp>
        <stp>0</stp>
        <stp/>
        <stp>5000</stp>
        <stp/>
        <stp/>
        <tr r="R58" s="5"/>
      </tp>
      <tp t="s">
        <v>0</v>
        <stp/>
        <stp>SI</stp>
        <stp>7</stp>
        <stp>FUT</stp>
        <stp>COMEX</stp>
        <stp>USD</stp>
        <stp>202312</stp>
        <stp>0</stp>
        <stp/>
        <stp>5000</stp>
        <stp/>
        <stp/>
        <tr r="Q58" s="5"/>
      </tp>
      <tp t="s">
        <v>0</v>
        <stp/>
        <stp>SI</stp>
        <stp>9</stp>
        <stp>FUT</stp>
        <stp>COMEX</stp>
        <stp>USD</stp>
        <stp>202312</stp>
        <stp>0</stp>
        <stp/>
        <stp>5000</stp>
        <stp/>
        <stp/>
        <tr r="N58" s="5"/>
      </tp>
      <tp t="s">
        <v>0</v>
        <stp/>
        <stp>EUR.CHF</stp>
        <stp>4</stp>
        <stp>CASH</stp>
        <stp>IDEALPRO</stp>
        <stp/>
        <stp/>
        <stp>0</stp>
        <stp/>
        <stp/>
        <stp/>
        <stp/>
        <tr r="O6" s="5"/>
      </tp>
      <tp t="s">
        <v>0</v>
        <stp/>
        <stp>NQ</stp>
        <stp>10</stp>
        <stp>FUT</stp>
        <stp>CME</stp>
        <stp>USD</stp>
        <stp>202406</stp>
        <stp>0</stp>
        <stp/>
        <stp>20</stp>
        <stp/>
        <stp/>
        <tr r="M43" s="5"/>
      </tp>
      <tp t="s">
        <v>0</v>
        <stp/>
        <stp>ES</stp>
        <stp>10</stp>
        <stp>FUT</stp>
        <stp>CME</stp>
        <stp>USD</stp>
        <stp>202606</stp>
        <stp>0</stp>
        <stp/>
        <stp>50</stp>
        <stp/>
        <stp/>
        <tr r="M42" s="5"/>
      </tp>
      <tp t="s">
        <v>0</v>
        <stp/>
        <stp>EUR.GBP</stp>
        <stp>10</stp>
        <stp>CASH</stp>
        <stp>IDEALPRO</stp>
        <stp/>
        <stp/>
        <stp>0</stp>
        <stp/>
        <stp/>
        <stp/>
        <stp/>
        <tr r="M5" s="5"/>
      </tp>
      <tp t="s">
        <v>0</v>
        <stp/>
        <stp>AF</stp>
        <stp>4</stp>
        <stp>STK</stp>
        <stp>SMART</stp>
        <stp>EUR</stp>
        <stp/>
        <stp>0</stp>
        <stp/>
        <stp/>
        <stp/>
        <stp/>
        <tr r="O88" s="5"/>
      </tp>
      <tp t="s">
        <v>0</v>
        <stp/>
        <stp>AF</stp>
        <stp>7</stp>
        <stp>STK</stp>
        <stp>SMART</stp>
        <stp>EUR</stp>
        <stp/>
        <stp>0</stp>
        <stp/>
        <stp/>
        <stp/>
        <stp/>
        <tr r="Q88" s="5"/>
      </tp>
      <tp t="s">
        <v>0</v>
        <stp/>
        <stp>AF</stp>
        <stp>6</stp>
        <stp>STK</stp>
        <stp>SMART</stp>
        <stp>EUR</stp>
        <stp/>
        <stp>0</stp>
        <stp/>
        <stp/>
        <stp/>
        <stp/>
        <tr r="R88" s="5"/>
      </tp>
      <tp t="s">
        <v>0</v>
        <stp/>
        <stp>AF</stp>
        <stp>9</stp>
        <stp>STK</stp>
        <stp>SMART</stp>
        <stp>EUR</stp>
        <stp/>
        <stp>0</stp>
        <stp/>
        <stp/>
        <stp/>
        <stp/>
        <tr r="N88" s="5"/>
      </tp>
      <tp t="s">
        <v>0</v>
        <stp/>
        <stp>EUR.CHF</stp>
        <stp>7</stp>
        <stp>CASH</stp>
        <stp>IDEALPRO</stp>
        <stp/>
        <stp/>
        <stp>0</stp>
        <stp/>
        <stp/>
        <stp/>
        <stp/>
        <tr r="Q6" s="5"/>
      </tp>
      <tp t="s">
        <v>0</v>
        <stp/>
        <stp>ES</stp>
        <stp>9</stp>
        <stp>FUT</stp>
        <stp>CME</stp>
        <stp>USD</stp>
        <stp>202606</stp>
        <stp>0</stp>
        <stp/>
        <stp>50</stp>
        <stp/>
        <stp/>
        <tr r="N42" s="5"/>
      </tp>
      <tp t="s">
        <v>0</v>
        <stp/>
        <stp>ES</stp>
        <stp>4</stp>
        <stp>FUT</stp>
        <stp>CME</stp>
        <stp>USD</stp>
        <stp>202606</stp>
        <stp>0</stp>
        <stp/>
        <stp>50</stp>
        <stp/>
        <stp/>
        <tr r="O42" s="5"/>
      </tp>
      <tp t="s">
        <v>0</v>
        <stp/>
        <stp>ES</stp>
        <stp>6</stp>
        <stp>FUT</stp>
        <stp>CME</stp>
        <stp>USD</stp>
        <stp>202606</stp>
        <stp>0</stp>
        <stp/>
        <stp>50</stp>
        <stp/>
        <stp/>
        <tr r="R42" s="5"/>
      </tp>
      <tp t="s">
        <v>0</v>
        <stp/>
        <stp>ES</stp>
        <stp>7</stp>
        <stp>FUT</stp>
        <stp>CME</stp>
        <stp>USD</stp>
        <stp>202606</stp>
        <stp>0</stp>
        <stp/>
        <stp>50</stp>
        <stp/>
        <stp/>
        <tr r="Q42" s="5"/>
      </tp>
      <tp t="s">
        <v>0</v>
        <stp/>
        <stp>RTY</stp>
        <stp>9</stp>
        <stp>FUT</stp>
        <stp>CME</stp>
        <stp>USD</stp>
        <stp>202309</stp>
        <stp>0</stp>
        <stp/>
        <stp>50</stp>
        <stp/>
        <stp/>
        <tr r="N44" s="5"/>
      </tp>
      <tp t="s">
        <v>0</v>
        <stp/>
        <stp>RTY</stp>
        <stp>4</stp>
        <stp>FUT</stp>
        <stp>CME</stp>
        <stp>USD</stp>
        <stp>202309</stp>
        <stp>0</stp>
        <stp/>
        <stp>50</stp>
        <stp/>
        <stp/>
        <tr r="O44" s="5"/>
      </tp>
      <tp t="s">
        <v>0</v>
        <stp/>
        <stp>RTY</stp>
        <stp>7</stp>
        <stp>FUT</stp>
        <stp>CME</stp>
        <stp>USD</stp>
        <stp>202309</stp>
        <stp>0</stp>
        <stp/>
        <stp>50</stp>
        <stp/>
        <stp/>
        <tr r="Q44" s="5"/>
      </tp>
      <tp t="s">
        <v>0</v>
        <stp/>
        <stp>RTY</stp>
        <stp>6</stp>
        <stp>FUT</stp>
        <stp>CME</stp>
        <stp>USD</stp>
        <stp>202309</stp>
        <stp>0</stp>
        <stp/>
        <stp>50</stp>
        <stp/>
        <stp/>
        <tr r="R44" s="5"/>
      </tp>
      <tp t="s">
        <v>0</v>
        <stp/>
        <stp>EUR.CHF</stp>
        <stp>6</stp>
        <stp>CASH</stp>
        <stp>IDEALPRO</stp>
        <stp/>
        <stp/>
        <stp>0</stp>
        <stp/>
        <stp/>
        <stp/>
        <stp/>
        <tr r="R6" s="5"/>
      </tp>
      <tp t="s">
        <v>0</v>
        <stp/>
        <stp>HE</stp>
        <stp>9</stp>
        <stp>FOP</stp>
        <stp>CME</stp>
        <stp>USD</stp>
        <stp>20240214</stp>
        <stp>80</stp>
        <stp>C</stp>
        <stp>40000</stp>
        <stp/>
        <stp/>
        <tr r="N35" s="5"/>
      </tp>
      <tp t="s">
        <v>0</v>
        <stp/>
        <stp>SI</stp>
        <stp>10</stp>
        <stp>FOP</stp>
        <stp>COMEX</stp>
        <stp>USD</stp>
        <stp>20240325</stp>
        <stp>30</stp>
        <stp>C</stp>
        <stp>5000</stp>
        <stp/>
        <stp/>
        <tr r="M31" s="5"/>
      </tp>
      <tp t="s">
        <v>0</v>
        <stp/>
        <stp>SPX</stp>
        <stp>10</stp>
        <stp>OPT</stp>
        <stp>SMART</stp>
        <stp>USD</stp>
        <stp>20231019</stp>
        <stp>4300</stp>
        <stp>P</stp>
        <stp>100</stp>
        <stp/>
        <stp/>
        <tr r="M24" s="5"/>
      </tp>
      <tp t="s">
        <v>0</v>
        <stp/>
        <stp>SPX</stp>
        <stp>10</stp>
        <stp>OPT</stp>
        <stp>SMART</stp>
        <stp>USD</stp>
        <stp>20231019</stp>
        <stp>4390</stp>
        <stp>P</stp>
        <stp>100</stp>
        <stp/>
        <stp/>
        <tr r="M23" s="5"/>
      </tp>
      <tp t="s">
        <v>0</v>
        <stp/>
        <stp>URA</stp>
        <stp>10</stp>
        <stp>OPT</stp>
        <stp>SMART</stp>
        <stp>USD</stp>
        <stp>20240419</stp>
        <stp>32</stp>
        <stp>C</stp>
        <stp>100</stp>
        <stp>SMART</stp>
        <stp/>
        <tr r="M37" s="5"/>
      </tp>
      <tp t="s">
        <v>0</v>
        <stp/>
        <stp>NIY</stp>
        <stp>9</stp>
        <stp>FUT</stp>
        <stp>CME</stp>
        <stp>JPY</stp>
        <stp>202306</stp>
        <stp>0</stp>
        <stp/>
        <stp>500</stp>
        <stp/>
        <stp/>
        <tr r="N50" s="5"/>
      </tp>
      <tp t="s">
        <v>0</v>
        <stp/>
        <stp>NIY</stp>
        <stp>4</stp>
        <stp>FUT</stp>
        <stp>CME</stp>
        <stp>JPY</stp>
        <stp>202306</stp>
        <stp>0</stp>
        <stp/>
        <stp>500</stp>
        <stp/>
        <stp/>
        <tr r="O50" s="5"/>
      </tp>
      <tp t="s">
        <v>0</v>
        <stp/>
        <stp>NIY</stp>
        <stp>6</stp>
        <stp>FUT</stp>
        <stp>CME</stp>
        <stp>JPY</stp>
        <stp>202306</stp>
        <stp>0</stp>
        <stp/>
        <stp>500</stp>
        <stp/>
        <stp/>
        <tr r="R50" s="5"/>
      </tp>
      <tp t="s">
        <v>0</v>
        <stp/>
        <stp>NIY</stp>
        <stp>7</stp>
        <stp>FUT</stp>
        <stp>CME</stp>
        <stp>JPY</stp>
        <stp>202306</stp>
        <stp>0</stp>
        <stp/>
        <stp>500</stp>
        <stp/>
        <stp/>
        <tr r="Q50" s="5"/>
      </tp>
      <tp t="s">
        <v>0</v>
        <stp/>
        <stp>ZC</stp>
        <stp>4</stp>
        <stp>FOP</stp>
        <stp>CBOT</stp>
        <stp>USD</stp>
        <stp>20231124</stp>
        <stp>600</stp>
        <stp>C</stp>
        <stp>5000</stp>
        <stp/>
        <stp/>
        <tr r="O21" s="5"/>
      </tp>
      <tp t="s">
        <v>0</v>
        <stp/>
        <stp>NG</stp>
        <stp>10</stp>
        <stp>FUT</stp>
        <stp>NYMEX</stp>
        <stp>USD</stp>
        <stp>202403</stp>
        <stp>0</stp>
        <stp/>
        <stp>10000</stp>
        <stp/>
        <stp/>
        <tr r="M53" s="5"/>
      </tp>
      <tp t="s">
        <v>0</v>
        <stp/>
        <stp>SX7E</stp>
        <stp>10</stp>
        <stp>FUT</stp>
        <stp>EUREX</stp>
        <stp>EUR</stp>
        <stp>202306</stp>
        <stp>0</stp>
        <stp/>
        <stp>50</stp>
        <stp/>
        <stp/>
        <tr r="M49" s="5"/>
      </tp>
      <tp t="s">
        <v>0</v>
        <stp/>
        <stp>SI</stp>
        <stp>10</stp>
        <stp>FOP</stp>
        <stp>COMEX</stp>
        <stp>USD</stp>
        <stp>20231127</stp>
        <stp>20</stp>
        <stp>P</stp>
        <stp>5000</stp>
        <stp/>
        <stp/>
        <tr r="M27" s="5"/>
      </tp>
      <tp t="s">
        <v>0</v>
        <stp/>
        <stp>SPX</stp>
        <stp>10</stp>
        <stp>OPT</stp>
        <stp>SMART</stp>
        <stp>USD</stp>
        <stp>20230622</stp>
        <stp>4340</stp>
        <stp>P</stp>
        <stp>100</stp>
        <stp/>
        <stp/>
        <tr r="M22" s="5"/>
      </tp>
      <tp t="s">
        <v>0</v>
        <stp/>
        <stp>HE</stp>
        <stp>9</stp>
        <stp>FUT</stp>
        <stp>CME</stp>
        <stp>USD</stp>
        <stp>202402</stp>
        <stp>0</stp>
        <stp/>
        <stp>40000</stp>
        <stp/>
        <stp/>
        <tr r="N69" s="5"/>
      </tp>
      <tp t="s">
        <v>0</v>
        <stp/>
        <stp>LE</stp>
        <stp>9</stp>
        <stp>FUT</stp>
        <stp>CME</stp>
        <stp>USD</stp>
        <stp>202306</stp>
        <stp>0</stp>
        <stp/>
        <stp>40000</stp>
        <stp/>
        <stp/>
        <tr r="N67" s="5"/>
      </tp>
      <tp t="s">
        <v>0</v>
        <stp/>
        <stp>KC</stp>
        <stp>9</stp>
        <stp>FOP</stp>
        <stp>NYBOT</stp>
        <stp>USD</stp>
        <stp>20231208</stp>
        <stp>175</stp>
        <stp>C</stp>
        <stp>37500</stp>
        <stp/>
        <stp/>
        <tr r="N33" s="5"/>
      </tp>
      <tp t="s">
        <v>0</v>
        <stp/>
        <stp>KC</stp>
        <stp>9</stp>
        <stp>FOP</stp>
        <stp>NYBOT</stp>
        <stp>USD</stp>
        <stp>20231208</stp>
        <stp>165</stp>
        <stp>C</stp>
        <stp>37500</stp>
        <stp/>
        <stp/>
        <tr r="N32" s="5"/>
      </tp>
      <tp t="s">
        <v>0</v>
        <stp/>
        <stp>KC</stp>
        <stp>6</stp>
        <stp>FOP</stp>
        <stp>NYBOT</stp>
        <stp>USD</stp>
        <stp>20231208</stp>
        <stp>175</stp>
        <stp>C</stp>
        <stp>37500</stp>
        <stp/>
        <stp/>
        <tr r="R33" s="5"/>
      </tp>
      <tp t="s">
        <v>0</v>
        <stp/>
        <stp>KC</stp>
        <stp>6</stp>
        <stp>FOP</stp>
        <stp>NYBOT</stp>
        <stp>USD</stp>
        <stp>20231208</stp>
        <stp>165</stp>
        <stp>C</stp>
        <stp>37500</stp>
        <stp/>
        <stp/>
        <tr r="R32" s="5"/>
      </tp>
      <tp t="s">
        <v>0</v>
        <stp/>
        <stp>KC</stp>
        <stp>7</stp>
        <stp>FOP</stp>
        <stp>NYBOT</stp>
        <stp>USD</stp>
        <stp>20231208</stp>
        <stp>175</stp>
        <stp>C</stp>
        <stp>37500</stp>
        <stp/>
        <stp/>
        <tr r="Q33" s="5"/>
      </tp>
      <tp t="s">
        <v>0</v>
        <stp/>
        <stp>KC</stp>
        <stp>7</stp>
        <stp>FOP</stp>
        <stp>NYBOT</stp>
        <stp>USD</stp>
        <stp>20231208</stp>
        <stp>165</stp>
        <stp>C</stp>
        <stp>37500</stp>
        <stp/>
        <stp/>
        <tr r="Q32" s="5"/>
      </tp>
      <tp t="s">
        <v>0</v>
        <stp/>
        <stp>KC</stp>
        <stp>4</stp>
        <stp>FOP</stp>
        <stp>NYBOT</stp>
        <stp>USD</stp>
        <stp>20231208</stp>
        <stp>175</stp>
        <stp>C</stp>
        <stp>37500</stp>
        <stp/>
        <stp/>
        <tr r="O33" s="5"/>
      </tp>
      <tp t="s">
        <v>0</v>
        <stp/>
        <stp>KC</stp>
        <stp>4</stp>
        <stp>FOP</stp>
        <stp>NYBOT</stp>
        <stp>USD</stp>
        <stp>20231208</stp>
        <stp>165</stp>
        <stp>C</stp>
        <stp>37500</stp>
        <stp/>
        <stp/>
        <tr r="O32" s="5"/>
      </tp>
      <tp t="s">
        <v>0</v>
        <stp/>
        <stp>ESTX50</stp>
        <stp>10</stp>
        <stp>FUT</stp>
        <stp>EUREX</stp>
        <stp>EUR</stp>
        <stp>202309</stp>
        <stp>0</stp>
        <stp/>
        <stp>10</stp>
        <stp/>
        <stp/>
        <tr r="M46" s="5"/>
      </tp>
      <tp t="s">
        <v>0</v>
        <stp/>
        <stp>RB</stp>
        <stp>10</stp>
        <stp>FUT</stp>
        <stp>NYMEX</stp>
        <stp>USD</stp>
        <stp>202401</stp>
        <stp>0</stp>
        <stp/>
        <stp>42000</stp>
        <stp/>
        <stp/>
        <tr r="M54" s="5"/>
      </tp>
      <tp t="s">
        <v>0</v>
        <stp/>
        <stp>GF</stp>
        <stp>9</stp>
        <stp>FUT</stp>
        <stp>CME</stp>
        <stp>USD</stp>
        <stp>202305</stp>
        <stp>0</stp>
        <stp/>
        <stp>50000</stp>
        <stp/>
        <stp/>
        <tr r="N68" s="5"/>
      </tp>
      <tp t="s">
        <v>0</v>
        <stp/>
        <stp>HE</stp>
        <stp>9</stp>
        <stp>FOP</stp>
        <stp>CME</stp>
        <stp>USD</stp>
        <stp>20240214</stp>
        <stp>86</stp>
        <stp>C</stp>
        <stp>40000</stp>
        <stp/>
        <stp/>
        <tr r="N34" s="5"/>
      </tp>
      <tp t="s">
        <v>0</v>
        <stp/>
        <stp>URA</stp>
        <stp>10</stp>
        <stp>OPT</stp>
        <stp>SMART</stp>
        <stp>USD</stp>
        <stp>20240419</stp>
        <stp>40</stp>
        <stp>C</stp>
        <stp>100</stp>
        <stp>SMART</stp>
        <stp/>
        <tr r="M38" s="5"/>
      </tp>
      <tp t="s">
        <v>0</v>
        <stp/>
        <stp>GF</stp>
        <stp>4</stp>
        <stp>FUT</stp>
        <stp>CME</stp>
        <stp>USD</stp>
        <stp>202305</stp>
        <stp>0</stp>
        <stp/>
        <stp>50000</stp>
        <stp/>
        <stp/>
        <tr r="O68" s="5"/>
      </tp>
      <tp t="s">
        <v>0</v>
        <stp/>
        <stp>HE</stp>
        <stp>7</stp>
        <stp>FOP</stp>
        <stp>CME</stp>
        <stp>USD</stp>
        <stp>20240214</stp>
        <stp>86</stp>
        <stp>C</stp>
        <stp>40000</stp>
        <stp/>
        <stp/>
        <tr r="Q34" s="5"/>
      </tp>
      <tp t="s">
        <v>0</v>
        <stp/>
        <stp>HE</stp>
        <stp>4</stp>
        <stp>FUT</stp>
        <stp>CME</stp>
        <stp>USD</stp>
        <stp>202402</stp>
        <stp>0</stp>
        <stp/>
        <stp>40000</stp>
        <stp/>
        <stp/>
        <tr r="O69" s="5"/>
      </tp>
      <tp t="s">
        <v>0</v>
        <stp/>
        <stp>LE</stp>
        <stp>4</stp>
        <stp>FUT</stp>
        <stp>CME</stp>
        <stp>USD</stp>
        <stp>202306</stp>
        <stp>0</stp>
        <stp/>
        <stp>40000</stp>
        <stp/>
        <stp/>
        <tr r="O67" s="5"/>
      </tp>
      <tp t="s">
        <v>0</v>
        <stp/>
        <stp>HE</stp>
        <stp>6</stp>
        <stp>FOP</stp>
        <stp>CME</stp>
        <stp>USD</stp>
        <stp>20240214</stp>
        <stp>86</stp>
        <stp>C</stp>
        <stp>40000</stp>
        <stp/>
        <stp/>
        <tr r="R34" s="5"/>
      </tp>
      <tp t="s">
        <v>0</v>
        <stp/>
        <stp>NOKIA</stp>
        <stp>4</stp>
        <stp>STK</stp>
        <stp>SMART</stp>
        <stp>EUR</stp>
        <stp/>
        <stp>0</stp>
        <stp/>
        <stp/>
        <stp/>
        <stp/>
        <tr r="O85" s="5"/>
      </tp>
      <tp t="s">
        <v>0</v>
        <stp/>
        <stp>NOKIA</stp>
        <stp>6</stp>
        <stp>STK</stp>
        <stp>SMART</stp>
        <stp>EUR</stp>
        <stp/>
        <stp>0</stp>
        <stp/>
        <stp/>
        <stp/>
        <stp/>
        <tr r="R85" s="5"/>
      </tp>
      <tp t="s">
        <v>0</v>
        <stp/>
        <stp>NOKIA</stp>
        <stp>7</stp>
        <stp>STK</stp>
        <stp>SMART</stp>
        <stp>EUR</stp>
        <stp/>
        <stp>0</stp>
        <stp/>
        <stp/>
        <stp/>
        <stp/>
        <tr r="Q85" s="5"/>
      </tp>
      <tp t="s">
        <v>0</v>
        <stp/>
        <stp>NOKIA</stp>
        <stp>9</stp>
        <stp>STK</stp>
        <stp>SMART</stp>
        <stp>EUR</stp>
        <stp/>
        <stp>0</stp>
        <stp/>
        <stp/>
        <stp/>
        <stp/>
        <tr r="N85" s="5"/>
      </tp>
      <tp t="s">
        <v>0</v>
        <stp/>
        <stp>SI</stp>
        <stp>7</stp>
        <stp>FOP</stp>
        <stp>COMEX</stp>
        <stp>USD</stp>
        <stp>20240325</stp>
        <stp>26.5</stp>
        <stp>C</stp>
        <stp>5000</stp>
        <stp/>
        <stp>SO</stp>
        <tr r="Q30" s="5"/>
      </tp>
      <tp t="s">
        <v>0</v>
        <stp/>
        <stp>SI</stp>
        <stp>6</stp>
        <stp>FOP</stp>
        <stp>COMEX</stp>
        <stp>USD</stp>
        <stp>20240325</stp>
        <stp>26.5</stp>
        <stp>C</stp>
        <stp>5000</stp>
        <stp/>
        <stp>SO</stp>
        <tr r="R30" s="5"/>
      </tp>
      <tp t="s">
        <v>0</v>
        <stp/>
        <stp>SI</stp>
        <stp>9</stp>
        <stp>FOP</stp>
        <stp>COMEX</stp>
        <stp>USD</stp>
        <stp>20240325</stp>
        <stp>26.5</stp>
        <stp>C</stp>
        <stp>5000</stp>
        <stp/>
        <stp>SO</stp>
        <tr r="N30" s="5"/>
      </tp>
      <tp t="s">
        <v>0</v>
        <stp/>
        <stp>CT</stp>
        <stp>10</stp>
        <stp>FUT</stp>
        <stp>NYBOT</stp>
        <stp>USD</stp>
        <stp>202407</stp>
        <stp>0</stp>
        <stp/>
        <stp>50000</stp>
        <stp/>
        <stp/>
        <tr r="M66" s="5"/>
      </tp>
      <tp t="s">
        <v>0</v>
        <stp/>
        <stp>HE</stp>
        <stp>7</stp>
        <stp>FUT</stp>
        <stp>CME</stp>
        <stp>USD</stp>
        <stp>202402</stp>
        <stp>0</stp>
        <stp/>
        <stp>40000</stp>
        <stp/>
        <stp/>
        <tr r="Q69" s="5"/>
      </tp>
      <tp t="s">
        <v>0</v>
        <stp/>
        <stp>LE</stp>
        <stp>7</stp>
        <stp>FUT</stp>
        <stp>CME</stp>
        <stp>USD</stp>
        <stp>202306</stp>
        <stp>0</stp>
        <stp/>
        <stp>40000</stp>
        <stp/>
        <stp/>
        <tr r="Q67" s="5"/>
      </tp>
      <tp t="s">
        <v>0</v>
        <stp/>
        <stp>GF</stp>
        <stp>6</stp>
        <stp>FUT</stp>
        <stp>CME</stp>
        <stp>USD</stp>
        <stp>202305</stp>
        <stp>0</stp>
        <stp/>
        <stp>50000</stp>
        <stp/>
        <stp/>
        <tr r="R68" s="5"/>
      </tp>
      <tp t="s">
        <v>0</v>
        <stp/>
        <stp>HE</stp>
        <stp>6</stp>
        <stp>FUT</stp>
        <stp>CME</stp>
        <stp>USD</stp>
        <stp>202402</stp>
        <stp>0</stp>
        <stp/>
        <stp>40000</stp>
        <stp/>
        <stp/>
        <tr r="R69" s="5"/>
      </tp>
      <tp t="s">
        <v>0</v>
        <stp/>
        <stp>LE</stp>
        <stp>6</stp>
        <stp>FUT</stp>
        <stp>CME</stp>
        <stp>USD</stp>
        <stp>202306</stp>
        <stp>0</stp>
        <stp/>
        <stp>40000</stp>
        <stp/>
        <stp/>
        <tr r="R67" s="5"/>
      </tp>
      <tp t="s">
        <v>0</v>
        <stp/>
        <stp>GF</stp>
        <stp>7</stp>
        <stp>FUT</stp>
        <stp>CME</stp>
        <stp>USD</stp>
        <stp>202305</stp>
        <stp>0</stp>
        <stp/>
        <stp>50000</stp>
        <stp/>
        <stp/>
        <tr r="Q68" s="5"/>
      </tp>
      <tp t="s">
        <v>0</v>
        <stp/>
        <stp>HE</stp>
        <stp>4</stp>
        <stp>FOP</stp>
        <stp>CME</stp>
        <stp>USD</stp>
        <stp>20240214</stp>
        <stp>86</stp>
        <stp>C</stp>
        <stp>40000</stp>
        <stp/>
        <stp/>
        <tr r="O34" s="5"/>
      </tp>
      <tp t="s">
        <v>0</v>
        <stp/>
        <stp>SI</stp>
        <stp>6</stp>
        <stp>FOP</stp>
        <stp>COMEX</stp>
        <stp>USD</stp>
        <stp>20231127</stp>
        <stp>24.7</stp>
        <stp>C</stp>
        <stp>5000</stp>
        <stp/>
        <stp>SO</stp>
        <tr r="R29" s="5"/>
      </tp>
      <tp t="s">
        <v>0</v>
        <stp/>
        <stp>SI</stp>
        <stp>7</stp>
        <stp>FOP</stp>
        <stp>COMEX</stp>
        <stp>USD</stp>
        <stp>20231127</stp>
        <stp>24.7</stp>
        <stp>C</stp>
        <stp>5000</stp>
        <stp/>
        <stp>SO</stp>
        <tr r="Q29" s="5"/>
      </tp>
      <tp t="s">
        <v>0</v>
        <stp/>
        <stp>SI</stp>
        <stp>9</stp>
        <stp>FOP</stp>
        <stp>COMEX</stp>
        <stp>USD</stp>
        <stp>20231127</stp>
        <stp>24.7</stp>
        <stp>C</stp>
        <stp>5000</stp>
        <stp/>
        <stp>SO</stp>
        <tr r="N29" s="5"/>
      </tp>
      <tp t="s">
        <v>0</v>
        <stp/>
        <stp>SI</stp>
        <stp>7</stp>
        <stp>FOP</stp>
        <stp>COMEX</stp>
        <stp>USD</stp>
        <stp>20231127</stp>
        <stp>22.2</stp>
        <stp>C</stp>
        <stp>5000</stp>
        <stp/>
        <stp>SO</stp>
        <tr r="Q28" s="5"/>
      </tp>
      <tp t="s">
        <v>0</v>
        <stp/>
        <stp>SI</stp>
        <stp>6</stp>
        <stp>FOP</stp>
        <stp>COMEX</stp>
        <stp>USD</stp>
        <stp>20231127</stp>
        <stp>22.2</stp>
        <stp>C</stp>
        <stp>5000</stp>
        <stp/>
        <stp>SO</stp>
        <tr r="R28" s="5"/>
      </tp>
      <tp t="s">
        <v>0</v>
        <stp/>
        <stp>SI</stp>
        <stp>9</stp>
        <stp>FOP</stp>
        <stp>COMEX</stp>
        <stp>USD</stp>
        <stp>20231127</stp>
        <stp>22.2</stp>
        <stp>C</stp>
        <stp>5000</stp>
        <stp/>
        <stp>SO</stp>
        <tr r="N28" s="5"/>
      </tp>
      <tp t="s">
        <v>0</v>
        <stp/>
        <stp>SI</stp>
        <stp>4</stp>
        <stp>FOP</stp>
        <stp>COMEX</stp>
        <stp>USD</stp>
        <stp>20231127</stp>
        <stp>20</stp>
        <stp>P</stp>
        <stp>5000</stp>
        <stp/>
        <stp/>
        <tr r="O27" s="5"/>
      </tp>
      <tp t="s">
        <v>0</v>
        <stp/>
        <stp>EUR</stp>
        <stp>9</stp>
        <stp>FUT</stp>
        <stp>CME</stp>
        <stp>USD</stp>
        <stp>202306</stp>
        <stp>0</stp>
        <stp/>
        <stp>125000</stp>
        <stp/>
        <stp/>
        <tr r="N8" s="5"/>
        <tr r="N77" s="5"/>
      </tp>
      <tp t="s">
        <v>0</v>
        <stp/>
        <stp>EUR</stp>
        <stp>6</stp>
        <stp>FUT</stp>
        <stp>CME</stp>
        <stp>USD</stp>
        <stp>202306</stp>
        <stp>0</stp>
        <stp/>
        <stp>125000</stp>
        <stp/>
        <stp/>
        <tr r="R8" s="5"/>
        <tr r="R77" s="5"/>
      </tp>
      <tp t="s">
        <v>0</v>
        <stp/>
        <stp>EUR</stp>
        <stp>7</stp>
        <stp>FUT</stp>
        <stp>CME</stp>
        <stp>USD</stp>
        <stp>202306</stp>
        <stp>0</stp>
        <stp/>
        <stp>125000</stp>
        <stp/>
        <stp/>
        <tr r="Q8" s="5"/>
        <tr r="Q77" s="5"/>
      </tp>
      <tp t="s">
        <v>0</v>
        <stp/>
        <stp>EUR</stp>
        <stp>4</stp>
        <stp>FUT</stp>
        <stp>CME</stp>
        <stp>USD</stp>
        <stp>202306</stp>
        <stp>0</stp>
        <stp/>
        <stp>125000</stp>
        <stp/>
        <stp/>
        <tr r="O8" s="5"/>
        <tr r="O77" s="5"/>
      </tp>
      <tp t="s">
        <v>0</v>
        <stp/>
        <stp>CL</stp>
        <stp>9</stp>
        <stp>FOP</stp>
        <stp>NYMEX</stp>
        <stp>USD</stp>
        <stp>20231115</stp>
        <stp>95</stp>
        <stp>C</stp>
        <stp>1000</stp>
        <stp/>
        <stp>LO</stp>
        <tr r="N26" s="5"/>
      </tp>
      <tp t="s">
        <v>0</v>
        <stp/>
        <stp>CL</stp>
        <stp>9</stp>
        <stp>FOP</stp>
        <stp>NYMEX</stp>
        <stp>USD</stp>
        <stp>20231115</stp>
        <stp>90</stp>
        <stp>C</stp>
        <stp>1000</stp>
        <stp/>
        <stp>LO</stp>
        <tr r="N25" s="5"/>
      </tp>
      <tp t="s">
        <v>0</v>
        <stp/>
        <stp>CL</stp>
        <stp>7</stp>
        <stp>FOP</stp>
        <stp>NYMEX</stp>
        <stp>USD</stp>
        <stp>20231115</stp>
        <stp>95</stp>
        <stp>C</stp>
        <stp>1000</stp>
        <stp/>
        <stp>LO</stp>
        <tr r="Q26" s="5"/>
      </tp>
      <tp t="s">
        <v>0</v>
        <stp/>
        <stp>CL</stp>
        <stp>7</stp>
        <stp>FOP</stp>
        <stp>NYMEX</stp>
        <stp>USD</stp>
        <stp>20231115</stp>
        <stp>90</stp>
        <stp>C</stp>
        <stp>1000</stp>
        <stp/>
        <stp>LO</stp>
        <tr r="Q25" s="5"/>
      </tp>
      <tp t="s">
        <v>0</v>
        <stp/>
        <stp>CL</stp>
        <stp>6</stp>
        <stp>FOP</stp>
        <stp>NYMEX</stp>
        <stp>USD</stp>
        <stp>20231115</stp>
        <stp>95</stp>
        <stp>C</stp>
        <stp>1000</stp>
        <stp/>
        <stp>LO</stp>
        <tr r="R26" s="5"/>
      </tp>
      <tp t="s">
        <v>0</v>
        <stp/>
        <stp>CL</stp>
        <stp>6</stp>
        <stp>FOP</stp>
        <stp>NYMEX</stp>
        <stp>USD</stp>
        <stp>20231115</stp>
        <stp>90</stp>
        <stp>C</stp>
        <stp>1000</stp>
        <stp/>
        <stp>LO</stp>
        <tr r="R25" s="5"/>
      </tp>
      <tp t="s">
        <v>0</v>
        <stp/>
        <stp>ZC</stp>
        <stp>10</stp>
        <stp>FOP</stp>
        <stp>CBOT</stp>
        <stp>USD</stp>
        <stp>20231124</stp>
        <stp>600</stp>
        <stp>C</stp>
        <stp>5000</stp>
        <stp/>
        <stp/>
        <tr r="M21" s="5"/>
      </tp>
      <tp t="s">
        <v>0</v>
        <stp/>
        <stp>CL</stp>
        <stp>10</stp>
        <stp>FOP</stp>
        <stp>NYMEX</stp>
        <stp>USD</stp>
        <stp>20231115</stp>
        <stp>90</stp>
        <stp>C</stp>
        <stp>1000</stp>
        <stp/>
        <stp/>
        <tr r="M25" s="5"/>
      </tp>
      <tp t="s">
        <v>0</v>
        <stp/>
        <stp>CL</stp>
        <stp>10</stp>
        <stp>FOP</stp>
        <stp>NYMEX</stp>
        <stp>USD</stp>
        <stp>20231115</stp>
        <stp>95</stp>
        <stp>C</stp>
        <stp>1000</stp>
        <stp/>
        <stp/>
        <tr r="M26" s="5"/>
      </tp>
      <tp t="s">
        <v>0</v>
        <stp/>
        <stp>HE</stp>
        <stp>4</stp>
        <stp>FOP</stp>
        <stp>CME</stp>
        <stp>USD</stp>
        <stp>20240214</stp>
        <stp>80</stp>
        <stp>C</stp>
        <stp>40000</stp>
        <stp/>
        <stp/>
        <tr r="O35" s="5"/>
      </tp>
      <tp t="s">
        <v>0</v>
        <stp/>
        <stp>HE</stp>
        <stp>7</stp>
        <stp>FOP</stp>
        <stp>CME</stp>
        <stp>USD</stp>
        <stp>20240214</stp>
        <stp>80</stp>
        <stp>C</stp>
        <stp>40000</stp>
        <stp/>
        <stp/>
        <tr r="Q35" s="5"/>
      </tp>
      <tp t="s">
        <v>0</v>
        <stp/>
        <stp>AUD</stp>
        <stp>9</stp>
        <stp>FUT</stp>
        <stp>CME</stp>
        <stp>USD</stp>
        <stp>202306</stp>
        <stp>0</stp>
        <stp/>
        <stp>100000</stp>
        <stp/>
        <stp/>
        <tr r="N81" s="5"/>
      </tp>
      <tp t="s">
        <v>0</v>
        <stp/>
        <stp>AUD</stp>
        <stp>6</stp>
        <stp>FUT</stp>
        <stp>CME</stp>
        <stp>USD</stp>
        <stp>202306</stp>
        <stp>0</stp>
        <stp/>
        <stp>100000</stp>
        <stp/>
        <stp/>
        <tr r="R81" s="5"/>
      </tp>
      <tp t="s">
        <v>0</v>
        <stp/>
        <stp>AUD</stp>
        <stp>7</stp>
        <stp>FUT</stp>
        <stp>CME</stp>
        <stp>USD</stp>
        <stp>202306</stp>
        <stp>0</stp>
        <stp/>
        <stp>100000</stp>
        <stp/>
        <stp/>
        <tr r="Q81" s="5"/>
      </tp>
      <tp t="s">
        <v>0</v>
        <stp/>
        <stp>AUD</stp>
        <stp>4</stp>
        <stp>FUT</stp>
        <stp>CME</stp>
        <stp>USD</stp>
        <stp>202306</stp>
        <stp>0</stp>
        <stp/>
        <stp>100000</stp>
        <stp/>
        <stp/>
        <tr r="O81" s="5"/>
      </tp>
      <tp t="s">
        <v>0</v>
        <stp/>
        <stp>DAX</stp>
        <stp>10</stp>
        <stp>FUT</stp>
        <stp>EUREX</stp>
        <stp>EUR</stp>
        <stp>202309</stp>
        <stp>0</stp>
        <stp/>
        <stp>25</stp>
        <stp/>
        <stp/>
        <tr r="M47" s="5"/>
      </tp>
      <tp t="s">
        <v>0</v>
        <stp/>
        <stp>HE</stp>
        <stp>6</stp>
        <stp>FOP</stp>
        <stp>CME</stp>
        <stp>USD</stp>
        <stp>20240214</stp>
        <stp>80</stp>
        <stp>C</stp>
        <stp>40000</stp>
        <stp/>
        <stp/>
        <tr r="R35" s="5"/>
      </tp>
      <tp t="s">
        <v>0</v>
        <stp/>
        <stp>SI</stp>
        <stp>4</stp>
        <stp>FOP</stp>
        <stp>COMEX</stp>
        <stp>USD</stp>
        <stp>20240325</stp>
        <stp>30</stp>
        <stp>C</stp>
        <stp>5000</stp>
        <stp/>
        <stp/>
        <tr r="O31" s="5"/>
      </tp>
      <tp t="s">
        <v>0</v>
        <stp/>
        <stp>HG</stp>
        <stp>10</stp>
        <stp>FUT</stp>
        <stp>COMEX</stp>
        <stp>USD</stp>
        <stp>202405</stp>
        <stp>0</stp>
        <stp/>
        <stp>25000</stp>
        <stp/>
        <stp/>
        <tr r="M56" s="5"/>
      </tp>
      <tp t="s">
        <v>0</v>
        <stp/>
        <stp>HG</stp>
        <stp>10</stp>
        <stp>FUT</stp>
        <stp>COMEX</stp>
        <stp>USD</stp>
        <stp>202403</stp>
        <stp>0</stp>
        <stp/>
        <stp>25000</stp>
        <stp/>
        <stp/>
        <tr r="M55" s="5"/>
      </tp>
      <tp t="s">
        <v>0</v>
        <stp/>
        <stp>FTMIB</stp>
        <stp>9</stp>
        <stp>FUT</stp>
        <stp>IDEM</stp>
        <stp>EUR</stp>
        <stp>202306</stp>
        <stp>0</stp>
        <stp/>
        <stp>5</stp>
        <stp/>
        <stp/>
        <tr r="N48" s="5"/>
      </tp>
      <tp t="s">
        <v>0</v>
        <stp/>
        <stp>FTMIB</stp>
        <stp>7</stp>
        <stp>FUT</stp>
        <stp>IDEM</stp>
        <stp>EUR</stp>
        <stp>202306</stp>
        <stp>0</stp>
        <stp/>
        <stp>5</stp>
        <stp/>
        <stp/>
        <tr r="Q48" s="5"/>
      </tp>
      <tp t="s">
        <v>0</v>
        <stp/>
        <stp>FTMIB</stp>
        <stp>6</stp>
        <stp>FUT</stp>
        <stp>IDEM</stp>
        <stp>EUR</stp>
        <stp>202306</stp>
        <stp>0</stp>
        <stp/>
        <stp>5</stp>
        <stp/>
        <stp/>
        <tr r="R48" s="5"/>
      </tp>
      <tp t="s">
        <v>0</v>
        <stp/>
        <stp>FTMIB</stp>
        <stp>4</stp>
        <stp>FUT</stp>
        <stp>IDEM</stp>
        <stp>EUR</stp>
        <stp>202306</stp>
        <stp>0</stp>
        <stp/>
        <stp>5</stp>
        <stp/>
        <stp/>
        <tr r="O48" s="5"/>
      </tp>
      <tp t="s">
        <v>0</v>
        <stp/>
        <stp>KC</stp>
        <stp>10</stp>
        <stp>FUT</stp>
        <stp>NYBOT</stp>
        <stp>USD</stp>
        <stp>202405</stp>
        <stp>0</stp>
        <stp/>
        <stp>37500</stp>
        <stp/>
        <stp/>
        <tr r="M64" s="5"/>
      </tp>
      <tp t="s">
        <v>0</v>
        <stp/>
        <stp>ES</stp>
        <stp>9</stp>
        <stp>FOP</stp>
        <stp>CME</stp>
        <stp>USD</stp>
        <stp>20240430</stp>
        <stp>5020</stp>
        <stp>P</stp>
        <stp>50</stp>
        <stp>CME</stp>
        <stp/>
        <tr r="N19" s="5"/>
      </tp>
      <tp t="s">
        <v>0</v>
        <stp/>
        <stp>ES</stp>
        <stp>4</stp>
        <stp>FOP</stp>
        <stp>CME</stp>
        <stp>USD</stp>
        <stp>20240430</stp>
        <stp>5020</stp>
        <stp>P</stp>
        <stp>50</stp>
        <stp>CME</stp>
        <stp/>
        <tr r="O19" s="5"/>
      </tp>
      <tp t="s">
        <v>0</v>
        <stp/>
        <stp>ES</stp>
        <stp>6</stp>
        <stp>FOP</stp>
        <stp>CME</stp>
        <stp>USD</stp>
        <stp>20240430</stp>
        <stp>5020</stp>
        <stp>P</stp>
        <stp>50</stp>
        <stp>CME</stp>
        <stp/>
        <tr r="R19" s="5"/>
      </tp>
      <tp t="s">
        <v>0</v>
        <stp/>
        <stp>ES</stp>
        <stp>7</stp>
        <stp>FOP</stp>
        <stp>CME</stp>
        <stp>USD</stp>
        <stp>20240430</stp>
        <stp>5020</stp>
        <stp>P</stp>
        <stp>50</stp>
        <stp>CME</stp>
        <stp/>
        <tr r="Q19" s="5"/>
      </tp>
      <tp t="s">
        <v>0</v>
        <stp/>
        <stp>ES</stp>
        <stp>4</stp>
        <stp>FOP</stp>
        <stp>CME</stp>
        <stp>USD</stp>
        <stp>20240430</stp>
        <stp>4920</stp>
        <stp>P</stp>
        <stp>50</stp>
        <stp>CME</stp>
        <stp/>
        <tr r="O18" s="5"/>
      </tp>
      <tp t="s">
        <v>0</v>
        <stp/>
        <stp>ES</stp>
        <stp>7</stp>
        <stp>FOP</stp>
        <stp>CME</stp>
        <stp>USD</stp>
        <stp>20240430</stp>
        <stp>4920</stp>
        <stp>P</stp>
        <stp>50</stp>
        <stp>CME</stp>
        <stp/>
        <tr r="Q18" s="5"/>
      </tp>
      <tp t="s">
        <v>0</v>
        <stp/>
        <stp>ES</stp>
        <stp>6</stp>
        <stp>FOP</stp>
        <stp>CME</stp>
        <stp>USD</stp>
        <stp>20240430</stp>
        <stp>4920</stp>
        <stp>P</stp>
        <stp>50</stp>
        <stp>CME</stp>
        <stp/>
        <tr r="R18" s="5"/>
      </tp>
      <tp t="s">
        <v>0</v>
        <stp/>
        <stp>ES</stp>
        <stp>9</stp>
        <stp>FOP</stp>
        <stp>CME</stp>
        <stp>USD</stp>
        <stp>20240430</stp>
        <stp>4920</stp>
        <stp>P</stp>
        <stp>50</stp>
        <stp>CME</stp>
        <stp/>
        <tr r="N18" s="5"/>
      </tp>
      <tp t="s">
        <v>0</v>
        <stp/>
        <stp>ZS</stp>
        <stp>6</stp>
        <stp>FUT</stp>
        <stp>CBOT</stp>
        <stp>USD</stp>
        <stp>202405</stp>
        <stp>0</stp>
        <stp/>
        <stp>5000</stp>
        <stp/>
        <stp/>
        <tr r="R62" s="5"/>
      </tp>
      <tp t="s">
        <v>0</v>
        <stp/>
        <stp>ZW</stp>
        <stp>6</stp>
        <stp>FUT</stp>
        <stp>CBOT</stp>
        <stp>USD</stp>
        <stp>202405</stp>
        <stp>0</stp>
        <stp/>
        <stp>5000</stp>
        <stp/>
        <stp/>
        <tr r="R61" s="5"/>
      </tp>
      <tp t="s">
        <v>0</v>
        <stp/>
        <stp>CYTK</stp>
        <stp>9</stp>
        <stp>STK</stp>
        <stp>SMART</stp>
        <stp>USD</stp>
        <stp/>
        <stp>0</stp>
        <stp/>
        <stp/>
        <stp/>
        <stp/>
        <tr r="N89" s="5"/>
      </tp>
      <tp t="s">
        <v>0</v>
        <stp/>
        <stp>CYTK</stp>
        <stp>6</stp>
        <stp>STK</stp>
        <stp>SMART</stp>
        <stp>USD</stp>
        <stp/>
        <stp>0</stp>
        <stp/>
        <stp/>
        <stp/>
        <stp/>
        <tr r="R89" s="5"/>
      </tp>
      <tp t="s">
        <v>0</v>
        <stp/>
        <stp>CYTK</stp>
        <stp>7</stp>
        <stp>STK</stp>
        <stp>SMART</stp>
        <stp>USD</stp>
        <stp/>
        <stp>0</stp>
        <stp/>
        <stp/>
        <stp/>
        <stp/>
        <tr r="Q89" s="5"/>
      </tp>
      <tp t="s">
        <v>0</v>
        <stp/>
        <stp>CYTK</stp>
        <stp>4</stp>
        <stp>STK</stp>
        <stp>SMART</stp>
        <stp>USD</stp>
        <stp/>
        <stp>0</stp>
        <stp/>
        <stp/>
        <stp/>
        <stp/>
        <tr r="O89" s="5"/>
      </tp>
      <tp t="s">
        <v>0</v>
        <stp/>
        <stp>ZS</stp>
        <stp>7</stp>
        <stp>FUT</stp>
        <stp>CBOT</stp>
        <stp>USD</stp>
        <stp>202405</stp>
        <stp>0</stp>
        <stp/>
        <stp>5000</stp>
        <stp/>
        <stp/>
        <tr r="Q62" s="5"/>
      </tp>
      <tp t="s">
        <v>0</v>
        <stp/>
        <stp>ZW</stp>
        <stp>7</stp>
        <stp>FUT</stp>
        <stp>CBOT</stp>
        <stp>USD</stp>
        <stp>202405</stp>
        <stp>0</stp>
        <stp/>
        <stp>5000</stp>
        <stp/>
        <stp/>
        <tr r="Q61" s="5"/>
      </tp>
      <tp t="s">
        <v>0</v>
        <stp/>
        <stp>ZN</stp>
        <stp>4</stp>
        <stp>FUT</stp>
        <stp>CBOT</stp>
        <stp>USD</stp>
        <stp>202306</stp>
        <stp>0</stp>
        <stp/>
        <stp>1000</stp>
        <stp/>
        <stp/>
        <tr r="O71" s="5"/>
      </tp>
      <tp t="s">
        <v>0</v>
        <stp/>
        <stp>ZS</stp>
        <stp>4</stp>
        <stp>FUT</stp>
        <stp>CBOT</stp>
        <stp>USD</stp>
        <stp>202405</stp>
        <stp>0</stp>
        <stp/>
        <stp>5000</stp>
        <stp/>
        <stp/>
        <tr r="O62" s="5"/>
      </tp>
      <tp t="s">
        <v>0</v>
        <stp/>
        <stp>ZW</stp>
        <stp>4</stp>
        <stp>FUT</stp>
        <stp>CBOT</stp>
        <stp>USD</stp>
        <stp>202405</stp>
        <stp>0</stp>
        <stp/>
        <stp>5000</stp>
        <stp/>
        <stp/>
        <tr r="O61" s="5"/>
      </tp>
      <tp t="s">
        <v>0</v>
        <stp/>
        <stp>ZN</stp>
        <stp>7</stp>
        <stp>FUT</stp>
        <stp>CBOT</stp>
        <stp>USD</stp>
        <stp>202306</stp>
        <stp>0</stp>
        <stp/>
        <stp>1000</stp>
        <stp/>
        <stp/>
        <tr r="Q71" s="5"/>
      </tp>
      <tp t="s">
        <v>0</v>
        <stp/>
        <stp>ZN</stp>
        <stp>6</stp>
        <stp>FUT</stp>
        <stp>CBOT</stp>
        <stp>USD</stp>
        <stp>202306</stp>
        <stp>0</stp>
        <stp/>
        <stp>1000</stp>
        <stp/>
        <stp/>
        <tr r="R71" s="5"/>
      </tp>
      <tp t="s">
        <v>0</v>
        <stp/>
        <stp>ZB</stp>
        <stp>9</stp>
        <stp>FUT</stp>
        <stp>CBOT</stp>
        <stp>USD</stp>
        <stp>202309</stp>
        <stp>0</stp>
        <stp/>
        <stp>1000</stp>
        <stp/>
        <stp/>
        <tr r="N72" s="5"/>
      </tp>
      <tp t="s">
        <v>0</v>
        <stp/>
        <stp>ZC</stp>
        <stp>4</stp>
        <stp>FUT</stp>
        <stp>CBOT</stp>
        <stp>USD</stp>
        <stp>202312</stp>
        <stp>0</stp>
        <stp/>
        <stp>5000</stp>
        <stp/>
        <stp/>
        <tr r="O60" s="5"/>
      </tp>
      <tp t="s">
        <v>0</v>
        <stp/>
        <stp>PA</stp>
        <stp>4</stp>
        <stp>FUT</stp>
        <stp>NYMEX</stp>
        <stp>USD</stp>
        <stp>202306</stp>
        <stp>0</stp>
        <stp/>
        <stp>100</stp>
        <stp/>
        <stp/>
        <tr r="O59" s="5"/>
      </tp>
      <tp t="s">
        <v>0</v>
        <stp/>
        <stp>GC</stp>
        <stp>4</stp>
        <stp>FUT</stp>
        <stp>COMEX</stp>
        <stp>USD</stp>
        <stp>202306</stp>
        <stp>0</stp>
        <stp/>
        <stp>100</stp>
        <stp/>
        <stp/>
        <tr r="O57" s="5"/>
      </tp>
      <tp t="s">
        <v>0</v>
        <stp/>
        <stp>INDA</stp>
        <stp>4</stp>
        <stp>OPT</stp>
        <stp>SMART</stp>
        <stp>USD</stp>
        <stp>20231215</stp>
        <stp>44</stp>
        <stp>C</stp>
        <stp>100</stp>
        <stp/>
        <stp/>
        <tr r="O36" s="5"/>
      </tp>
      <tp t="s">
        <v>0</v>
        <stp/>
        <stp>ZC</stp>
        <stp>7</stp>
        <stp>FUT</stp>
        <stp>CBOT</stp>
        <stp>USD</stp>
        <stp>202312</stp>
        <stp>0</stp>
        <stp/>
        <stp>5000</stp>
        <stp/>
        <stp/>
        <tr r="Q60" s="5"/>
      </tp>
      <tp t="s">
        <v>0</v>
        <stp/>
        <stp>PA</stp>
        <stp>7</stp>
        <stp>FUT</stp>
        <stp>NYMEX</stp>
        <stp>USD</stp>
        <stp>202306</stp>
        <stp>0</stp>
        <stp/>
        <stp>100</stp>
        <stp/>
        <stp/>
        <tr r="Q59" s="5"/>
      </tp>
      <tp t="s">
        <v>0</v>
        <stp/>
        <stp>GC</stp>
        <stp>7</stp>
        <stp>FUT</stp>
        <stp>COMEX</stp>
        <stp>USD</stp>
        <stp>202306</stp>
        <stp>0</stp>
        <stp/>
        <stp>100</stp>
        <stp/>
        <stp/>
        <tr r="Q57" s="5"/>
      </tp>
      <tp t="s">
        <v>0</v>
        <stp/>
        <stp>INDA</stp>
        <stp>7</stp>
        <stp>OPT</stp>
        <stp>SMART</stp>
        <stp>USD</stp>
        <stp>20231215</stp>
        <stp>44</stp>
        <stp>C</stp>
        <stp>100</stp>
        <stp/>
        <stp/>
        <tr r="Q36" s="5"/>
      </tp>
      <tp t="s">
        <v>0</v>
        <stp/>
        <stp>CL</stp>
        <stp>4</stp>
        <stp>FOP</stp>
        <stp>NYMEX</stp>
        <stp>USD</stp>
        <stp>20231115</stp>
        <stp>95</stp>
        <stp>C</stp>
        <stp>1000</stp>
        <stp/>
        <stp/>
        <tr r="O26" s="5"/>
      </tp>
      <tp t="s">
        <v>0</v>
        <stp/>
        <stp>ZC</stp>
        <stp>6</stp>
        <stp>FUT</stp>
        <stp>CBOT</stp>
        <stp>USD</stp>
        <stp>202312</stp>
        <stp>0</stp>
        <stp/>
        <stp>5000</stp>
        <stp/>
        <stp/>
        <tr r="R60" s="5"/>
      </tp>
      <tp t="s">
        <v>0</v>
        <stp/>
        <stp>CL</stp>
        <stp>4</stp>
        <stp>FOP</stp>
        <stp>NYMEX</stp>
        <stp>USD</stp>
        <stp>20231115</stp>
        <stp>90</stp>
        <stp>C</stp>
        <stp>1000</stp>
        <stp/>
        <stp/>
        <tr r="O25" s="5"/>
      </tp>
      <tp t="s">
        <v>0</v>
        <stp/>
        <stp>PA</stp>
        <stp>6</stp>
        <stp>FUT</stp>
        <stp>NYMEX</stp>
        <stp>USD</stp>
        <stp>202306</stp>
        <stp>0</stp>
        <stp/>
        <stp>100</stp>
        <stp/>
        <stp/>
        <tr r="R59" s="5"/>
      </tp>
      <tp t="s">
        <v>0</v>
        <stp/>
        <stp>GC</stp>
        <stp>6</stp>
        <stp>FUT</stp>
        <stp>COMEX</stp>
        <stp>USD</stp>
        <stp>202306</stp>
        <stp>0</stp>
        <stp/>
        <stp>100</stp>
        <stp/>
        <stp/>
        <tr r="R57" s="5"/>
      </tp>
      <tp t="s">
        <v>0</v>
        <stp/>
        <stp>INDA</stp>
        <stp>6</stp>
        <stp>OPT</stp>
        <stp>SMART</stp>
        <stp>USD</stp>
        <stp>20231215</stp>
        <stp>44</stp>
        <stp>C</stp>
        <stp>100</stp>
        <stp/>
        <stp/>
        <tr r="R36" s="5"/>
      </tp>
      <tp t="s">
        <v>0</v>
        <stp/>
        <stp>ZC</stp>
        <stp>9</stp>
        <stp>FUT</stp>
        <stp>CBOT</stp>
        <stp>USD</stp>
        <stp>202312</stp>
        <stp>0</stp>
        <stp/>
        <stp>5000</stp>
        <stp/>
        <stp/>
        <tr r="N60" s="5"/>
      </tp>
      <tp t="s">
        <v>0</v>
        <stp/>
        <stp>PA</stp>
        <stp>9</stp>
        <stp>FUT</stp>
        <stp>NYMEX</stp>
        <stp>USD</stp>
        <stp>202306</stp>
        <stp>0</stp>
        <stp/>
        <stp>100</stp>
        <stp/>
        <stp/>
        <tr r="N59" s="5"/>
      </tp>
      <tp t="s">
        <v>0</v>
        <stp/>
        <stp>SI</stp>
        <stp>7</stp>
        <stp>FOP</stp>
        <stp>COMEX</stp>
        <stp>USD</stp>
        <stp>20231127</stp>
        <stp>20</stp>
        <stp>P</stp>
        <stp>5000</stp>
        <stp/>
        <stp>SO</stp>
        <tr r="Q27" s="5"/>
      </tp>
      <tp t="s">
        <v>0</v>
        <stp/>
        <stp>SI</stp>
        <stp>6</stp>
        <stp>FOP</stp>
        <stp>COMEX</stp>
        <stp>USD</stp>
        <stp>20231127</stp>
        <stp>20</stp>
        <stp>P</stp>
        <stp>5000</stp>
        <stp/>
        <stp>SO</stp>
        <tr r="R27" s="5"/>
      </tp>
      <tp t="s">
        <v>0</v>
        <stp/>
        <stp>GC</stp>
        <stp>9</stp>
        <stp>FUT</stp>
        <stp>COMEX</stp>
        <stp>USD</stp>
        <stp>202306</stp>
        <stp>0</stp>
        <stp/>
        <stp>100</stp>
        <stp/>
        <stp/>
        <tr r="N57" s="5"/>
      </tp>
      <tp t="s">
        <v>0</v>
        <stp/>
        <stp>SI</stp>
        <stp>9</stp>
        <stp>FOP</stp>
        <stp>COMEX</stp>
        <stp>USD</stp>
        <stp>20231127</stp>
        <stp>20</stp>
        <stp>P</stp>
        <stp>5000</stp>
        <stp/>
        <stp>SO</stp>
        <tr r="N27" s="5"/>
      </tp>
      <tp t="s">
        <v>0</v>
        <stp/>
        <stp>INDA</stp>
        <stp>9</stp>
        <stp>OPT</stp>
        <stp>SMART</stp>
        <stp>USD</stp>
        <stp>20231215</stp>
        <stp>44</stp>
        <stp>C</stp>
        <stp>100</stp>
        <stp/>
        <stp/>
        <tr r="N36" s="5"/>
      </tp>
      <tp t="s">
        <v>0</v>
        <stp/>
        <stp>CC</stp>
        <stp>9</stp>
        <stp>FUT</stp>
        <stp>NYBOT</stp>
        <stp>USD</stp>
        <stp>202407</stp>
        <stp>0</stp>
        <stp/>
        <stp>10</stp>
        <stp/>
        <stp/>
        <tr r="N65" s="5"/>
      </tp>
      <tp t="s">
        <v>0</v>
        <stp/>
        <stp>CC</stp>
        <stp>6</stp>
        <stp>FUT</stp>
        <stp>NYBOT</stp>
        <stp>USD</stp>
        <stp>202407</stp>
        <stp>0</stp>
        <stp/>
        <stp>10</stp>
        <stp/>
        <stp/>
        <tr r="R65" s="5"/>
      </tp>
      <tp t="s">
        <v>0</v>
        <stp/>
        <stp>CC</stp>
        <stp>7</stp>
        <stp>FUT</stp>
        <stp>NYBOT</stp>
        <stp>USD</stp>
        <stp>202407</stp>
        <stp>0</stp>
        <stp/>
        <stp>10</stp>
        <stp/>
        <stp/>
        <tr r="Q65" s="5"/>
      </tp>
      <tp t="s">
        <v>0</v>
        <stp/>
        <stp>CC</stp>
        <stp>4</stp>
        <stp>FUT</stp>
        <stp>NYBOT</stp>
        <stp>USD</stp>
        <stp>202407</stp>
        <stp>0</stp>
        <stp/>
        <stp>10</stp>
        <stp/>
        <stp/>
        <tr r="O65" s="5"/>
      </tp>
      <tp t="s">
        <v>0</v>
        <stp/>
        <stp>CAD</stp>
        <stp>9</stp>
        <stp>FUT</stp>
        <stp>CME</stp>
        <stp>USD</stp>
        <stp>202306</stp>
        <stp>0</stp>
        <stp/>
        <stp>100000</stp>
        <stp/>
        <stp/>
        <tr r="N80" s="5"/>
      </tp>
      <tp t="s">
        <v>0</v>
        <stp/>
        <stp>CAD</stp>
        <stp>4</stp>
        <stp>FUT</stp>
        <stp>CME</stp>
        <stp>USD</stp>
        <stp>202306</stp>
        <stp>0</stp>
        <stp/>
        <stp>100000</stp>
        <stp/>
        <stp/>
        <tr r="O80" s="5"/>
      </tp>
      <tp t="s">
        <v>0</v>
        <stp/>
        <stp>CAD</stp>
        <stp>6</stp>
        <stp>FUT</stp>
        <stp>CME</stp>
        <stp>USD</stp>
        <stp>202306</stp>
        <stp>0</stp>
        <stp/>
        <stp>100000</stp>
        <stp/>
        <stp/>
        <tr r="R80" s="5"/>
      </tp>
      <tp t="s">
        <v>0</v>
        <stp/>
        <stp>CAD</stp>
        <stp>7</stp>
        <stp>FUT</stp>
        <stp>CME</stp>
        <stp>USD</stp>
        <stp>202306</stp>
        <stp>0</stp>
        <stp/>
        <stp>100000</stp>
        <stp/>
        <stp/>
        <tr r="Q80" s="5"/>
      </tp>
      <tp t="s">
        <v>0</v>
        <stp/>
        <stp>INDV</stp>
        <stp>9</stp>
        <stp>STK</stp>
        <stp>SMART</stp>
        <stp>GBP</stp>
        <stp/>
        <stp>0</stp>
        <stp/>
        <stp/>
        <stp/>
        <stp/>
        <tr r="N84" s="5"/>
      </tp>
      <tp t="s">
        <v>0</v>
        <stp/>
        <stp>INDV</stp>
        <stp>7</stp>
        <stp>STK</stp>
        <stp>SMART</stp>
        <stp>GBP</stp>
        <stp/>
        <stp>0</stp>
        <stp/>
        <stp/>
        <stp/>
        <stp/>
        <tr r="Q84" s="5"/>
      </tp>
      <tp t="s">
        <v>0</v>
        <stp/>
        <stp>INDV</stp>
        <stp>6</stp>
        <stp>STK</stp>
        <stp>SMART</stp>
        <stp>GBP</stp>
        <stp/>
        <stp>0</stp>
        <stp/>
        <stp/>
        <stp/>
        <stp/>
        <tr r="R84" s="5"/>
      </tp>
      <tp t="s">
        <v>0</v>
        <stp/>
        <stp>INDV</stp>
        <stp>4</stp>
        <stp>STK</stp>
        <stp>SMART</stp>
        <stp>GBP</stp>
        <stp/>
        <stp>0</stp>
        <stp/>
        <stp/>
        <stp/>
        <stp/>
        <tr r="O84" s="5"/>
      </tp>
      <tp t="s">
        <v>0</v>
        <stp/>
        <stp>JPY</stp>
        <stp>4</stp>
        <stp>FUT</stp>
        <stp>CME</stp>
        <stp>USD</stp>
        <stp>202306</stp>
        <stp>0</stp>
        <stp/>
        <stp>12500000</stp>
        <stp/>
        <stp/>
        <tr r="O9" s="5"/>
        <tr r="O79" s="5"/>
      </tp>
      <tp t="s">
        <v>0</v>
        <stp/>
        <stp>JPY</stp>
        <stp>7</stp>
        <stp>FUT</stp>
        <stp>CME</stp>
        <stp>USD</stp>
        <stp>202306</stp>
        <stp>0</stp>
        <stp/>
        <stp>12500000</stp>
        <stp/>
        <stp/>
        <tr r="Q9" s="5"/>
        <tr r="Q79" s="5"/>
      </tp>
      <tp t="s">
        <v>0</v>
        <stp/>
        <stp>JPY</stp>
        <stp>6</stp>
        <stp>FUT</stp>
        <stp>CME</stp>
        <stp>USD</stp>
        <stp>202306</stp>
        <stp>0</stp>
        <stp/>
        <stp>12500000</stp>
        <stp/>
        <stp/>
        <tr r="R9" s="5"/>
        <tr r="R79" s="5"/>
      </tp>
      <tp t="s">
        <v>0</v>
        <stp/>
        <stp>JPY</stp>
        <stp>9</stp>
        <stp>FUT</stp>
        <stp>CME</stp>
        <stp>USD</stp>
        <stp>202306</stp>
        <stp>0</stp>
        <stp/>
        <stp>12500000</stp>
        <stp/>
        <stp/>
        <tr r="N9" s="5"/>
        <tr r="N79" s="5"/>
      </tp>
      <tp t="s">
        <v>0</v>
        <stp/>
        <stp>ZN</stp>
        <stp>9</stp>
        <stp>FUT</stp>
        <stp>CBOT</stp>
        <stp>USD</stp>
        <stp>202306</stp>
        <stp>0</stp>
        <stp/>
        <stp>1000</stp>
        <stp/>
        <stp/>
        <tr r="N71" s="5"/>
      </tp>
      <tp t="s">
        <v>0</v>
        <stp/>
        <stp>ZB</stp>
        <stp>6</stp>
        <stp>FUT</stp>
        <stp>CBOT</stp>
        <stp>USD</stp>
        <stp>202309</stp>
        <stp>0</stp>
        <stp/>
        <stp>1000</stp>
        <stp/>
        <stp/>
        <tr r="R72" s="5"/>
      </tp>
      <tp t="s">
        <v>0</v>
        <stp/>
        <stp>SI</stp>
        <stp>7</stp>
        <stp>FOP</stp>
        <stp>COMEX</stp>
        <stp>USD</stp>
        <stp>20240325</stp>
        <stp>30</stp>
        <stp>C</stp>
        <stp>5000</stp>
        <stp/>
        <stp>SO</stp>
        <tr r="Q31" s="5"/>
      </tp>
      <tp t="s">
        <v>0</v>
        <stp/>
        <stp>SI</stp>
        <stp>6</stp>
        <stp>FOP</stp>
        <stp>COMEX</stp>
        <stp>USD</stp>
        <stp>20240325</stp>
        <stp>30</stp>
        <stp>C</stp>
        <stp>5000</stp>
        <stp/>
        <stp>SO</stp>
        <tr r="R31" s="5"/>
      </tp>
      <tp t="s">
        <v>0</v>
        <stp/>
        <stp>ZB</stp>
        <stp>7</stp>
        <stp>FUT</stp>
        <stp>CBOT</stp>
        <stp>USD</stp>
        <stp>202309</stp>
        <stp>0</stp>
        <stp/>
        <stp>1000</stp>
        <stp/>
        <stp/>
        <tr r="Q72" s="5"/>
      </tp>
      <tp t="s">
        <v>0</v>
        <stp/>
        <stp>SI</stp>
        <stp>9</stp>
        <stp>FOP</stp>
        <stp>COMEX</stp>
        <stp>USD</stp>
        <stp>20240325</stp>
        <stp>30</stp>
        <stp>C</stp>
        <stp>5000</stp>
        <stp/>
        <stp>SO</stp>
        <tr r="N31" s="5"/>
      </tp>
      <tp t="s">
        <v>0</v>
        <stp/>
        <stp>ZB</stp>
        <stp>4</stp>
        <stp>FUT</stp>
        <stp>CBOT</stp>
        <stp>USD</stp>
        <stp>202309</stp>
        <stp>0</stp>
        <stp/>
        <stp>1000</stp>
        <stp/>
        <stp/>
        <tr r="O72" s="5"/>
      </tp>
      <tp t="s">
        <v>0</v>
        <stp/>
        <stp>ZS</stp>
        <stp>9</stp>
        <stp>FUT</stp>
        <stp>CBOT</stp>
        <stp>USD</stp>
        <stp>202405</stp>
        <stp>0</stp>
        <stp/>
        <stp>5000</stp>
        <stp/>
        <stp/>
        <tr r="N62" s="5"/>
      </tp>
      <tp t="s">
        <v>0</v>
        <stp/>
        <stp>ZW</stp>
        <stp>9</stp>
        <stp>FUT</stp>
        <stp>CBOT</stp>
        <stp>USD</stp>
        <stp>202405</stp>
        <stp>0</stp>
        <stp/>
        <stp>5000</stp>
        <stp/>
        <stp/>
        <tr r="N61" s="5"/>
      </tp>
      <tp t="s">
        <v>0</v>
        <stp/>
        <stp>INDA</stp>
        <stp>10</stp>
        <stp>OPT</stp>
        <stp>SMART</stp>
        <stp>USD</stp>
        <stp>20231215</stp>
        <stp>44</stp>
        <stp>C</stp>
        <stp>100</stp>
        <stp/>
        <stp/>
        <tr r="M36" s="5"/>
      </tp>
      <tp t="s">
        <v>0</v>
        <stp/>
        <stp>NQ</stp>
        <stp>10</stp>
        <stp>FOP</stp>
        <stp>CME</stp>
        <stp>USD</stp>
        <stp>20230630</stp>
        <stp>13800</stp>
        <stp>C</stp>
        <stp>20</stp>
        <stp/>
        <stp/>
        <tr r="M20" s="5"/>
      </tp>
      <tp t="s">
        <v>0</v>
        <stp/>
        <stp>SB</stp>
        <stp>10</stp>
        <stp>FUT</stp>
        <stp>NYBOT</stp>
        <stp>USD</stp>
        <stp>202310</stp>
        <stp>0</stp>
        <stp/>
        <stp>112000</stp>
        <stp/>
        <stp/>
        <tr r="M63" s="5"/>
      </tp>
      <tp t="s">
        <v>0</v>
        <stp/>
        <stp>CAD</stp>
        <stp>10</stp>
        <stp>FUT</stp>
        <stp>CME</stp>
        <stp>USD</stp>
        <stp>202306</stp>
        <stp>0</stp>
        <stp/>
        <stp>100000</stp>
        <stp/>
        <stp/>
        <tr r="M80" s="5"/>
      </tp>
      <tp t="s">
        <v>0</v>
        <stp/>
        <stp>AUD</stp>
        <stp>10</stp>
        <stp>FUT</stp>
        <stp>CME</stp>
        <stp>USD</stp>
        <stp>202306</stp>
        <stp>0</stp>
        <stp/>
        <stp>100000</stp>
        <stp/>
        <stp/>
        <tr r="M81" s="5"/>
      </tp>
      <tp t="s">
        <v>0</v>
        <stp/>
        <stp>URA</stp>
        <stp>9</stp>
        <stp>OPT</stp>
        <stp>SMART</stp>
        <stp>USD</stp>
        <stp>20240419</stp>
        <stp>32</stp>
        <stp>C</stp>
        <stp>100</stp>
        <stp>SMART</stp>
        <stp/>
        <tr r="N37" s="5"/>
      </tp>
      <tp t="s">
        <v>0</v>
        <stp/>
        <stp>URA</stp>
        <stp>7</stp>
        <stp>OPT</stp>
        <stp>SMART</stp>
        <stp>USD</stp>
        <stp>20240419</stp>
        <stp>32</stp>
        <stp>C</stp>
        <stp>100</stp>
        <stp>SMART</stp>
        <stp/>
        <tr r="Q37" s="5"/>
      </tp>
      <tp t="s">
        <v>0</v>
        <stp/>
        <stp>URA</stp>
        <stp>6</stp>
        <stp>OPT</stp>
        <stp>SMART</stp>
        <stp>USD</stp>
        <stp>20240419</stp>
        <stp>32</stp>
        <stp>C</stp>
        <stp>100</stp>
        <stp>SMART</stp>
        <stp/>
        <tr r="R37" s="5"/>
      </tp>
      <tp t="s">
        <v>0</v>
        <stp/>
        <stp>URA</stp>
        <stp>4</stp>
        <stp>OPT</stp>
        <stp>SMART</stp>
        <stp>USD</stp>
        <stp>20240419</stp>
        <stp>32</stp>
        <stp>C</stp>
        <stp>100</stp>
        <stp>SMART</stp>
        <stp/>
        <tr r="O37" s="5"/>
      </tp>
      <tp t="s">
        <v>0</v>
        <stp/>
        <stp>URA</stp>
        <stp>9</stp>
        <stp>OPT</stp>
        <stp>SMART</stp>
        <stp>USD</stp>
        <stp>20240419</stp>
        <stp>40</stp>
        <stp>C</stp>
        <stp>100</stp>
        <stp>SMART</stp>
        <stp/>
        <tr r="N38" s="5"/>
      </tp>
      <tp t="s">
        <v>0</v>
        <stp/>
        <stp>URA</stp>
        <stp>7</stp>
        <stp>OPT</stp>
        <stp>SMART</stp>
        <stp>USD</stp>
        <stp>20240419</stp>
        <stp>40</stp>
        <stp>C</stp>
        <stp>100</stp>
        <stp>SMART</stp>
        <stp/>
        <tr r="Q38" s="5"/>
      </tp>
      <tp t="s">
        <v>0</v>
        <stp/>
        <stp>URA</stp>
        <stp>6</stp>
        <stp>OPT</stp>
        <stp>SMART</stp>
        <stp>USD</stp>
        <stp>20240419</stp>
        <stp>40</stp>
        <stp>C</stp>
        <stp>100</stp>
        <stp>SMART</stp>
        <stp/>
        <tr r="R38" s="5"/>
      </tp>
      <tp t="s">
        <v>0</v>
        <stp/>
        <stp>URA</stp>
        <stp>4</stp>
        <stp>OPT</stp>
        <stp>SMART</stp>
        <stp>USD</stp>
        <stp>20240419</stp>
        <stp>40</stp>
        <stp>C</stp>
        <stp>100</stp>
        <stp>SMART</stp>
        <stp/>
        <tr r="O38" s="5"/>
      </tp>
      <tp t="s">
        <v>0</v>
        <stp/>
        <stp>DAX</stp>
        <stp>9</stp>
        <stp>FUT</stp>
        <stp>EUREX</stp>
        <stp>EUR</stp>
        <stp>202309</stp>
        <stp>0</stp>
        <stp/>
        <stp>25</stp>
        <stp/>
        <stp/>
        <tr r="N47" s="5"/>
      </tp>
      <tp t="s">
        <v>0</v>
        <stp/>
        <stp>DAX</stp>
        <stp>4</stp>
        <stp>FUT</stp>
        <stp>EUREX</stp>
        <stp>EUR</stp>
        <stp>202309</stp>
        <stp>0</stp>
        <stp/>
        <stp>25</stp>
        <stp/>
        <stp/>
        <tr r="O47" s="5"/>
      </tp>
      <tp t="s">
        <v>0</v>
        <stp/>
        <stp>DAX</stp>
        <stp>7</stp>
        <stp>FUT</stp>
        <stp>EUREX</stp>
        <stp>EUR</stp>
        <stp>202309</stp>
        <stp>0</stp>
        <stp/>
        <stp>25</stp>
        <stp/>
        <stp/>
        <tr r="Q47" s="5"/>
      </tp>
      <tp t="s">
        <v>0</v>
        <stp/>
        <stp>DAX</stp>
        <stp>6</stp>
        <stp>FUT</stp>
        <stp>EUREX</stp>
        <stp>EUR</stp>
        <stp>202309</stp>
        <stp>0</stp>
        <stp/>
        <stp>25</stp>
        <stp/>
        <stp/>
        <tr r="R47" s="5"/>
      </tp>
      <tp t="s">
        <v>0</v>
        <stp/>
        <stp>ES</stp>
        <stp>9</stp>
        <stp>FOP</stp>
        <stp>CME</stp>
        <stp>USD</stp>
        <stp>20231130</stp>
        <stp>4400</stp>
        <stp>C</stp>
        <stp>50</stp>
        <stp/>
        <stp/>
        <tr r="N16" s="5"/>
      </tp>
      <tp t="s">
        <v>0</v>
        <stp/>
        <stp>ES</stp>
        <stp>4</stp>
        <stp>FOP</stp>
        <stp>CME</stp>
        <stp>USD</stp>
        <stp>20231130</stp>
        <stp>4400</stp>
        <stp>C</stp>
        <stp>50</stp>
        <stp/>
        <stp/>
        <tr r="O16" s="5"/>
      </tp>
      <tp t="s">
        <v>0</v>
        <stp/>
        <stp>ES</stp>
        <stp>6</stp>
        <stp>FOP</stp>
        <stp>CME</stp>
        <stp>USD</stp>
        <stp>20231130</stp>
        <stp>4400</stp>
        <stp>C</stp>
        <stp>50</stp>
        <stp/>
        <stp/>
        <tr r="R16" s="5"/>
      </tp>
      <tp t="s">
        <v>0</v>
        <stp/>
        <stp>ES</stp>
        <stp>7</stp>
        <stp>FOP</stp>
        <stp>CME</stp>
        <stp>USD</stp>
        <stp>20231130</stp>
        <stp>4400</stp>
        <stp>C</stp>
        <stp>50</stp>
        <stp/>
        <stp/>
        <tr r="Q16" s="5"/>
      </tp>
      <tp t="s">
        <v>0</v>
        <stp/>
        <stp>ES</stp>
        <stp>9</stp>
        <stp>FOP</stp>
        <stp>CME</stp>
        <stp>USD</stp>
        <stp>20231130</stp>
        <stp>4200</stp>
        <stp>P</stp>
        <stp>50</stp>
        <stp/>
        <stp/>
        <tr r="N17" s="5"/>
      </tp>
      <tp t="s">
        <v>0</v>
        <stp/>
        <stp>ES</stp>
        <stp>4</stp>
        <stp>FOP</stp>
        <stp>CME</stp>
        <stp>USD</stp>
        <stp>20231130</stp>
        <stp>4200</stp>
        <stp>P</stp>
        <stp>50</stp>
        <stp/>
        <stp/>
        <tr r="O17" s="5"/>
      </tp>
      <tp t="s">
        <v>0</v>
        <stp/>
        <stp>ES</stp>
        <stp>7</stp>
        <stp>FOP</stp>
        <stp>CME</stp>
        <stp>USD</stp>
        <stp>20231130</stp>
        <stp>4200</stp>
        <stp>P</stp>
        <stp>50</stp>
        <stp/>
        <stp/>
        <tr r="Q17" s="5"/>
      </tp>
      <tp t="s">
        <v>0</v>
        <stp/>
        <stp>ES</stp>
        <stp>6</stp>
        <stp>FOP</stp>
        <stp>CME</stp>
        <stp>USD</stp>
        <stp>20231130</stp>
        <stp>4200</stp>
        <stp>P</stp>
        <stp>50</stp>
        <stp/>
        <stp/>
        <tr r="R17" s="5"/>
      </tp>
      <tp t="s">
        <v>0</v>
        <stp/>
        <stp>EUR</stp>
        <stp>10</stp>
        <stp>FUT</stp>
        <stp>CME</stp>
        <stp>USD</stp>
        <stp>202306</stp>
        <stp>0</stp>
        <stp/>
        <stp>125000</stp>
        <stp/>
        <stp/>
        <tr r="M8" s="5"/>
        <tr r="M77" s="5"/>
      </tp>
      <tp t="s">
        <v>0</v>
        <stp/>
        <stp>SPX</stp>
        <stp>7</stp>
        <stp>IND</stp>
        <stp>CBOE</stp>
        <stp>USD</stp>
        <stp/>
        <stp>0</stp>
        <stp/>
        <stp/>
        <stp/>
        <stp/>
        <tr r="Q45" s="5"/>
      </tp>
      <tp t="s">
        <v>0</v>
        <stp/>
        <stp>SPX</stp>
        <stp>6</stp>
        <stp>IND</stp>
        <stp>CBOE</stp>
        <stp>USD</stp>
        <stp/>
        <stp>0</stp>
        <stp/>
        <stp/>
        <stp/>
        <stp/>
        <tr r="R45" s="5"/>
      </tp>
      <tp t="s">
        <v>0</v>
        <stp/>
        <stp>SPX</stp>
        <stp>4</stp>
        <stp>IND</stp>
        <stp>CBOE</stp>
        <stp>USD</stp>
        <stp/>
        <stp>0</stp>
        <stp/>
        <stp/>
        <stp/>
        <stp/>
        <tr r="O45" s="5"/>
      </tp>
      <tp t="s">
        <v>0</v>
        <stp/>
        <stp>SPX</stp>
        <stp>9</stp>
        <stp>IND</stp>
        <stp>CBOE</stp>
        <stp>USD</stp>
        <stp/>
        <stp>0</stp>
        <stp/>
        <stp/>
        <stp/>
        <stp/>
        <tr r="N45" s="5"/>
      </tp>
      <tp t="s">
        <v>0</v>
        <stp/>
        <stp>AF</stp>
        <stp>10</stp>
        <stp>STK</stp>
        <stp>SMART</stp>
        <stp>EUR</stp>
        <stp/>
        <stp>0</stp>
        <stp/>
        <stp/>
        <stp/>
        <stp/>
        <tr r="M88" s="5"/>
      </tp>
      <tp t="s">
        <v>0</v>
        <stp/>
        <stp>JPY</stp>
        <stp>10</stp>
        <stp>FUT</stp>
        <stp>CME</stp>
        <stp>USD</stp>
        <stp>202306</stp>
        <stp>0</stp>
        <stp/>
        <stp>12500000</stp>
        <stp/>
        <stp/>
        <tr r="M79" s="5"/>
        <tr r="M9" s="5"/>
      </tp>
      <tp t="s">
        <v>0</v>
        <stp/>
        <stp>SI</stp>
        <stp>10</stp>
        <stp>FOP</stp>
        <stp>COMEX</stp>
        <stp>USD</stp>
        <stp>20231127</stp>
        <stp>22.2</stp>
        <stp>C</stp>
        <stp>5000</stp>
        <stp/>
        <stp/>
        <tr r="M28" s="5"/>
      </tp>
      <tp t="s">
        <v>0</v>
        <stp/>
        <stp>SI</stp>
        <stp>10</stp>
        <stp>FOP</stp>
        <stp>COMEX</stp>
        <stp>USD</stp>
        <stp>20231127</stp>
        <stp>24.7</stp>
        <stp>C</stp>
        <stp>5000</stp>
        <stp/>
        <stp/>
        <tr r="M29" s="5"/>
      </tp>
      <tp t="s">
        <v>0</v>
        <stp/>
        <stp>SI</stp>
        <stp>10</stp>
        <stp>FOP</stp>
        <stp>COMEX</stp>
        <stp>USD</stp>
        <stp>20240325</stp>
        <stp>26.5</stp>
        <stp>C</stp>
        <stp>5000</stp>
        <stp/>
        <stp/>
        <tr r="M30" s="5"/>
      </tp>
      <tp t="s">
        <v>0</v>
        <stp/>
        <stp>GC</stp>
        <stp>10</stp>
        <stp>FUT</stp>
        <stp>COMEX</stp>
        <stp>USD</stp>
        <stp>202306</stp>
        <stp>0</stp>
        <stp/>
        <stp>100</stp>
        <stp/>
        <stp/>
        <tr r="M57" s="5"/>
      </tp>
      <tp t="s">
        <v>0</v>
        <stp/>
        <stp>BBG00QL6Z5C2</stp>
        <stp>9</stp>
        <stp>BOND</stp>
        <stp>SMART</stp>
        <stp>USD</stp>
        <stp/>
        <stp>0</stp>
        <stp/>
        <stp/>
        <stp/>
        <stp/>
        <tr r="N12" s="5"/>
      </tp>
      <tp t="s">
        <v>0</v>
        <stp/>
        <stp>RNO</stp>
        <stp>4</stp>
        <stp>STK</stp>
        <stp>SMART</stp>
        <stp>EUR</stp>
        <stp/>
        <stp>0</stp>
        <stp/>
        <stp/>
        <stp/>
        <stp/>
        <tr r="O86" s="5"/>
      </tp>
      <tp t="s">
        <v>0</v>
        <stp/>
        <stp>SAN</stp>
        <stp>4</stp>
        <stp>STK</stp>
        <stp>SMART</stp>
        <stp>EUR</stp>
        <stp/>
        <stp>0</stp>
        <stp/>
        <stp/>
        <stp/>
        <stp/>
        <tr r="O87" s="5"/>
      </tp>
      <tp t="s">
        <v>0</v>
        <stp/>
        <stp>RNO</stp>
        <stp>6</stp>
        <stp>STK</stp>
        <stp>SMART</stp>
        <stp>EUR</stp>
        <stp/>
        <stp>0</stp>
        <stp/>
        <stp/>
        <stp/>
        <stp/>
        <tr r="R86" s="5"/>
      </tp>
      <tp t="s">
        <v>0</v>
        <stp/>
        <stp>SAN</stp>
        <stp>7</stp>
        <stp>STK</stp>
        <stp>SMART</stp>
        <stp>EUR</stp>
        <stp/>
        <stp>0</stp>
        <stp/>
        <stp/>
        <stp/>
        <stp/>
        <tr r="Q87" s="5"/>
      </tp>
      <tp t="s">
        <v>0</v>
        <stp/>
        <stp>RNO</stp>
        <stp>7</stp>
        <stp>STK</stp>
        <stp>SMART</stp>
        <stp>EUR</stp>
        <stp/>
        <stp>0</stp>
        <stp/>
        <stp/>
        <stp/>
        <stp/>
        <tr r="Q86" s="5"/>
      </tp>
      <tp t="s">
        <v>0</v>
        <stp/>
        <stp>SAN</stp>
        <stp>6</stp>
        <stp>STK</stp>
        <stp>SMART</stp>
        <stp>EUR</stp>
        <stp/>
        <stp>0</stp>
        <stp/>
        <stp/>
        <stp/>
        <stp/>
        <tr r="R87" s="5"/>
      </tp>
      <tp t="s">
        <v>0</v>
        <stp/>
        <stp>SAN</stp>
        <stp>9</stp>
        <stp>STK</stp>
        <stp>SMART</stp>
        <stp>EUR</stp>
        <stp/>
        <stp>0</stp>
        <stp/>
        <stp/>
        <stp/>
        <stp/>
        <tr r="N87" s="5"/>
      </tp>
      <tp t="s">
        <v>0</v>
        <stp/>
        <stp>RNO</stp>
        <stp>9</stp>
        <stp>STK</stp>
        <stp>SMART</stp>
        <stp>EUR</stp>
        <stp/>
        <stp>0</stp>
        <stp/>
        <stp/>
        <stp/>
        <stp/>
        <tr r="N86" s="5"/>
      </tp>
      <tp t="s">
        <v>0</v>
        <stp/>
        <stp>NOKIA</stp>
        <stp>10</stp>
        <stp>STK</stp>
        <stp>SMART</stp>
        <stp>EUR</stp>
        <stp/>
        <stp>0</stp>
        <stp/>
        <stp/>
        <stp/>
        <stp/>
        <tr r="M85" s="5"/>
      </tp>
      <tp t="s">
        <v>0</v>
        <stp/>
        <stp>BP.</stp>
        <stp>6</stp>
        <stp>STK</stp>
        <stp>SMART</stp>
        <stp>GBP</stp>
        <stp/>
        <stp>0</stp>
        <stp/>
        <stp/>
        <stp/>
        <stp/>
        <tr r="R83" s="5"/>
      </tp>
      <tp t="s">
        <v>0</v>
        <stp/>
        <stp>BP.</stp>
        <stp>7</stp>
        <stp>STK</stp>
        <stp>SMART</stp>
        <stp>GBP</stp>
        <stp/>
        <stp>0</stp>
        <stp/>
        <stp/>
        <stp/>
        <stp/>
        <tr r="Q83" s="5"/>
      </tp>
      <tp t="s">
        <v>0</v>
        <stp/>
        <stp>BP.</stp>
        <stp>4</stp>
        <stp>STK</stp>
        <stp>SMART</stp>
        <stp>GBP</stp>
        <stp/>
        <stp>0</stp>
        <stp/>
        <stp/>
        <stp/>
        <stp/>
        <tr r="O83" s="5"/>
      </tp>
      <tp t="s">
        <v>0</v>
        <stp/>
        <stp>BP.</stp>
        <stp>9</stp>
        <stp>STK</stp>
        <stp>SMART</stp>
        <stp>GBP</stp>
        <stp/>
        <stp>0</stp>
        <stp/>
        <stp/>
        <stp/>
        <stp/>
        <tr r="N83" s="5"/>
      </tp>
      <tp t="s">
        <v>0</v>
        <stp/>
        <stp>ESTX50</stp>
        <stp>6</stp>
        <stp>FUT</stp>
        <stp>EUREX</stp>
        <stp>EUR</stp>
        <stp>202309</stp>
        <stp>0</stp>
        <stp/>
        <stp>10</stp>
        <stp/>
        <stp/>
        <tr r="R46" s="5"/>
      </tp>
      <tp t="s">
        <v>0</v>
        <stp/>
        <stp>ESTX50</stp>
        <stp>7</stp>
        <stp>FUT</stp>
        <stp>EUREX</stp>
        <stp>EUR</stp>
        <stp>202309</stp>
        <stp>0</stp>
        <stp/>
        <stp>10</stp>
        <stp/>
        <stp/>
        <tr r="Q46" s="5"/>
      </tp>
      <tp t="s">
        <v>0</v>
        <stp/>
        <stp>ESTX50</stp>
        <stp>4</stp>
        <stp>FUT</stp>
        <stp>EUREX</stp>
        <stp>EUR</stp>
        <stp>202309</stp>
        <stp>0</stp>
        <stp/>
        <stp>10</stp>
        <stp/>
        <stp/>
        <tr r="O46" s="5"/>
      </tp>
      <tp t="s">
        <v>0</v>
        <stp/>
        <stp>ESTX50</stp>
        <stp>9</stp>
        <stp>FUT</stp>
        <stp>EUREX</stp>
        <stp>EUR</stp>
        <stp>202309</stp>
        <stp>0</stp>
        <stp/>
        <stp>10</stp>
        <stp/>
        <stp/>
        <tr r="N46" s="5"/>
      </tp>
      <tp t="s">
        <v>0</v>
        <stp/>
        <stp>RTY</stp>
        <stp>10</stp>
        <stp>FUT</stp>
        <stp>CME</stp>
        <stp>USD</stp>
        <stp>202309</stp>
        <stp>0</stp>
        <stp/>
        <stp>50</stp>
        <stp/>
        <stp/>
        <tr r="M44" s="5"/>
      </tp>
      <tp t="s">
        <v>0</v>
        <stp/>
        <stp>BBG00QL6Z5C2</stp>
        <stp>7</stp>
        <stp>BOND</stp>
        <stp>SMART</stp>
        <stp>USD</stp>
        <stp/>
        <stp>0</stp>
        <stp/>
        <stp/>
        <stp/>
        <stp/>
        <tr r="Q12" s="5"/>
      </tp>
      <tp t="s">
        <v>0</v>
        <stp/>
        <stp>BBG016NJ8DP4</stp>
        <stp>10</stp>
        <stp>BOND</stp>
        <stp>SMART</stp>
        <stp>USD</stp>
        <stp/>
        <stp>0</stp>
        <stp/>
        <stp/>
        <stp/>
        <stp/>
        <tr r="M14" s="5"/>
      </tp>
      <tp t="s">
        <v>0</v>
        <stp/>
        <stp>BBG00QL6Z5C2</stp>
        <stp>6</stp>
        <stp>BOND</stp>
        <stp>SMART</stp>
        <stp>USD</stp>
        <stp/>
        <stp>0</stp>
        <stp/>
        <stp/>
        <stp/>
        <stp/>
        <tr r="R12" s="5"/>
      </tp>
      <tp t="s">
        <v>0</v>
        <stp/>
        <stp>AAPL</stp>
        <stp>4</stp>
        <stp>STK</stp>
        <stp>SMART</stp>
        <stp>USD</stp>
        <stp/>
        <stp>0</stp>
        <stp/>
        <stp/>
        <stp>NASDAQ</stp>
        <stp/>
        <tr r="O90" s="5"/>
      </tp>
      <tp t="s">
        <v>0</v>
        <stp/>
        <stp>AAPL</stp>
        <stp>6</stp>
        <stp>STK</stp>
        <stp>SMART</stp>
        <stp>USD</stp>
        <stp/>
        <stp>0</stp>
        <stp/>
        <stp/>
        <stp>NASDAQ</stp>
        <stp/>
        <tr r="R90" s="5"/>
      </tp>
      <tp t="s">
        <v>0</v>
        <stp/>
        <stp>AAPL</stp>
        <stp>7</stp>
        <stp>STK</stp>
        <stp>SMART</stp>
        <stp>USD</stp>
        <stp/>
        <stp>0</stp>
        <stp/>
        <stp/>
        <stp>NASDAQ</stp>
        <stp/>
        <tr r="Q90" s="5"/>
      </tp>
      <tp t="s">
        <v>0</v>
        <stp/>
        <stp>AAPL</stp>
        <stp>9</stp>
        <stp>STK</stp>
        <stp>SMART</stp>
        <stp>USD</stp>
        <stp/>
        <stp>0</stp>
        <stp/>
        <stp/>
        <stp>NASDAQ</stp>
        <stp/>
        <tr r="N90" s="5"/>
      </tp>
      <tp t="s">
        <v>0</v>
        <stp/>
        <stp>GBL</stp>
        <stp>10</stp>
        <stp>FUT</stp>
        <stp>EUREX</stp>
        <stp>EUR</stp>
        <stp>202306</stp>
        <stp>0</stp>
        <stp/>
        <stp>1000</stp>
        <stp/>
        <stp/>
        <tr r="M73" s="5"/>
      </tp>
      <tp t="s">
        <v>0</v>
        <stp/>
        <stp>KC</stp>
        <stp>10</stp>
        <stp>FOP</stp>
        <stp>NYBOT</stp>
        <stp>USD</stp>
        <stp>20231208</stp>
        <stp>165</stp>
        <stp>C</stp>
        <stp>37500</stp>
        <stp/>
        <stp/>
        <tr r="M32" s="5"/>
      </tp>
      <tp t="s">
        <v>0</v>
        <stp/>
        <stp>KC</stp>
        <stp>10</stp>
        <stp>FOP</stp>
        <stp>NYBOT</stp>
        <stp>USD</stp>
        <stp>20231208</stp>
        <stp>175</stp>
        <stp>C</stp>
        <stp>37500</stp>
        <stp/>
        <stp/>
        <tr r="M33" s="5"/>
      </tp>
      <tp t="s">
        <v>0</v>
        <stp/>
        <stp>BBG00QL6Z5C2</stp>
        <stp>4</stp>
        <stp>BOND</stp>
        <stp>SMART</stp>
        <stp>USD</stp>
        <stp/>
        <stp>0</stp>
        <stp/>
        <stp/>
        <stp/>
        <stp/>
        <tr r="O12" s="5"/>
      </tp>
      <tp t="s">
        <v>0</v>
        <stp/>
        <stp>GBP</stp>
        <stp>10</stp>
        <stp>FUT</stp>
        <stp>CME</stp>
        <stp>USD</stp>
        <stp>202306</stp>
        <stp>0</stp>
        <stp/>
        <stp>62500</stp>
        <stp/>
        <stp/>
        <tr r="M78" s="5"/>
      </tp>
      <tp t="s">
        <v>0</v>
        <stp/>
        <stp>HE</stp>
        <stp>10</stp>
        <stp>FOP</stp>
        <stp>CME</stp>
        <stp>USD</stp>
        <stp>20240214</stp>
        <stp>86</stp>
        <stp>C</stp>
        <stp>40000</stp>
        <stp/>
        <stp/>
        <tr r="M34" s="5"/>
      </tp>
      <tp t="s">
        <v>0</v>
        <stp/>
        <stp>BTP</stp>
        <stp>10</stp>
        <stp>FUT</stp>
        <stp>EUREX</stp>
        <stp>EUR</stp>
        <stp>202306</stp>
        <stp>0</stp>
        <stp/>
        <stp>1000</stp>
        <stp/>
        <stp/>
        <tr r="M75" s="5"/>
      </tp>
      <tp t="s">
        <v>0</v>
        <stp/>
        <stp>HE</stp>
        <stp>10</stp>
        <stp>FUT</stp>
        <stp>CME</stp>
        <stp>USD</stp>
        <stp>202402</stp>
        <stp>0</stp>
        <stp/>
        <stp>40000</stp>
        <stp/>
        <stp/>
        <tr r="M69" s="5"/>
      </tp>
      <tp t="s">
        <v>0</v>
        <stp/>
        <stp>BBG00JC22VC6</stp>
        <stp>10</stp>
        <stp>BOND</stp>
        <stp>SMART</stp>
        <stp>USD</stp>
        <stp/>
        <stp>0</stp>
        <stp/>
        <stp/>
        <stp/>
        <stp/>
        <tr r="M13" s="5"/>
      </tp>
      <tp t="s">
        <v>0</v>
        <stp/>
        <stp>FTMIB</stp>
        <stp>10</stp>
        <stp>FUT</stp>
        <stp>IDEM</stp>
        <stp>EUR</stp>
        <stp>202306</stp>
        <stp>0</stp>
        <stp/>
        <stp>5</stp>
        <stp/>
        <stp/>
        <tr r="M48" s="5"/>
      </tp>
      <tp t="s">
        <v>0</v>
        <stp/>
        <stp>SAVE</stp>
        <stp>10</stp>
        <stp>OPT</stp>
        <stp>SMART</stp>
        <stp>USD</stp>
        <stp>20240119</stp>
        <stp>27.5</stp>
        <stp>C</stp>
        <stp>100</stp>
        <stp/>
        <stp/>
        <tr r="M40" s="5"/>
      </tp>
      <tp t="s">
        <v>0</v>
        <stp/>
        <stp>SAVE</stp>
        <stp>10</stp>
        <stp>OPT</stp>
        <stp>SMART</stp>
        <stp>USD</stp>
        <stp>20240119</stp>
        <stp>17.5</stp>
        <stp>C</stp>
        <stp>100</stp>
        <stp/>
        <stp/>
        <tr r="M39" s="5"/>
      </tp>
      <tp t="s">
        <v>0</v>
        <stp/>
        <stp>CC</stp>
        <stp>10</stp>
        <stp>FUT</stp>
        <stp>NYBOT</stp>
        <stp>USD</stp>
        <stp>202407</stp>
        <stp>0</stp>
        <stp/>
        <stp>10</stp>
        <stp/>
        <stp/>
        <tr r="M65" s="5"/>
      </tp>
      <tp t="s">
        <v>0</v>
        <stp/>
        <stp>BBG016NJ8DP4</stp>
        <stp>9</stp>
        <stp>BOND</stp>
        <stp>SMART</stp>
        <stp>USD</stp>
        <stp/>
        <stp>0</stp>
        <stp/>
        <stp/>
        <stp/>
        <stp/>
        <tr r="N14" s="5"/>
      </tp>
      <tp t="s">
        <v>0</v>
        <stp/>
        <stp>SPX</stp>
        <stp>10</stp>
        <stp>IND</stp>
        <stp>CBOE</stp>
        <stp>USD</stp>
        <stp/>
        <stp>0</stp>
        <stp/>
        <stp/>
        <stp/>
        <stp/>
        <tr r="M45" s="5"/>
      </tp>
      <tp t="s">
        <v>0</v>
        <stp/>
        <stp>HE</stp>
        <stp>10</stp>
        <stp>FOP</stp>
        <stp>CME</stp>
        <stp>USD</stp>
        <stp>20240214</stp>
        <stp>80</stp>
        <stp>C</stp>
        <stp>40000</stp>
        <stp/>
        <stp/>
        <tr r="M35" s="5"/>
      </tp>
      <tp t="s">
        <v>0</v>
        <stp/>
        <stp>GBP</stp>
        <stp>9</stp>
        <stp>FUT</stp>
        <stp>CME</stp>
        <stp>USD</stp>
        <stp>202306</stp>
        <stp>0</stp>
        <stp/>
        <stp>62500</stp>
        <stp/>
        <stp/>
        <tr r="N78" s="5"/>
      </tp>
      <tp t="s">
        <v>0</v>
        <stp/>
        <stp>LE</stp>
        <stp>10</stp>
        <stp>FUT</stp>
        <stp>CME</stp>
        <stp>USD</stp>
        <stp>202306</stp>
        <stp>0</stp>
        <stp/>
        <stp>40000</stp>
        <stp/>
        <stp/>
        <tr r="M67" s="5"/>
      </tp>
      <tp t="s">
        <v>0</v>
        <stp/>
        <stp>PA</stp>
        <stp>10</stp>
        <stp>FUT</stp>
        <stp>NYMEX</stp>
        <stp>USD</stp>
        <stp>202306</stp>
        <stp>0</stp>
        <stp/>
        <stp>100</stp>
        <stp/>
        <stp/>
        <tr r="M59" s="5"/>
      </tp>
      <tp t="s">
        <v>0</v>
        <stp/>
        <stp>SAVE</stp>
        <stp>9</stp>
        <stp>OPT</stp>
        <stp>SMART</stp>
        <stp>USD</stp>
        <stp>20240119</stp>
        <stp>17.5</stp>
        <stp>C</stp>
        <stp>100</stp>
        <stp/>
        <stp/>
        <tr r="N39" s="5"/>
      </tp>
      <tp t="s">
        <v>0</v>
        <stp/>
        <stp>SAVE</stp>
        <stp>9</stp>
        <stp>OPT</stp>
        <stp>SMART</stp>
        <stp>USD</stp>
        <stp>20240119</stp>
        <stp>27.5</stp>
        <stp>C</stp>
        <stp>100</stp>
        <stp/>
        <stp/>
        <tr r="N40" s="5"/>
      </tp>
      <tp t="s">
        <v>0</v>
        <stp/>
        <stp>SAVE</stp>
        <stp>6</stp>
        <stp>OPT</stp>
        <stp>SMART</stp>
        <stp>USD</stp>
        <stp>20240119</stp>
        <stp>17.5</stp>
        <stp>C</stp>
        <stp>100</stp>
        <stp/>
        <stp/>
        <tr r="R39" s="5"/>
      </tp>
      <tp t="s">
        <v>0</v>
        <stp/>
        <stp>SAVE</stp>
        <stp>6</stp>
        <stp>OPT</stp>
        <stp>SMART</stp>
        <stp>USD</stp>
        <stp>20240119</stp>
        <stp>27.5</stp>
        <stp>C</stp>
        <stp>100</stp>
        <stp/>
        <stp/>
        <tr r="R40" s="5"/>
      </tp>
      <tp t="s">
        <v>0</v>
        <stp/>
        <stp>SAVE</stp>
        <stp>7</stp>
        <stp>OPT</stp>
        <stp>SMART</stp>
        <stp>USD</stp>
        <stp>20240119</stp>
        <stp>17.5</stp>
        <stp>C</stp>
        <stp>100</stp>
        <stp/>
        <stp/>
        <tr r="Q39" s="5"/>
      </tp>
      <tp t="s">
        <v>0</v>
        <stp/>
        <stp>SAVE</stp>
        <stp>7</stp>
        <stp>OPT</stp>
        <stp>SMART</stp>
        <stp>USD</stp>
        <stp>20240119</stp>
        <stp>27.5</stp>
        <stp>C</stp>
        <stp>100</stp>
        <stp/>
        <stp/>
        <tr r="Q40" s="5"/>
      </tp>
      <tp t="s">
        <v>0</v>
        <stp/>
        <stp>SAVE</stp>
        <stp>4</stp>
        <stp>OPT</stp>
        <stp>SMART</stp>
        <stp>USD</stp>
        <stp>20240119</stp>
        <stp>17.5</stp>
        <stp>C</stp>
        <stp>100</stp>
        <stp/>
        <stp/>
        <tr r="O39" s="5"/>
      </tp>
      <tp t="s">
        <v>0</v>
        <stp/>
        <stp>SAVE</stp>
        <stp>4</stp>
        <stp>OPT</stp>
        <stp>SMART</stp>
        <stp>USD</stp>
        <stp>20240119</stp>
        <stp>27.5</stp>
        <stp>C</stp>
        <stp>100</stp>
        <stp/>
        <stp/>
        <tr r="O40" s="5"/>
      </tp>
      <tp t="s">
        <v>0</v>
        <stp/>
        <stp>ZB</stp>
        <stp>10</stp>
        <stp>FUT</stp>
        <stp>CBOT</stp>
        <stp>USD</stp>
        <stp>202309</stp>
        <stp>0</stp>
        <stp/>
        <stp>1000</stp>
        <stp/>
        <stp/>
        <tr r="M72" s="5"/>
      </tp>
      <tp t="s">
        <v>0</v>
        <stp/>
        <stp>GBP</stp>
        <stp>7</stp>
        <stp>FUT</stp>
        <stp>CME</stp>
        <stp>USD</stp>
        <stp>202306</stp>
        <stp>0</stp>
        <stp/>
        <stp>62500</stp>
        <stp/>
        <stp/>
        <tr r="Q78" s="5"/>
      </tp>
      <tp t="s">
        <v>0</v>
        <stp/>
        <stp>ZN</stp>
        <stp>10</stp>
        <stp>FUT</stp>
        <stp>CBOT</stp>
        <stp>USD</stp>
        <stp>202306</stp>
        <stp>0</stp>
        <stp/>
        <stp>1000</stp>
        <stp/>
        <stp/>
        <tr r="M71" s="5"/>
      </tp>
      <tp t="s">
        <v>0</v>
        <stp/>
        <stp>BBG016NJ8DP4</stp>
        <stp>4</stp>
        <stp>BOND</stp>
        <stp>SMART</stp>
        <stp>USD</stp>
        <stp/>
        <stp>0</stp>
        <stp/>
        <stp/>
        <stp/>
        <stp/>
        <tr r="O14" s="5"/>
      </tp>
      <tp t="s">
        <v>0</v>
        <stp/>
        <stp>GBP</stp>
        <stp>6</stp>
        <stp>FUT</stp>
        <stp>CME</stp>
        <stp>USD</stp>
        <stp>202306</stp>
        <stp>0</stp>
        <stp/>
        <stp>62500</stp>
        <stp/>
        <stp/>
        <tr r="R78" s="5"/>
      </tp>
      <tp t="s">
        <v>0</v>
        <stp/>
        <stp>GBX</stp>
        <stp>10</stp>
        <stp>FUT</stp>
        <stp>EUREX</stp>
        <stp>EUR</stp>
        <stp>202306</stp>
        <stp>0</stp>
        <stp/>
        <stp>1000</stp>
        <stp/>
        <stp/>
        <tr r="M74" s="5"/>
      </tp>
      <tp t="s">
        <v>0</v>
        <stp/>
        <stp>BBG016NJ8DP4</stp>
        <stp>7</stp>
        <stp>BOND</stp>
        <stp>SMART</stp>
        <stp>USD</stp>
        <stp/>
        <stp>0</stp>
        <stp/>
        <stp/>
        <stp/>
        <stp/>
        <tr r="Q14" s="5"/>
      </tp>
      <tp t="s">
        <v>0</v>
        <stp/>
        <stp>BBG016NJ8DP4</stp>
        <stp>6</stp>
        <stp>BOND</stp>
        <stp>SMART</stp>
        <stp>USD</stp>
        <stp/>
        <stp>0</stp>
        <stp/>
        <stp/>
        <stp/>
        <stp/>
        <tr r="R14" s="5"/>
      </tp>
      <tp t="s">
        <v>0</v>
        <stp/>
        <stp>GBP</stp>
        <stp>4</stp>
        <stp>FUT</stp>
        <stp>CME</stp>
        <stp>USD</stp>
        <stp>202306</stp>
        <stp>0</stp>
        <stp/>
        <stp>62500</stp>
        <stp/>
        <stp/>
        <tr r="O78" s="5"/>
      </tp>
      <tp t="s">
        <v>0</v>
        <stp/>
        <stp>ZW</stp>
        <stp>10</stp>
        <stp>FUT</stp>
        <stp>CBOT</stp>
        <stp>USD</stp>
        <stp>202405</stp>
        <stp>0</stp>
        <stp/>
        <stp>5000</stp>
        <stp/>
        <stp/>
        <tr r="M61" s="5"/>
      </tp>
      <tp t="s">
        <v>0</v>
        <stp/>
        <stp>ZS</stp>
        <stp>10</stp>
        <stp>FUT</stp>
        <stp>CBOT</stp>
        <stp>USD</stp>
        <stp>202405</stp>
        <stp>0</stp>
        <stp/>
        <stp>5000</stp>
        <stp/>
        <stp/>
        <tr r="M62" s="5"/>
      </tp>
      <tp t="s">
        <v>0</v>
        <stp/>
        <stp>GF</stp>
        <stp>10</stp>
        <stp>FUT</stp>
        <stp>CME</stp>
        <stp>USD</stp>
        <stp>202305</stp>
        <stp>0</stp>
        <stp/>
        <stp>50000</stp>
        <stp/>
        <stp/>
        <tr r="M68" s="5"/>
      </tp>
      <tp t="s">
        <v>0</v>
        <stp/>
        <stp>ZC</stp>
        <stp>10</stp>
        <stp>FUT</stp>
        <stp>CBOT</stp>
        <stp>USD</stp>
        <stp>202312</stp>
        <stp>0</stp>
        <stp/>
        <stp>5000</stp>
        <stp/>
        <stp/>
        <tr r="M60" s="5"/>
      </tp>
      <tp t="s">
        <v>0</v>
        <stp/>
        <stp>BBG00QL6Z5C2</stp>
        <stp>10</stp>
        <stp>BOND</stp>
        <stp>SMART</stp>
        <stp>USD</stp>
        <stp/>
        <stp>0</stp>
        <stp/>
        <stp/>
        <stp/>
        <stp/>
        <tr r="M12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NAV!$N$2</c:f>
              <c:strCache>
                <c:ptCount val="1"/>
                <c:pt idx="0">
                  <c:v>Perf. MTD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[0]!DynDate</c:f>
              <c:numCache>
                <c:formatCode>d\-mmm</c:formatCode>
                <c:ptCount val="23"/>
                <c:pt idx="0">
                  <c:v>45654</c:v>
                </c:pt>
                <c:pt idx="1">
                  <c:v>45685</c:v>
                </c:pt>
                <c:pt idx="2">
                  <c:v>45716</c:v>
                </c:pt>
                <c:pt idx="3">
                  <c:v>45744</c:v>
                </c:pt>
                <c:pt idx="4">
                  <c:v>45775</c:v>
                </c:pt>
                <c:pt idx="5">
                  <c:v>45805</c:v>
                </c:pt>
                <c:pt idx="6">
                  <c:v>45836</c:v>
                </c:pt>
                <c:pt idx="7">
                  <c:v>45866</c:v>
                </c:pt>
                <c:pt idx="8">
                  <c:v>45897</c:v>
                </c:pt>
                <c:pt idx="9">
                  <c:v>45928</c:v>
                </c:pt>
                <c:pt idx="10">
                  <c:v>45958</c:v>
                </c:pt>
                <c:pt idx="11">
                  <c:v>45989</c:v>
                </c:pt>
                <c:pt idx="12">
                  <c:v>46019</c:v>
                </c:pt>
                <c:pt idx="13">
                  <c:v>46050</c:v>
                </c:pt>
                <c:pt idx="14">
                  <c:v>46081</c:v>
                </c:pt>
                <c:pt idx="15">
                  <c:v>46109</c:v>
                </c:pt>
                <c:pt idx="16">
                  <c:v>46140</c:v>
                </c:pt>
                <c:pt idx="17">
                  <c:v>46170</c:v>
                </c:pt>
                <c:pt idx="18">
                  <c:v>46201</c:v>
                </c:pt>
                <c:pt idx="19">
                  <c:v>46231</c:v>
                </c:pt>
                <c:pt idx="20">
                  <c:v>46262</c:v>
                </c:pt>
                <c:pt idx="21">
                  <c:v>46293</c:v>
                </c:pt>
              </c:numCache>
            </c:numRef>
          </c:cat>
          <c:val>
            <c:numRef>
              <c:f>[0]!DynMTD</c:f>
              <c:numCache>
                <c:formatCode>0.00%</c:formatCode>
                <c:ptCount val="15"/>
                <c:pt idx="0" formatCode="#,##0.00_-;\-#,##0.00_-;_-;_-@_-">
                  <c:v>0</c:v>
                </c:pt>
                <c:pt idx="1">
                  <c:v>-7.5621700000000347E-3</c:v>
                </c:pt>
                <c:pt idx="2">
                  <c:v>-1.6304205171219555E-2</c:v>
                </c:pt>
                <c:pt idx="3">
                  <c:v>4.7955019873252125E-2</c:v>
                </c:pt>
                <c:pt idx="4">
                  <c:v>3.3174562050458878E-2</c:v>
                </c:pt>
                <c:pt idx="5">
                  <c:v>2.6878619839569406E-2</c:v>
                </c:pt>
                <c:pt idx="6">
                  <c:v>1.2360492242845522E-2</c:v>
                </c:pt>
                <c:pt idx="7">
                  <c:v>-9.6034821202423126E-3</c:v>
                </c:pt>
                <c:pt idx="8">
                  <c:v>4.1593428644281172E-2</c:v>
                </c:pt>
                <c:pt idx="9">
                  <c:v>9.5130844932209691E-3</c:v>
                </c:pt>
                <c:pt idx="10">
                  <c:v>-2.5535088109666093E-3</c:v>
                </c:pt>
                <c:pt idx="11">
                  <c:v>4.0809314501175198E-2</c:v>
                </c:pt>
                <c:pt idx="12">
                  <c:v>6.829971594059181E-3</c:v>
                </c:pt>
                <c:pt idx="13">
                  <c:v>-3.9244992357752695E-2</c:v>
                </c:pt>
                <c:pt idx="14">
                  <c:v>-0.32403979522059789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B-4991-8F17-764EBE87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225280"/>
        <c:axId val="46226816"/>
      </c:barChart>
      <c:lineChart>
        <c:grouping val="standard"/>
        <c:varyColors val="0"/>
        <c:ser>
          <c:idx val="1"/>
          <c:order val="1"/>
          <c:tx>
            <c:strRef>
              <c:f>NAV!$M$2</c:f>
              <c:strCache>
                <c:ptCount val="1"/>
                <c:pt idx="0">
                  <c:v>Perf. ITD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7"/>
            <c:spPr>
              <a:pattFill prst="pct90">
                <a:fgClr>
                  <a:srgbClr val="92D050"/>
                </a:fgClr>
                <a:bgClr>
                  <a:schemeClr val="bg1"/>
                </a:bgClr>
              </a:pattFill>
              <a:ln w="9525" cap="sq">
                <a:solidFill>
                  <a:srgbClr val="92D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[0]!DynDate</c:f>
              <c:numCache>
                <c:formatCode>d\-mmm</c:formatCode>
                <c:ptCount val="23"/>
                <c:pt idx="0">
                  <c:v>45654</c:v>
                </c:pt>
                <c:pt idx="1">
                  <c:v>45685</c:v>
                </c:pt>
                <c:pt idx="2">
                  <c:v>45716</c:v>
                </c:pt>
                <c:pt idx="3">
                  <c:v>45744</c:v>
                </c:pt>
                <c:pt idx="4">
                  <c:v>45775</c:v>
                </c:pt>
                <c:pt idx="5">
                  <c:v>45805</c:v>
                </c:pt>
                <c:pt idx="6">
                  <c:v>45836</c:v>
                </c:pt>
                <c:pt idx="7">
                  <c:v>45866</c:v>
                </c:pt>
                <c:pt idx="8">
                  <c:v>45897</c:v>
                </c:pt>
                <c:pt idx="9">
                  <c:v>45928</c:v>
                </c:pt>
                <c:pt idx="10">
                  <c:v>45958</c:v>
                </c:pt>
                <c:pt idx="11">
                  <c:v>45989</c:v>
                </c:pt>
                <c:pt idx="12">
                  <c:v>46019</c:v>
                </c:pt>
                <c:pt idx="13">
                  <c:v>46050</c:v>
                </c:pt>
                <c:pt idx="14">
                  <c:v>46081</c:v>
                </c:pt>
                <c:pt idx="15">
                  <c:v>46109</c:v>
                </c:pt>
                <c:pt idx="16">
                  <c:v>46140</c:v>
                </c:pt>
                <c:pt idx="17">
                  <c:v>46170</c:v>
                </c:pt>
                <c:pt idx="18">
                  <c:v>46201</c:v>
                </c:pt>
                <c:pt idx="19">
                  <c:v>46231</c:v>
                </c:pt>
                <c:pt idx="20">
                  <c:v>46262</c:v>
                </c:pt>
                <c:pt idx="21">
                  <c:v>46293</c:v>
                </c:pt>
              </c:numCache>
            </c:numRef>
          </c:cat>
          <c:val>
            <c:numRef>
              <c:f>[0]!DynITD</c:f>
              <c:numCache>
                <c:formatCode>0.00%</c:formatCode>
                <c:ptCount val="15"/>
                <c:pt idx="0" formatCode="#,##0.00_-;\-#,##0.00_-;_-;_-@_-">
                  <c:v>0</c:v>
                </c:pt>
                <c:pt idx="1">
                  <c:v>-7.5621700000000347E-3</c:v>
                </c:pt>
                <c:pt idx="2">
                  <c:v>-2.3743079999999916E-2</c:v>
                </c:pt>
                <c:pt idx="3">
                  <c:v>2.3073339999999831E-2</c:v>
                </c:pt>
                <c:pt idx="4">
                  <c:v>5.7013350000000074E-2</c:v>
                </c:pt>
                <c:pt idx="5">
                  <c:v>8.5424409999999895E-2</c:v>
                </c:pt>
                <c:pt idx="6">
                  <c:v>9.8840789999999901E-2</c:v>
                </c:pt>
                <c:pt idx="7">
                  <c:v>8.8288092120242023E-2</c:v>
                </c:pt>
                <c:pt idx="8">
                  <c:v>0.13355372522426623</c:v>
                </c:pt>
                <c:pt idx="9">
                  <c:v>0.14433731758992985</c:v>
                </c:pt>
                <c:pt idx="10">
                  <c:v>0.14141524216674606</c:v>
                </c:pt>
                <c:pt idx="11">
                  <c:v>0.18799561576076385</c:v>
                </c:pt>
                <c:pt idx="12">
                  <c:v>0.19610959207027667</c:v>
                </c:pt>
                <c:pt idx="13">
                  <c:v>0.14916828027044393</c:v>
                </c:pt>
                <c:pt idx="14">
                  <c:v>-0.22320797394239733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B-4991-8F17-764EBE87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50624"/>
        <c:axId val="46249088"/>
      </c:lineChart>
      <c:dateAx>
        <c:axId val="4622528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6816"/>
        <c:crosses val="autoZero"/>
        <c:auto val="1"/>
        <c:lblOffset val="100"/>
        <c:baseTimeUnit val="months"/>
      </c:dateAx>
      <c:valAx>
        <c:axId val="462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5280"/>
        <c:crosses val="autoZero"/>
        <c:crossBetween val="between"/>
      </c:valAx>
      <c:valAx>
        <c:axId val="46249088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0624"/>
        <c:crosses val="max"/>
        <c:crossBetween val="between"/>
      </c:valAx>
      <c:dateAx>
        <c:axId val="4625062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4624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NAV!$L$2</c:f>
              <c:strCache>
                <c:ptCount val="1"/>
                <c:pt idx="0">
                  <c:v>NAV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[0]!DynDate</c:f>
              <c:numCache>
                <c:formatCode>d\-mmm</c:formatCode>
                <c:ptCount val="23"/>
                <c:pt idx="0">
                  <c:v>45654</c:v>
                </c:pt>
                <c:pt idx="1">
                  <c:v>45685</c:v>
                </c:pt>
                <c:pt idx="2">
                  <c:v>45716</c:v>
                </c:pt>
                <c:pt idx="3">
                  <c:v>45744</c:v>
                </c:pt>
                <c:pt idx="4">
                  <c:v>45775</c:v>
                </c:pt>
                <c:pt idx="5">
                  <c:v>45805</c:v>
                </c:pt>
                <c:pt idx="6">
                  <c:v>45836</c:v>
                </c:pt>
                <c:pt idx="7">
                  <c:v>45866</c:v>
                </c:pt>
                <c:pt idx="8">
                  <c:v>45897</c:v>
                </c:pt>
                <c:pt idx="9">
                  <c:v>45928</c:v>
                </c:pt>
                <c:pt idx="10">
                  <c:v>45958</c:v>
                </c:pt>
                <c:pt idx="11">
                  <c:v>45989</c:v>
                </c:pt>
                <c:pt idx="12">
                  <c:v>46019</c:v>
                </c:pt>
                <c:pt idx="13">
                  <c:v>46050</c:v>
                </c:pt>
                <c:pt idx="14">
                  <c:v>46081</c:v>
                </c:pt>
                <c:pt idx="15">
                  <c:v>46109</c:v>
                </c:pt>
                <c:pt idx="16">
                  <c:v>46140</c:v>
                </c:pt>
                <c:pt idx="17">
                  <c:v>46170</c:v>
                </c:pt>
                <c:pt idx="18">
                  <c:v>46201</c:v>
                </c:pt>
                <c:pt idx="19">
                  <c:v>46231</c:v>
                </c:pt>
                <c:pt idx="20">
                  <c:v>46262</c:v>
                </c:pt>
                <c:pt idx="21">
                  <c:v>46293</c:v>
                </c:pt>
              </c:numCache>
            </c:numRef>
          </c:cat>
          <c:val>
            <c:numRef>
              <c:f>[0]!DynNAV</c:f>
              <c:numCache>
                <c:formatCode>#,##0.00_-;\-#,##0.00_-;_-;_-@_-</c:formatCode>
                <c:ptCount val="15"/>
                <c:pt idx="0">
                  <c:v>1000</c:v>
                </c:pt>
                <c:pt idx="1">
                  <c:v>992.43782999999996</c:v>
                </c:pt>
                <c:pt idx="2">
                  <c:v>976.25692000000004</c:v>
                </c:pt>
                <c:pt idx="3">
                  <c:v>1023.0733399999999</c:v>
                </c:pt>
                <c:pt idx="4">
                  <c:v>1057.0133500000002</c:v>
                </c:pt>
                <c:pt idx="5">
                  <c:v>1085.4244099999999</c:v>
                </c:pt>
                <c:pt idx="6">
                  <c:v>1098.84079</c:v>
                </c:pt>
                <c:pt idx="7">
                  <c:v>1088.288092120242</c:v>
                </c:pt>
                <c:pt idx="8">
                  <c:v>1133.5537252242661</c:v>
                </c:pt>
                <c:pt idx="9">
                  <c:v>1144.3373175899299</c:v>
                </c:pt>
                <c:pt idx="10">
                  <c:v>1141.4152421667461</c:v>
                </c:pt>
                <c:pt idx="11">
                  <c:v>1187.9956157607639</c:v>
                </c:pt>
                <c:pt idx="12">
                  <c:v>1196.1095920702767</c:v>
                </c:pt>
                <c:pt idx="13">
                  <c:v>1149.168280270444</c:v>
                </c:pt>
                <c:pt idx="14">
                  <c:v>776.7920260576027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E-49D8-AE0B-C76DCE32A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63296"/>
        <c:axId val="46269184"/>
      </c:lineChart>
      <c:dateAx>
        <c:axId val="46263296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9184"/>
        <c:crosses val="autoZero"/>
        <c:auto val="1"/>
        <c:lblOffset val="100"/>
        <c:baseTimeUnit val="months"/>
      </c:dateAx>
      <c:valAx>
        <c:axId val="46269184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_-;\-#,##0_-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PLB!$R$2</c:f>
              <c:strCache>
                <c:ptCount val="1"/>
                <c:pt idx="0">
                  <c:v>Initial PLB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PLB!$R$4:$R$55</c:f>
              <c:numCache>
                <c:formatCode>0.00%</c:formatCode>
                <c:ptCount val="52"/>
                <c:pt idx="0">
                  <c:v>-1.0000000000000009E-2</c:v>
                </c:pt>
                <c:pt idx="1">
                  <c:v>-1.9900000000000029E-2</c:v>
                </c:pt>
                <c:pt idx="2">
                  <c:v>-2.9701000000000088E-2</c:v>
                </c:pt>
                <c:pt idx="3">
                  <c:v>-3.9403990000000055E-2</c:v>
                </c:pt>
                <c:pt idx="4">
                  <c:v>-4.9009950100000088E-2</c:v>
                </c:pt>
                <c:pt idx="5">
                  <c:v>-5.8519850599000112E-2</c:v>
                </c:pt>
                <c:pt idx="6">
                  <c:v>-6.7934652093010084E-2</c:v>
                </c:pt>
                <c:pt idx="7">
                  <c:v>-7.7255305572080046E-2</c:v>
                </c:pt>
                <c:pt idx="8">
                  <c:v>-8.6482752516359285E-2</c:v>
                </c:pt>
                <c:pt idx="9">
                  <c:v>-9.5617924991195702E-2</c:v>
                </c:pt>
                <c:pt idx="10">
                  <c:v>-0.10466174574128373</c:v>
                </c:pt>
                <c:pt idx="11">
                  <c:v>-0.11361512828387088</c:v>
                </c:pt>
                <c:pt idx="12">
                  <c:v>-0.12247897700103216</c:v>
                </c:pt>
                <c:pt idx="13">
                  <c:v>-0.13125418723102189</c:v>
                </c:pt>
                <c:pt idx="14">
                  <c:v>-0.13994164535871167</c:v>
                </c:pt>
                <c:pt idx="15">
                  <c:v>-0.14854222890512458</c:v>
                </c:pt>
                <c:pt idx="16">
                  <c:v>-0.15705680661607335</c:v>
                </c:pt>
                <c:pt idx="17">
                  <c:v>-0.16548623854991262</c:v>
                </c:pt>
                <c:pt idx="18">
                  <c:v>-0.17383137616441346</c:v>
                </c:pt>
                <c:pt idx="19">
                  <c:v>-0.18209306240276935</c:v>
                </c:pt>
                <c:pt idx="20">
                  <c:v>-0.19027213177874169</c:v>
                </c:pt>
                <c:pt idx="21">
                  <c:v>-0.19836941046095424</c:v>
                </c:pt>
                <c:pt idx="22">
                  <c:v>-0.20638571635634473</c:v>
                </c:pt>
                <c:pt idx="23">
                  <c:v>-0.21432185919278124</c:v>
                </c:pt>
                <c:pt idx="24">
                  <c:v>-0.22217864060085346</c:v>
                </c:pt>
                <c:pt idx="25">
                  <c:v>-0.22995685419484491</c:v>
                </c:pt>
                <c:pt idx="26">
                  <c:v>-0.23765728565289646</c:v>
                </c:pt>
                <c:pt idx="27">
                  <c:v>-0.24528071279636754</c:v>
                </c:pt>
                <c:pt idx="28">
                  <c:v>-0.25282790566840385</c:v>
                </c:pt>
                <c:pt idx="29">
                  <c:v>-0.26029962661171979</c:v>
                </c:pt>
                <c:pt idx="30">
                  <c:v>-0.26769663034560265</c:v>
                </c:pt>
                <c:pt idx="31">
                  <c:v>-0.27501966404214662</c:v>
                </c:pt>
                <c:pt idx="32">
                  <c:v>-0.2822694674017252</c:v>
                </c:pt>
                <c:pt idx="33">
                  <c:v>-0.28944677272770791</c:v>
                </c:pt>
                <c:pt idx="34">
                  <c:v>-0.29655230500043084</c:v>
                </c:pt>
                <c:pt idx="35">
                  <c:v>-0.30358678195042654</c:v>
                </c:pt>
                <c:pt idx="36">
                  <c:v>-0.31055091413092228</c:v>
                </c:pt>
                <c:pt idx="37">
                  <c:v>-0.31744540498961304</c:v>
                </c:pt>
                <c:pt idx="38">
                  <c:v>-0.32427095093971692</c:v>
                </c:pt>
                <c:pt idx="39">
                  <c:v>-0.33102824143031973</c:v>
                </c:pt>
                <c:pt idx="40">
                  <c:v>-0.33771795901601653</c:v>
                </c:pt>
                <c:pt idx="41">
                  <c:v>-0.34434077942585639</c:v>
                </c:pt>
                <c:pt idx="42">
                  <c:v>-0.35089737163159784</c:v>
                </c:pt>
                <c:pt idx="43">
                  <c:v>-0.35738839791528187</c:v>
                </c:pt>
                <c:pt idx="44">
                  <c:v>-0.36381451393612907</c:v>
                </c:pt>
                <c:pt idx="45">
                  <c:v>-0.37017636879676774</c:v>
                </c:pt>
                <c:pt idx="46">
                  <c:v>-0.37647460510880004</c:v>
                </c:pt>
                <c:pt idx="47">
                  <c:v>-0.38270985905771204</c:v>
                </c:pt>
                <c:pt idx="48">
                  <c:v>-0.38888276046713488</c:v>
                </c:pt>
                <c:pt idx="49">
                  <c:v>-0.39499393286246354</c:v>
                </c:pt>
                <c:pt idx="50">
                  <c:v>-0.40104399353383891</c:v>
                </c:pt>
                <c:pt idx="51">
                  <c:v>-0.40703355359850057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5-4F73-AEC6-360F102BBE98}"/>
            </c:ext>
          </c:extLst>
        </c:ser>
        <c:ser>
          <c:idx val="5"/>
          <c:order val="1"/>
          <c:tx>
            <c:strRef>
              <c:f>PLB!$Q$2</c:f>
              <c:strCache>
                <c:ptCount val="1"/>
                <c:pt idx="0">
                  <c:v>PLB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PLB!$B$4:$B$55</c:f>
              <c:numCache>
                <c:formatCode>d\-mmm\-yy</c:formatCode>
                <c:ptCount val="52"/>
                <c:pt idx="0">
                  <c:v>45026</c:v>
                </c:pt>
                <c:pt idx="1">
                  <c:v>45033</c:v>
                </c:pt>
                <c:pt idx="2">
                  <c:v>45040</c:v>
                </c:pt>
                <c:pt idx="3">
                  <c:v>45047</c:v>
                </c:pt>
                <c:pt idx="4">
                  <c:v>45054</c:v>
                </c:pt>
                <c:pt idx="5">
                  <c:v>45061</c:v>
                </c:pt>
                <c:pt idx="6">
                  <c:v>45068</c:v>
                </c:pt>
                <c:pt idx="7">
                  <c:v>45075</c:v>
                </c:pt>
                <c:pt idx="8">
                  <c:v>45082</c:v>
                </c:pt>
                <c:pt idx="9">
                  <c:v>45089</c:v>
                </c:pt>
                <c:pt idx="10">
                  <c:v>45096</c:v>
                </c:pt>
                <c:pt idx="11">
                  <c:v>45103</c:v>
                </c:pt>
                <c:pt idx="12">
                  <c:v>45110</c:v>
                </c:pt>
                <c:pt idx="13">
                  <c:v>45117</c:v>
                </c:pt>
                <c:pt idx="14">
                  <c:v>45124</c:v>
                </c:pt>
                <c:pt idx="15">
                  <c:v>45131</c:v>
                </c:pt>
                <c:pt idx="16">
                  <c:v>45138</c:v>
                </c:pt>
                <c:pt idx="17">
                  <c:v>45145</c:v>
                </c:pt>
                <c:pt idx="18">
                  <c:v>45152</c:v>
                </c:pt>
                <c:pt idx="19">
                  <c:v>45159</c:v>
                </c:pt>
                <c:pt idx="20">
                  <c:v>45166</c:v>
                </c:pt>
                <c:pt idx="21">
                  <c:v>45173</c:v>
                </c:pt>
                <c:pt idx="22">
                  <c:v>45180</c:v>
                </c:pt>
                <c:pt idx="23">
                  <c:v>45187</c:v>
                </c:pt>
                <c:pt idx="24">
                  <c:v>45194</c:v>
                </c:pt>
                <c:pt idx="25">
                  <c:v>45201</c:v>
                </c:pt>
                <c:pt idx="26">
                  <c:v>45208</c:v>
                </c:pt>
                <c:pt idx="27">
                  <c:v>45215</c:v>
                </c:pt>
                <c:pt idx="28">
                  <c:v>45222</c:v>
                </c:pt>
                <c:pt idx="29">
                  <c:v>45229</c:v>
                </c:pt>
                <c:pt idx="30">
                  <c:v>45236</c:v>
                </c:pt>
                <c:pt idx="31">
                  <c:v>45243</c:v>
                </c:pt>
                <c:pt idx="32">
                  <c:v>45250</c:v>
                </c:pt>
                <c:pt idx="33">
                  <c:v>45257</c:v>
                </c:pt>
                <c:pt idx="34">
                  <c:v>45264</c:v>
                </c:pt>
                <c:pt idx="35">
                  <c:v>45271</c:v>
                </c:pt>
                <c:pt idx="36">
                  <c:v>45278</c:v>
                </c:pt>
                <c:pt idx="37">
                  <c:v>45285</c:v>
                </c:pt>
                <c:pt idx="38">
                  <c:v>45292</c:v>
                </c:pt>
                <c:pt idx="39">
                  <c:v>45299</c:v>
                </c:pt>
                <c:pt idx="40">
                  <c:v>45306</c:v>
                </c:pt>
                <c:pt idx="41">
                  <c:v>45313</c:v>
                </c:pt>
                <c:pt idx="42">
                  <c:v>45320</c:v>
                </c:pt>
                <c:pt idx="43">
                  <c:v>45327</c:v>
                </c:pt>
                <c:pt idx="44">
                  <c:v>45334</c:v>
                </c:pt>
                <c:pt idx="45">
                  <c:v>45341</c:v>
                </c:pt>
                <c:pt idx="46">
                  <c:v>45348</c:v>
                </c:pt>
                <c:pt idx="47">
                  <c:v>45355</c:v>
                </c:pt>
                <c:pt idx="48">
                  <c:v>45362</c:v>
                </c:pt>
                <c:pt idx="49">
                  <c:v>45369</c:v>
                </c:pt>
                <c:pt idx="50">
                  <c:v>45376</c:v>
                </c:pt>
                <c:pt idx="51">
                  <c:v>45383</c:v>
                </c:pt>
              </c:numCache>
            </c:numRef>
          </c:cat>
          <c:val>
            <c:numRef>
              <c:f>PLB!$Q$4:$Q$55</c:f>
              <c:numCache>
                <c:formatCode>0.00%</c:formatCode>
                <c:ptCount val="52"/>
                <c:pt idx="0">
                  <c:v>6.2754921000001129E-3</c:v>
                </c:pt>
                <c:pt idx="1">
                  <c:v>1.07810921E-2</c:v>
                </c:pt>
                <c:pt idx="2">
                  <c:v>9.0275320999999575E-3</c:v>
                </c:pt>
                <c:pt idx="3">
                  <c:v>9.0275320999999575E-3</c:v>
                </c:pt>
                <c:pt idx="4">
                  <c:v>2.0620292100000048E-2</c:v>
                </c:pt>
                <c:pt idx="5">
                  <c:v>4.2917821000023615E-3</c:v>
                </c:pt>
                <c:pt idx="6">
                  <c:v>4.2917821000023615E-3</c:v>
                </c:pt>
                <c:pt idx="7">
                  <c:v>2.6202222100001782E-2</c:v>
                </c:pt>
                <c:pt idx="8">
                  <c:v>3.2703490100001842E-2</c:v>
                </c:pt>
                <c:pt idx="9">
                  <c:v>3.1327991500001762E-2</c:v>
                </c:pt>
                <c:pt idx="10">
                  <c:v>3.4110851500001704E-2</c:v>
                </c:pt>
                <c:pt idx="11">
                  <c:v>3.4110851500001704E-2</c:v>
                </c:pt>
                <c:pt idx="12">
                  <c:v>4.9015811500001671E-2</c:v>
                </c:pt>
                <c:pt idx="13">
                  <c:v>6.288309150000182E-2</c:v>
                </c:pt>
                <c:pt idx="14">
                  <c:v>6.288309150000182E-2</c:v>
                </c:pt>
                <c:pt idx="15">
                  <c:v>6.3184951500001585E-2</c:v>
                </c:pt>
                <c:pt idx="16">
                  <c:v>0.10262056500000161</c:v>
                </c:pt>
                <c:pt idx="17">
                  <c:v>0.10262056500000161</c:v>
                </c:pt>
                <c:pt idx="18">
                  <c:v>0.10262056500000161</c:v>
                </c:pt>
                <c:pt idx="19">
                  <c:v>0.10262056500000161</c:v>
                </c:pt>
                <c:pt idx="20">
                  <c:v>0.1229016050000018</c:v>
                </c:pt>
                <c:pt idx="21">
                  <c:v>0.1229016050000018</c:v>
                </c:pt>
                <c:pt idx="22">
                  <c:v>0.1229016050000018</c:v>
                </c:pt>
                <c:pt idx="23">
                  <c:v>0.12112190500000186</c:v>
                </c:pt>
                <c:pt idx="24">
                  <c:v>0.12112190500000186</c:v>
                </c:pt>
                <c:pt idx="25">
                  <c:v>0.12112190500000186</c:v>
                </c:pt>
                <c:pt idx="26">
                  <c:v>0.12636259761943713</c:v>
                </c:pt>
                <c:pt idx="27">
                  <c:v>0.1395032305494186</c:v>
                </c:pt>
                <c:pt idx="28">
                  <c:v>0.1395032305494186</c:v>
                </c:pt>
                <c:pt idx="29">
                  <c:v>0.1395032305494186</c:v>
                </c:pt>
                <c:pt idx="30">
                  <c:v>0.13904289639107037</c:v>
                </c:pt>
                <c:pt idx="31">
                  <c:v>0.13504895076117895</c:v>
                </c:pt>
                <c:pt idx="32">
                  <c:v>0.13504895076117895</c:v>
                </c:pt>
                <c:pt idx="33">
                  <c:v>0.12634508380526399</c:v>
                </c:pt>
                <c:pt idx="34">
                  <c:v>0.11600027074120911</c:v>
                </c:pt>
                <c:pt idx="35">
                  <c:v>0.14035769415483434</c:v>
                </c:pt>
                <c:pt idx="36">
                  <c:v>0.15674237459115936</c:v>
                </c:pt>
                <c:pt idx="37">
                  <c:v>0.15674237459115936</c:v>
                </c:pt>
                <c:pt idx="38">
                  <c:v>0.15674237459115936</c:v>
                </c:pt>
                <c:pt idx="39">
                  <c:v>-4.0972223324922119E-3</c:v>
                </c:pt>
                <c:pt idx="40">
                  <c:v>-3.9136352969876276E-3</c:v>
                </c:pt>
                <c:pt idx="41">
                  <c:v>-3.9136352969876276E-3</c:v>
                </c:pt>
                <c:pt idx="42">
                  <c:v>-3.3775996318546886E-3</c:v>
                </c:pt>
                <c:pt idx="43">
                  <c:v>-3.3775996318546886E-3</c:v>
                </c:pt>
                <c:pt idx="44">
                  <c:v>-3.3775996318546886E-3</c:v>
                </c:pt>
                <c:pt idx="45">
                  <c:v>-0.21728716254557812</c:v>
                </c:pt>
                <c:pt idx="46">
                  <c:v>-0.21719147360417279</c:v>
                </c:pt>
                <c:pt idx="47">
                  <c:v>-0.19221472539932816</c:v>
                </c:pt>
                <c:pt idx="48">
                  <c:v>-0.19407707617839265</c:v>
                </c:pt>
                <c:pt idx="49">
                  <c:v>-0.19407707617839265</c:v>
                </c:pt>
                <c:pt idx="50">
                  <c:v>-0.19407707617839265</c:v>
                </c:pt>
                <c:pt idx="51">
                  <c:v>-0.19407707617839265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5-4F73-AEC6-360F102BBE98}"/>
            </c:ext>
          </c:extLst>
        </c:ser>
        <c:ser>
          <c:idx val="1"/>
          <c:order val="2"/>
          <c:tx>
            <c:strRef>
              <c:f>PLB!$L$2</c:f>
              <c:strCache>
                <c:ptCount val="1"/>
                <c:pt idx="0">
                  <c:v>PERF 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PLB!$L$4:$L$55</c:f>
              <c:numCache>
                <c:formatCode>0.00%</c:formatCode>
                <c:ptCount val="52"/>
                <c:pt idx="0">
                  <c:v>6.2754921000001129E-3</c:v>
                </c:pt>
                <c:pt idx="1">
                  <c:v>1.07810921E-2</c:v>
                </c:pt>
                <c:pt idx="2">
                  <c:v>9.0275320999999575E-3</c:v>
                </c:pt>
                <c:pt idx="3">
                  <c:v>9.0275320999999575E-3</c:v>
                </c:pt>
                <c:pt idx="4">
                  <c:v>2.0620292100000048E-2</c:v>
                </c:pt>
                <c:pt idx="5">
                  <c:v>4.2917821000023615E-3</c:v>
                </c:pt>
                <c:pt idx="6">
                  <c:v>4.2917821000023615E-3</c:v>
                </c:pt>
                <c:pt idx="7">
                  <c:v>2.6202222100001782E-2</c:v>
                </c:pt>
                <c:pt idx="8">
                  <c:v>3.2703490100001842E-2</c:v>
                </c:pt>
                <c:pt idx="9">
                  <c:v>3.1327991500001762E-2</c:v>
                </c:pt>
                <c:pt idx="10">
                  <c:v>3.4110851500001704E-2</c:v>
                </c:pt>
                <c:pt idx="11">
                  <c:v>3.4110851500001704E-2</c:v>
                </c:pt>
                <c:pt idx="12">
                  <c:v>4.9015811500001671E-2</c:v>
                </c:pt>
                <c:pt idx="13">
                  <c:v>6.288309150000182E-2</c:v>
                </c:pt>
                <c:pt idx="14">
                  <c:v>6.288309150000182E-2</c:v>
                </c:pt>
                <c:pt idx="15">
                  <c:v>6.3184951500001585E-2</c:v>
                </c:pt>
                <c:pt idx="16">
                  <c:v>0.10262056500000161</c:v>
                </c:pt>
                <c:pt idx="17">
                  <c:v>0.10262056500000161</c:v>
                </c:pt>
                <c:pt idx="18">
                  <c:v>0.10262056500000161</c:v>
                </c:pt>
                <c:pt idx="19">
                  <c:v>0.10262056500000161</c:v>
                </c:pt>
                <c:pt idx="20">
                  <c:v>0.1229016050000018</c:v>
                </c:pt>
                <c:pt idx="21">
                  <c:v>0.1229016050000018</c:v>
                </c:pt>
                <c:pt idx="22">
                  <c:v>0.1229016050000018</c:v>
                </c:pt>
                <c:pt idx="23">
                  <c:v>0.12112190500000186</c:v>
                </c:pt>
                <c:pt idx="24">
                  <c:v>0.12112190500000186</c:v>
                </c:pt>
                <c:pt idx="25">
                  <c:v>0.12112190500000186</c:v>
                </c:pt>
                <c:pt idx="26">
                  <c:v>0.12636259761943713</c:v>
                </c:pt>
                <c:pt idx="27">
                  <c:v>0.1395032305494186</c:v>
                </c:pt>
                <c:pt idx="28">
                  <c:v>0.1395032305494186</c:v>
                </c:pt>
                <c:pt idx="29">
                  <c:v>0.1395032305494186</c:v>
                </c:pt>
                <c:pt idx="30">
                  <c:v>0.13904289639107037</c:v>
                </c:pt>
                <c:pt idx="31">
                  <c:v>0.13504895076117895</c:v>
                </c:pt>
                <c:pt idx="32">
                  <c:v>0.13504895076117895</c:v>
                </c:pt>
                <c:pt idx="33">
                  <c:v>0.12634508380526399</c:v>
                </c:pt>
                <c:pt idx="34">
                  <c:v>0.11600027074120911</c:v>
                </c:pt>
                <c:pt idx="35">
                  <c:v>0.14035769415483434</c:v>
                </c:pt>
                <c:pt idx="36">
                  <c:v>0.15674237459115936</c:v>
                </c:pt>
                <c:pt idx="37">
                  <c:v>0.15674237459115936</c:v>
                </c:pt>
                <c:pt idx="38">
                  <c:v>0.15674237459115936</c:v>
                </c:pt>
                <c:pt idx="39">
                  <c:v>-4.0972223324922119E-3</c:v>
                </c:pt>
                <c:pt idx="40">
                  <c:v>-3.9136352969876276E-3</c:v>
                </c:pt>
                <c:pt idx="41">
                  <c:v>-3.9136352969876276E-3</c:v>
                </c:pt>
                <c:pt idx="42">
                  <c:v>-3.3775996318546886E-3</c:v>
                </c:pt>
                <c:pt idx="43">
                  <c:v>-3.3775996318546886E-3</c:v>
                </c:pt>
                <c:pt idx="44">
                  <c:v>-3.3775996318546886E-3</c:v>
                </c:pt>
                <c:pt idx="45">
                  <c:v>-0.21728716254557812</c:v>
                </c:pt>
                <c:pt idx="46">
                  <c:v>-0.21719147360417279</c:v>
                </c:pt>
                <c:pt idx="47">
                  <c:v>-0.19221472539932816</c:v>
                </c:pt>
                <c:pt idx="48">
                  <c:v>-0.19407707617839265</c:v>
                </c:pt>
                <c:pt idx="49">
                  <c:v>-0.19407707617839265</c:v>
                </c:pt>
                <c:pt idx="50">
                  <c:v>-0.19407707617839265</c:v>
                </c:pt>
                <c:pt idx="51">
                  <c:v>-0.19407707617839265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75-4F73-AEC6-360F102BB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358624"/>
        <c:axId val="785360544"/>
      </c:lineChart>
      <c:catAx>
        <c:axId val="785358624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60544"/>
        <c:crosses val="autoZero"/>
        <c:auto val="0"/>
        <c:lblAlgn val="ctr"/>
        <c:lblOffset val="100"/>
        <c:noMultiLvlLbl val="0"/>
      </c:catAx>
      <c:valAx>
        <c:axId val="78536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58624"/>
        <c:crosses val="autoZero"/>
        <c:crossBetween val="between"/>
        <c:majorUnit val="5.000000000000001E-2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10573</xdr:colOff>
      <xdr:row>25</xdr:row>
      <xdr:rowOff>17393</xdr:rowOff>
    </xdr:from>
    <xdr:to>
      <xdr:col>15</xdr:col>
      <xdr:colOff>13607</xdr:colOff>
      <xdr:row>51</xdr:row>
      <xdr:rowOff>51070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25F68-234E-4066-8C78-E9DF9CA16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10573</xdr:colOff>
      <xdr:row>51</xdr:row>
      <xdr:rowOff>87221</xdr:rowOff>
    </xdr:from>
    <xdr:to>
      <xdr:col>15</xdr:col>
      <xdr:colOff>13530</xdr:colOff>
      <xdr:row>77</xdr:row>
      <xdr:rowOff>120899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D65EF-23F5-4BAE-9D6B-20352252A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629709</xdr:colOff>
      <xdr:row>0</xdr:row>
      <xdr:rowOff>29102</xdr:rowOff>
    </xdr:from>
    <xdr:to>
      <xdr:col>20</xdr:col>
      <xdr:colOff>619125</xdr:colOff>
      <xdr:row>38</xdr:row>
      <xdr:rowOff>153456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D915B-3B17-4AAB-969E-9B4271C0D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HoadleyOptions\HoadleyOptions.xla" TargetMode="External"/><Relationship Id="rId1" Type="http://schemas.openxmlformats.org/officeDocument/2006/relationships/externalLinkPath" Target="file:///C:\Program%20Files%20(x86)\HoadleyOptions\HoadleyOption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HoadleyIBQuotes"/>
    </defined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CAD7-51CE-428F-92FE-A474D99ED5AA}">
  <dimension ref="B2:AB81"/>
  <sheetViews>
    <sheetView showGridLines="0" showZeros="0" tabSelected="1" zoomScale="90" zoomScaleNormal="90" workbookViewId="0">
      <selection activeCell="B1" sqref="B1"/>
    </sheetView>
  </sheetViews>
  <sheetFormatPr defaultRowHeight="13.15" x14ac:dyDescent="0.4"/>
  <cols>
    <col min="1" max="1" width="4.265625" style="1" customWidth="1"/>
    <col min="2" max="2" width="19.46484375" style="1" bestFit="1" customWidth="1"/>
    <col min="3" max="3" width="8.19921875" style="1" bestFit="1" customWidth="1"/>
    <col min="4" max="4" width="10.59765625" style="1" bestFit="1" customWidth="1"/>
    <col min="5" max="5" width="10.1328125" style="1" bestFit="1" customWidth="1"/>
    <col min="6" max="6" width="10.86328125" style="1" bestFit="1" customWidth="1"/>
    <col min="7" max="7" width="10.86328125" style="1" customWidth="1"/>
    <col min="8" max="8" width="14.33203125" style="1" bestFit="1" customWidth="1"/>
    <col min="9" max="9" width="8.59765625" style="1" bestFit="1" customWidth="1"/>
    <col min="10" max="10" width="9.59765625" style="1" bestFit="1" customWidth="1"/>
    <col min="11" max="11" width="10.19921875" style="1" bestFit="1" customWidth="1"/>
    <col min="12" max="12" width="8.53125" style="1" bestFit="1" customWidth="1"/>
    <col min="13" max="13" width="10" style="1" bestFit="1" customWidth="1"/>
    <col min="14" max="14" width="8.73046875" style="1" bestFit="1" customWidth="1"/>
    <col min="15" max="15" width="5.86328125" style="1" bestFit="1" customWidth="1"/>
    <col min="16" max="16" width="9.73046875" style="1" bestFit="1" customWidth="1"/>
    <col min="17" max="17" width="4.3984375" style="1" bestFit="1" customWidth="1"/>
    <col min="18" max="18" width="11.06640625" style="1" bestFit="1" customWidth="1"/>
    <col min="19" max="19" width="8.19921875" style="1" bestFit="1" customWidth="1"/>
    <col min="20" max="20" width="9.19921875" style="1" bestFit="1" customWidth="1"/>
    <col min="21" max="21" width="8.19921875" style="1" bestFit="1" customWidth="1"/>
    <col min="22" max="22" width="10.3984375" style="1" bestFit="1" customWidth="1"/>
    <col min="23" max="25" width="9.1328125" style="1" bestFit="1" customWidth="1"/>
    <col min="26" max="26" width="10.1328125" style="1" bestFit="1" customWidth="1"/>
    <col min="27" max="27" width="9.06640625" style="1"/>
    <col min="28" max="28" width="10.19921875" style="1" bestFit="1" customWidth="1"/>
    <col min="29" max="16384" width="9.06640625" style="1"/>
  </cols>
  <sheetData>
    <row r="2" spans="2:11" x14ac:dyDescent="0.4">
      <c r="B2" s="32" t="s">
        <v>177</v>
      </c>
      <c r="C2" s="44" t="s">
        <v>68</v>
      </c>
      <c r="E2" s="54" t="s">
        <v>199</v>
      </c>
      <c r="F2" s="54" t="s">
        <v>6</v>
      </c>
      <c r="G2" s="54"/>
      <c r="H2" s="28"/>
    </row>
    <row r="3" spans="2:11" x14ac:dyDescent="0.4">
      <c r="B3" s="32" t="s">
        <v>182</v>
      </c>
      <c r="C3" s="28">
        <f ca="1">OFFSET(NAV!B1,MATCH(TODAY(),NAV!B:B,1),8)</f>
        <v>0</v>
      </c>
      <c r="E3" s="54" t="s">
        <v>200</v>
      </c>
      <c r="F3" s="54" t="s">
        <v>201</v>
      </c>
      <c r="G3" s="54"/>
      <c r="H3" s="28"/>
    </row>
    <row r="4" spans="2:11" x14ac:dyDescent="0.4">
      <c r="B4" s="32" t="s">
        <v>55</v>
      </c>
      <c r="C4" s="28">
        <f>SUM(N18:N1012)</f>
        <v>-516288.43370799901</v>
      </c>
      <c r="D4" s="3"/>
      <c r="E4" s="54" t="s">
        <v>20</v>
      </c>
      <c r="F4" s="54" t="s">
        <v>132</v>
      </c>
      <c r="G4" s="54"/>
      <c r="H4" s="28"/>
    </row>
    <row r="5" spans="2:11" x14ac:dyDescent="0.4">
      <c r="B5" s="32" t="s">
        <v>402</v>
      </c>
      <c r="C5" s="3">
        <f ca="1">OFFSET(NAV!B1,MATCH(TODAY(),NAV!B:B,1),11)</f>
        <v>0</v>
      </c>
      <c r="D5" s="3"/>
      <c r="E5" s="54" t="s">
        <v>461</v>
      </c>
      <c r="F5" s="54" t="s">
        <v>53</v>
      </c>
      <c r="G5" s="54"/>
      <c r="H5" s="28"/>
      <c r="K5" s="60"/>
    </row>
    <row r="6" spans="2:11" x14ac:dyDescent="0.4">
      <c r="B6" s="32" t="s">
        <v>403</v>
      </c>
      <c r="C6" s="3">
        <f ca="1">OFFSET(NAV!B1,MATCH(TODAY(),NAV!B:B,1),12)</f>
        <v>0</v>
      </c>
      <c r="D6" s="3"/>
      <c r="E6" s="54"/>
      <c r="F6" s="54"/>
      <c r="G6" s="54"/>
      <c r="H6" s="28"/>
      <c r="K6" s="60"/>
    </row>
    <row r="7" spans="2:11" x14ac:dyDescent="0.4">
      <c r="B7" s="32" t="s">
        <v>276</v>
      </c>
      <c r="C7" s="28">
        <f>Cash_Mgmt!H13</f>
        <v>-3376</v>
      </c>
      <c r="D7" s="3" t="e">
        <f ca="1">C7/C3</f>
        <v>#DIV/0!</v>
      </c>
      <c r="E7" s="54"/>
      <c r="F7" s="54"/>
      <c r="G7" s="54"/>
      <c r="H7" s="60"/>
      <c r="K7" s="60"/>
    </row>
    <row r="8" spans="2:11" x14ac:dyDescent="0.4">
      <c r="B8" s="32" t="s">
        <v>277</v>
      </c>
      <c r="C8" s="28">
        <f>C4+C7</f>
        <v>-519664.43370799901</v>
      </c>
      <c r="D8" s="3" t="e">
        <f ca="1">C5+D7</f>
        <v>#DIV/0!</v>
      </c>
      <c r="G8" s="54"/>
      <c r="H8" s="60"/>
      <c r="K8" s="60"/>
    </row>
    <row r="9" spans="2:11" x14ac:dyDescent="0.4">
      <c r="B9" s="32" t="s">
        <v>178</v>
      </c>
      <c r="C9" s="28">
        <f t="array" ref="C9">SUM((F19:F112="Futures")*(M19:M112))</f>
        <v>0</v>
      </c>
      <c r="D9" s="3" t="e">
        <f ca="1">C9/$C$3</f>
        <v>#DIV/0!</v>
      </c>
      <c r="E9" s="54"/>
      <c r="F9" s="54"/>
      <c r="G9" s="54"/>
      <c r="H9" s="60"/>
      <c r="K9" s="60"/>
    </row>
    <row r="10" spans="2:11" x14ac:dyDescent="0.4">
      <c r="B10" s="32" t="s">
        <v>179</v>
      </c>
      <c r="C10" s="28">
        <f t="array" ref="C10">SUM((F19:F1012="Call")*(M19:M1012))</f>
        <v>0</v>
      </c>
      <c r="D10" s="3" t="e">
        <f t="shared" ref="D10:D14" ca="1" si="0">C10/$C$3</f>
        <v>#DIV/0!</v>
      </c>
      <c r="H10" s="51"/>
    </row>
    <row r="11" spans="2:11" x14ac:dyDescent="0.4">
      <c r="B11" s="32" t="s">
        <v>180</v>
      </c>
      <c r="C11" s="28">
        <f t="array" ref="C11">SUM((F19:F212="Put")*(M19:M212))</f>
        <v>0</v>
      </c>
      <c r="D11" s="3" t="e">
        <f t="shared" ca="1" si="0"/>
        <v>#DIV/0!</v>
      </c>
    </row>
    <row r="12" spans="2:11" x14ac:dyDescent="0.4">
      <c r="B12" s="32" t="s">
        <v>181</v>
      </c>
      <c r="C12" s="28" cm="1">
        <f t="array" ref="C12">SUM((PLB!G4:G999="O")*(PLB!E4:E999))</f>
        <v>0</v>
      </c>
      <c r="D12" s="3" t="e">
        <f t="shared" ca="1" si="0"/>
        <v>#DIV/0!</v>
      </c>
    </row>
    <row r="13" spans="2:11" x14ac:dyDescent="0.4">
      <c r="B13" s="32" t="s">
        <v>258</v>
      </c>
      <c r="C13" s="28">
        <f t="array" ref="C13">SUM((PLB!G4:G999="O")*(PLB!D4:D999))</f>
        <v>0</v>
      </c>
      <c r="D13" s="3" t="e">
        <f t="shared" ca="1" si="0"/>
        <v>#DIV/0!</v>
      </c>
      <c r="F13" s="68"/>
      <c r="G13" s="68"/>
    </row>
    <row r="14" spans="2:11" x14ac:dyDescent="0.4">
      <c r="B14" s="32" t="s">
        <v>259</v>
      </c>
      <c r="C14" s="28">
        <f>C12+C13</f>
        <v>0</v>
      </c>
      <c r="D14" s="3" t="e">
        <f t="shared" ca="1" si="0"/>
        <v>#DIV/0!</v>
      </c>
    </row>
    <row r="17" spans="2:28" x14ac:dyDescent="0.4">
      <c r="B17" s="45" t="s">
        <v>128</v>
      </c>
      <c r="C17" s="4" t="s">
        <v>0</v>
      </c>
      <c r="D17" s="4" t="s">
        <v>1</v>
      </c>
      <c r="E17" s="4" t="s">
        <v>198</v>
      </c>
      <c r="F17" s="4" t="s">
        <v>2</v>
      </c>
      <c r="G17" s="4" t="s">
        <v>292</v>
      </c>
      <c r="H17" s="4" t="s">
        <v>171</v>
      </c>
      <c r="I17" s="4" t="s">
        <v>10</v>
      </c>
      <c r="J17" s="4" t="s">
        <v>11</v>
      </c>
      <c r="K17" s="4" t="s">
        <v>51</v>
      </c>
      <c r="L17" s="4" t="s">
        <v>52</v>
      </c>
      <c r="M17" s="4" t="s">
        <v>176</v>
      </c>
      <c r="N17" s="4" t="s">
        <v>55</v>
      </c>
      <c r="O17" s="4" t="s">
        <v>14</v>
      </c>
      <c r="P17" s="4" t="s">
        <v>191</v>
      </c>
      <c r="Q17" s="4" t="s">
        <v>183</v>
      </c>
      <c r="R17" s="4" t="s">
        <v>192</v>
      </c>
      <c r="S17" s="2" t="s">
        <v>184</v>
      </c>
      <c r="T17" s="2" t="s">
        <v>186</v>
      </c>
      <c r="U17" s="2" t="s">
        <v>185</v>
      </c>
      <c r="V17" s="2" t="s">
        <v>187</v>
      </c>
      <c r="W17" s="32"/>
      <c r="X17" s="40" t="s">
        <v>174</v>
      </c>
      <c r="Y17" s="40" t="s">
        <v>173</v>
      </c>
      <c r="Z17" s="40" t="s">
        <v>175</v>
      </c>
    </row>
    <row r="18" spans="2:28" x14ac:dyDescent="0.4">
      <c r="B18" s="9" t="s">
        <v>253</v>
      </c>
      <c r="C18" s="12"/>
      <c r="D18" s="12"/>
      <c r="E18" s="10" t="s">
        <v>461</v>
      </c>
      <c r="F18" s="12"/>
      <c r="G18" s="12"/>
      <c r="H18" s="12"/>
      <c r="I18" s="12"/>
      <c r="J18" s="12"/>
      <c r="K18" s="12"/>
      <c r="L18" s="12"/>
      <c r="M18" s="12"/>
      <c r="N18" s="28">
        <f>Cash_Mgmt!G13</f>
        <v>12955.38</v>
      </c>
      <c r="O18" s="12"/>
      <c r="P18" s="12"/>
      <c r="Q18" s="27"/>
      <c r="R18" s="12"/>
      <c r="S18" s="32"/>
      <c r="T18" s="32"/>
      <c r="U18" s="12"/>
      <c r="V18" s="32"/>
      <c r="W18" s="32"/>
      <c r="X18" s="62"/>
      <c r="Y18" s="62"/>
      <c r="Z18" s="62"/>
    </row>
    <row r="19" spans="2:28" x14ac:dyDescent="0.4">
      <c r="B19" s="9" t="s">
        <v>153</v>
      </c>
      <c r="C19" s="10">
        <v>1</v>
      </c>
      <c r="D19" s="10" t="s">
        <v>4</v>
      </c>
      <c r="E19" s="10" t="s">
        <v>199</v>
      </c>
      <c r="F19" s="10" t="s">
        <v>53</v>
      </c>
      <c r="G19" s="28">
        <f>IF(F19="Futures",VLOOKUP(D19,Multiplier!B:I,8,0),0)</f>
        <v>0</v>
      </c>
      <c r="H19" s="11">
        <v>6</v>
      </c>
      <c r="I19" s="29">
        <f t="array" ref="I19">SUM((Trades!V$2:V$9999)*(Trades!U$2:U$9999=Blotter!B19)*(Trades!$T$2:T$9999=Blotter!C19))</f>
        <v>0</v>
      </c>
      <c r="J19" s="28">
        <f>VLOOKUP(D19,Multiplier!B:D,2,0)</f>
        <v>100</v>
      </c>
      <c r="K19" s="29">
        <f t="shared" ref="K19:K48" si="1">L19-N19/(H19*J19)</f>
        <v>41.027231</v>
      </c>
      <c r="L19" s="29">
        <f t="shared" ref="L19:L29" si="2">IF(I19=0,IF(H19&gt;0,X19,Y19),Z19)</f>
        <v>27</v>
      </c>
      <c r="M19" s="28">
        <f t="shared" ref="M19:M48" si="3">I19*J19*L19</f>
        <v>0</v>
      </c>
      <c r="N19" s="28">
        <f t="array" ref="N19">-SUM((Trades!T$2:T$9999=Blotter!C19)*(Trades!U$2:U$9999=Blotter!B19)*(Trades!V$2:V$9999)*(Trades!W$2:W$9999))*J19+SUM((Trades!T$2:T$9999=Blotter!C19)*(Trades!U$2:U$9999=Blotter!B19)*(Trades!X$2:X$9999))+(L19*I19)*J19</f>
        <v>-8416.3385999999991</v>
      </c>
      <c r="O19" s="29">
        <f>VLOOKUP(D19,Multiplier!B:H,3,0)</f>
        <v>42</v>
      </c>
      <c r="P19" s="27">
        <v>41</v>
      </c>
      <c r="Q19" s="27"/>
      <c r="R19" s="28">
        <f t="shared" ref="R19:R60" si="4">(1-Q19)*P19*J19*H19</f>
        <v>24600</v>
      </c>
      <c r="S19" s="29">
        <f t="shared" ref="S19:S60" si="5">IF(OR(F19="Futures",F19="Stocks"),IF(I19=0,0,IF(I19&gt;0,L19-O19,L19+O19)),0)</f>
        <v>0</v>
      </c>
      <c r="T19" s="3">
        <f t="shared" ref="T19:T60" si="6">IF(S19&gt;0,IF(ISNUMBER(S19/L19-1),S19/L19-1,0),0)</f>
        <v>0</v>
      </c>
      <c r="U19" s="29">
        <f t="shared" ref="U19:U60" si="7">IF(OR(F19="Futures",F19="Stocks"),IF(I19=0,0,IF(I19&gt;0,K19-P19,K19+P19)),0)</f>
        <v>0</v>
      </c>
      <c r="V19" s="3">
        <f t="shared" ref="V19:V60" si="8">IF(U19&gt;0,IF(ISNUMBER(U19/L19-1),U19/L19-1,0),0)</f>
        <v>0</v>
      </c>
      <c r="X19" s="41">
        <f t="array" ref="X19">IF(ISNUMBER(SUM((Trades!T$2:T$9999=Blotter!C19)*(Trades!U$2:U$9999=Blotter!B19)*(Trades!W$2:W$9999)*(Trades!V$2:V$9999)*(Trades!V$2:V$9999&lt;0))/SUM((Trades!T$2:T$9999=Blotter!C19)*(Trades!U$2:U$9999=Blotter!B19)*(Trades!V$2:V$9999)*(Trades!V$2:V$9999&lt;0))),SUM((Trades!T$2:T$9999=Blotter!C19)*(Trades!U$2:U$9999=Blotter!B19)*(Trades!W$2:W$9999)*(Trades!V$2:V$9999)*(Trades!V$2:V$9999&lt;0))/SUM((Trades!T$2:T$9999=Blotter!C19)*(Trades!U$2:U$9999=Blotter!B19)*(Trades!V$2:V$9999)*(Trades!V$2:V$9999&lt;0)),0)</f>
        <v>27</v>
      </c>
      <c r="Y19" s="41">
        <f t="array" ref="Y19">IF(ISNUMBER(SUM((Trades!T$2:T$9999=Blotter!C19)*(Trades!U$2:U$9999=Blotter!B19)*(Trades!W$2:W$9999)*(Trades!V$2:V$9999)*(Trades!V$2:V$9999&gt;0))/SUM((Trades!T$2:T$9999=Blotter!C19)*(Trades!U$2:U$9999=Blotter!B19)*(Trades!V$2:V$9999)*(Trades!V$2:V$9999&gt;0))),SUM((Trades!T$2:T$9999=Blotter!C19)*(Trades!U$2:U$9999=Blotter!B19)*(Trades!W$2:W$9999)*(Trades!V$2:V$9999)*(Trades!V$2:V$9999&gt;0))/SUM((Trades!T$2:T$9999=Blotter!C19)*(Trades!U$2:U$9999=Blotter!B19)*(Trades!V$2:V$9999)*(Trades!V$2:V$9999&gt;0)),0)</f>
        <v>41</v>
      </c>
      <c r="Z19" s="42">
        <f>IF(C$2="Last",IF(ISNUMBER(VLOOKUP(B19,Data_IB!B:O,14,0)),VLOOKUP(B19,Data_IB!B:O,14,0),0),IF(ISNUMBER(VLOOKUP(B19,Data_IB!B:O,13,0)),VLOOKUP(B19,Data_IB!B:O,13,0),0))</f>
        <v>0</v>
      </c>
      <c r="AB19" s="29"/>
    </row>
    <row r="20" spans="2:28" x14ac:dyDescent="0.4">
      <c r="B20" s="9" t="s">
        <v>155</v>
      </c>
      <c r="C20" s="10">
        <v>1</v>
      </c>
      <c r="D20" s="10" t="s">
        <v>4</v>
      </c>
      <c r="E20" s="10" t="s">
        <v>199</v>
      </c>
      <c r="F20" s="10" t="s">
        <v>53</v>
      </c>
      <c r="G20" s="28">
        <f>IF(F20="Futures",VLOOKUP(D20,Multiplier!B:I,8,0),0)</f>
        <v>0</v>
      </c>
      <c r="H20" s="11">
        <v>-6</v>
      </c>
      <c r="I20" s="29">
        <f t="array" ref="I20">SUM((Trades!V$2:V$9999)*(Trades!U$2:U$9999=Blotter!B20)*(Trades!$T$2:T$9999=Blotter!C20))</f>
        <v>0</v>
      </c>
      <c r="J20" s="28">
        <f>VLOOKUP(D20,Multiplier!B:D,2,0)</f>
        <v>100</v>
      </c>
      <c r="K20" s="29">
        <f t="shared" si="1"/>
        <v>24.4863845</v>
      </c>
      <c r="L20" s="29">
        <f t="shared" si="2"/>
        <v>0</v>
      </c>
      <c r="M20" s="28">
        <f t="shared" si="3"/>
        <v>0</v>
      </c>
      <c r="N20" s="28">
        <f t="array" ref="N20">-SUM((Trades!T$2:T$9999=Blotter!C20)*(Trades!U$2:U$9999=Blotter!B20)*(Trades!V$2:V$9999)*(Trades!W$2:W$9999))*J20+SUM((Trades!T$2:T$9999=Blotter!C20)*(Trades!U$2:U$9999=Blotter!B20)*(Trades!X$2:X$9999))+(L20*I20)*J20</f>
        <v>14691.8307</v>
      </c>
      <c r="O20" s="29">
        <f>VLOOKUP(D20,Multiplier!B:H,3,0)</f>
        <v>42</v>
      </c>
      <c r="P20" s="27">
        <v>24.5</v>
      </c>
      <c r="Q20" s="27"/>
      <c r="R20" s="28">
        <f t="shared" si="4"/>
        <v>-14700</v>
      </c>
      <c r="S20" s="29">
        <f t="shared" si="5"/>
        <v>0</v>
      </c>
      <c r="T20" s="3">
        <f t="shared" si="6"/>
        <v>0</v>
      </c>
      <c r="U20" s="29">
        <f t="shared" si="7"/>
        <v>0</v>
      </c>
      <c r="V20" s="3">
        <f t="shared" si="8"/>
        <v>0</v>
      </c>
      <c r="X20" s="41">
        <f t="array" ref="X20">IF(ISNUMBER(SUM((Trades!T$2:T$9999=Blotter!C20)*(Trades!U$2:U$9999=Blotter!B20)*(Trades!W$2:W$9999)*(Trades!V$2:V$9999)*(Trades!V$2:V$9999&lt;0))/SUM((Trades!T$2:T$9999=Blotter!C20)*(Trades!U$2:U$9999=Blotter!B20)*(Trades!V$2:V$9999)*(Trades!V$2:V$9999&lt;0))),SUM((Trades!T$2:T$9999=Blotter!C20)*(Trades!U$2:U$9999=Blotter!B20)*(Trades!W$2:W$9999)*(Trades!V$2:V$9999)*(Trades!V$2:V$9999&lt;0))/SUM((Trades!T$2:T$9999=Blotter!C20)*(Trades!U$2:U$9999=Blotter!B20)*(Trades!V$2:V$9999)*(Trades!V$2:V$9999&lt;0)),0)</f>
        <v>24.5</v>
      </c>
      <c r="Y20" s="41">
        <f t="array" ref="Y20">IF(ISNUMBER(SUM((Trades!T$2:T$9999=Blotter!C20)*(Trades!U$2:U$9999=Blotter!B20)*(Trades!W$2:W$9999)*(Trades!V$2:V$9999)*(Trades!V$2:V$9999&gt;0))/SUM((Trades!T$2:T$9999=Blotter!C20)*(Trades!U$2:U$9999=Blotter!B20)*(Trades!V$2:V$9999)*(Trades!V$2:V$9999&gt;0))),SUM((Trades!T$2:T$9999=Blotter!C20)*(Trades!U$2:U$9999=Blotter!B20)*(Trades!W$2:W$9999)*(Trades!V$2:V$9999)*(Trades!V$2:V$9999&gt;0))/SUM((Trades!T$2:T$9999=Blotter!C20)*(Trades!U$2:U$9999=Blotter!B20)*(Trades!V$2:V$9999)*(Trades!V$2:V$9999&gt;0)),0)</f>
        <v>0</v>
      </c>
      <c r="Z20" s="42">
        <f>IF(C$2="Last",IF(ISNUMBER(VLOOKUP(B20,Data_IB!B:O,14,0)),VLOOKUP(B20,Data_IB!B:O,14,0),0),IF(ISNUMBER(VLOOKUP(B20,Data_IB!B:O,13,0)),VLOOKUP(B20,Data_IB!B:O,13,0),0))</f>
        <v>0</v>
      </c>
      <c r="AB20" s="29"/>
    </row>
    <row r="21" spans="2:28" x14ac:dyDescent="0.4">
      <c r="B21" s="9" t="s">
        <v>151</v>
      </c>
      <c r="C21" s="10">
        <v>2</v>
      </c>
      <c r="D21" s="10" t="s">
        <v>5</v>
      </c>
      <c r="E21" s="10" t="s">
        <v>200</v>
      </c>
      <c r="F21" s="10" t="s">
        <v>6</v>
      </c>
      <c r="G21" s="28">
        <f>IF(F21="Futures",VLOOKUP(D21,Multiplier!B:I,8,0),0)</f>
        <v>8</v>
      </c>
      <c r="H21" s="11">
        <v>5</v>
      </c>
      <c r="I21" s="29">
        <f t="array" ref="I21">SUM((Trades!V$2:V$9999)*(Trades!U$2:U$9999=Blotter!B21)*(Trades!$T$2:T$9999=Blotter!C21))</f>
        <v>0</v>
      </c>
      <c r="J21" s="28">
        <f>VLOOKUP(D21,Multiplier!B:D,2,0)</f>
        <v>10000</v>
      </c>
      <c r="K21" s="53">
        <f t="shared" si="1"/>
        <v>2.2084739999999998</v>
      </c>
      <c r="L21" s="53">
        <f t="shared" si="2"/>
        <v>2.25</v>
      </c>
      <c r="M21" s="28">
        <f t="shared" si="3"/>
        <v>0</v>
      </c>
      <c r="N21" s="28">
        <f t="array" ref="N21">-SUM((Trades!T$2:T$9999=Blotter!C21)*(Trades!U$2:U$9999=Blotter!B21)*(Trades!V$2:V$9999)*(Trades!W$2:W$9999))*J21+SUM((Trades!T$2:T$9999=Blotter!C21)*(Trades!U$2:U$9999=Blotter!B21)*(Trades!X$2:X$9999))+(L21*I21)*J21</f>
        <v>2076.3000000000088</v>
      </c>
      <c r="O21" s="29">
        <f>VLOOKUP(D21,Multiplier!B:H,3,0)</f>
        <v>0.13200000000000001</v>
      </c>
      <c r="P21" s="27">
        <v>0.18</v>
      </c>
      <c r="Q21" s="27"/>
      <c r="R21" s="28">
        <f t="shared" si="4"/>
        <v>9000</v>
      </c>
      <c r="S21" s="29">
        <f t="shared" si="5"/>
        <v>0</v>
      </c>
      <c r="T21" s="3">
        <f t="shared" si="6"/>
        <v>0</v>
      </c>
      <c r="U21" s="29">
        <f t="shared" si="7"/>
        <v>0</v>
      </c>
      <c r="V21" s="3">
        <f t="shared" si="8"/>
        <v>0</v>
      </c>
      <c r="X21" s="41">
        <f t="array" ref="X21">IF(ISNUMBER(SUM((Trades!T$2:T$9999=Blotter!C21)*(Trades!U$2:U$9999=Blotter!B21)*(Trades!W$2:W$9999)*(Trades!V$2:V$9999)*(Trades!V$2:V$9999&lt;0))/SUM((Trades!T$2:T$9999=Blotter!C21)*(Trades!U$2:U$9999=Blotter!B21)*(Trades!V$2:V$9999)*(Trades!V$2:V$9999&lt;0))),SUM((Trades!T$2:T$9999=Blotter!C21)*(Trades!U$2:U$9999=Blotter!B21)*(Trades!W$2:W$9999)*(Trades!V$2:V$9999)*(Trades!V$2:V$9999&lt;0))/SUM((Trades!T$2:T$9999=Blotter!C21)*(Trades!U$2:U$9999=Blotter!B21)*(Trades!V$2:V$9999)*(Trades!V$2:V$9999&lt;0)),0)</f>
        <v>2.25</v>
      </c>
      <c r="Y21" s="41">
        <f t="array" ref="Y21">IF(ISNUMBER(SUM((Trades!T$2:T$9999=Blotter!C21)*(Trades!U$2:U$9999=Blotter!B21)*(Trades!W$2:W$9999)*(Trades!V$2:V$9999)*(Trades!V$2:V$9999&gt;0))/SUM((Trades!T$2:T$9999=Blotter!C21)*(Trades!U$2:U$9999=Blotter!B21)*(Trades!V$2:V$9999)*(Trades!V$2:V$9999&gt;0))),SUM((Trades!T$2:T$9999=Blotter!C21)*(Trades!U$2:U$9999=Blotter!B21)*(Trades!W$2:W$9999)*(Trades!V$2:V$9999)*(Trades!V$2:V$9999&gt;0))/SUM((Trades!T$2:T$9999=Blotter!C21)*(Trades!U$2:U$9999=Blotter!B21)*(Trades!V$2:V$9999)*(Trades!V$2:V$9999&gt;0)),0)</f>
        <v>2.2079999999999997</v>
      </c>
      <c r="Z21" s="42">
        <f>IF(C$2="Last",IF(ISNUMBER(VLOOKUP(B21,Data_IB!B:O,14,0)),VLOOKUP(B21,Data_IB!B:O,14,0),0),IF(ISNUMBER(VLOOKUP(B21,Data_IB!B:O,13,0)),VLOOKUP(B21,Data_IB!B:O,13,0),0))</f>
        <v>0</v>
      </c>
      <c r="AB21" s="29"/>
    </row>
    <row r="22" spans="2:28" x14ac:dyDescent="0.4">
      <c r="B22" s="9" t="s">
        <v>149</v>
      </c>
      <c r="C22" s="10">
        <v>2</v>
      </c>
      <c r="D22" s="10" t="s">
        <v>5</v>
      </c>
      <c r="E22" s="10" t="s">
        <v>200</v>
      </c>
      <c r="F22" s="10" t="s">
        <v>6</v>
      </c>
      <c r="G22" s="28">
        <f>IF(F22="Futures",VLOOKUP(D22,Multiplier!B:I,8,0),0)</f>
        <v>8</v>
      </c>
      <c r="H22" s="11">
        <v>5</v>
      </c>
      <c r="I22" s="29">
        <f t="array" ref="I22">SUM((Trades!V$2:V$9999)*(Trades!U$2:U$9999=Blotter!B22)*(Trades!$T$2:T$9999=Blotter!C22))</f>
        <v>0</v>
      </c>
      <c r="J22" s="28">
        <f>VLOOKUP(D22,Multiplier!B:D,2,0)</f>
        <v>10000</v>
      </c>
      <c r="K22" s="53">
        <f t="shared" si="1"/>
        <v>2.3274480000000004</v>
      </c>
      <c r="L22" s="53">
        <f t="shared" si="2"/>
        <v>2.3075000000000001</v>
      </c>
      <c r="M22" s="28">
        <f t="shared" si="3"/>
        <v>0</v>
      </c>
      <c r="N22" s="28">
        <f t="array" ref="N22">-SUM((Trades!T$2:T$9999=Blotter!C22)*(Trades!U$2:U$9999=Blotter!B22)*(Trades!V$2:V$9999)*(Trades!W$2:W$9999))*J22+SUM((Trades!T$2:T$9999=Blotter!C22)*(Trades!U$2:U$9999=Blotter!B22)*(Trades!X$2:X$9999))+(L22*I22)*J22</f>
        <v>-997.40000000002408</v>
      </c>
      <c r="O22" s="29">
        <f>VLOOKUP(D22,Multiplier!B:H,3,0)</f>
        <v>0.13200000000000001</v>
      </c>
      <c r="P22" s="27">
        <v>0.18</v>
      </c>
      <c r="Q22" s="27">
        <v>1</v>
      </c>
      <c r="R22" s="28">
        <f t="shared" si="4"/>
        <v>0</v>
      </c>
      <c r="S22" s="29">
        <f t="shared" si="5"/>
        <v>0</v>
      </c>
      <c r="T22" s="3">
        <f t="shared" si="6"/>
        <v>0</v>
      </c>
      <c r="U22" s="29">
        <f t="shared" si="7"/>
        <v>0</v>
      </c>
      <c r="V22" s="3">
        <f t="shared" si="8"/>
        <v>0</v>
      </c>
      <c r="X22" s="41">
        <f t="array" ref="X22">IF(ISNUMBER(SUM((Trades!T$2:T$9999=Blotter!C22)*(Trades!U$2:U$9999=Blotter!B22)*(Trades!W$2:W$9999)*(Trades!V$2:V$9999)*(Trades!V$2:V$9999&lt;0))/SUM((Trades!T$2:T$9999=Blotter!C22)*(Trades!U$2:U$9999=Blotter!B22)*(Trades!V$2:V$9999)*(Trades!V$2:V$9999&lt;0))),SUM((Trades!T$2:T$9999=Blotter!C22)*(Trades!U$2:U$9999=Blotter!B22)*(Trades!W$2:W$9999)*(Trades!V$2:V$9999)*(Trades!V$2:V$9999&lt;0))/SUM((Trades!T$2:T$9999=Blotter!C22)*(Trades!U$2:U$9999=Blotter!B22)*(Trades!V$2:V$9999)*(Trades!V$2:V$9999&lt;0)),0)</f>
        <v>2.3075000000000001</v>
      </c>
      <c r="Y22" s="41">
        <f t="array" ref="Y22">IF(ISNUMBER(SUM((Trades!T$2:T$9999=Blotter!C22)*(Trades!U$2:U$9999=Blotter!B22)*(Trades!W$2:W$9999)*(Trades!V$2:V$9999)*(Trades!V$2:V$9999&gt;0))/SUM((Trades!T$2:T$9999=Blotter!C22)*(Trades!U$2:U$9999=Blotter!B22)*(Trades!V$2:V$9999)*(Trades!V$2:V$9999&gt;0))),SUM((Trades!T$2:T$9999=Blotter!C22)*(Trades!U$2:U$9999=Blotter!B22)*(Trades!W$2:W$9999)*(Trades!V$2:V$9999)*(Trades!V$2:V$9999&gt;0))/SUM((Trades!T$2:T$9999=Blotter!C22)*(Trades!U$2:U$9999=Blotter!B22)*(Trades!V$2:V$9999)*(Trades!V$2:V$9999&gt;0)),0)</f>
        <v>2.3170000000000002</v>
      </c>
      <c r="Z22" s="42">
        <f>IF(C$2="Last",IF(ISNUMBER(VLOOKUP(B22,Data_IB!B:O,14,0)),VLOOKUP(B22,Data_IB!B:O,14,0),0),IF(ISNUMBER(VLOOKUP(B22,Data_IB!B:O,13,0)),VLOOKUP(B22,Data_IB!B:O,13,0),0))</f>
        <v>0</v>
      </c>
      <c r="AB22" s="29"/>
    </row>
    <row r="23" spans="2:28" x14ac:dyDescent="0.4">
      <c r="B23" s="9" t="s">
        <v>188</v>
      </c>
      <c r="C23" s="10">
        <v>2</v>
      </c>
      <c r="D23" s="10" t="s">
        <v>5</v>
      </c>
      <c r="E23" s="10" t="s">
        <v>200</v>
      </c>
      <c r="F23" s="10" t="s">
        <v>6</v>
      </c>
      <c r="G23" s="28">
        <f>IF(F23="Futures",VLOOKUP(D23,Multiplier!B:I,8,0),0)</f>
        <v>8</v>
      </c>
      <c r="H23" s="11">
        <v>5</v>
      </c>
      <c r="I23" s="29">
        <f t="array" ref="I23">SUM((Trades!V$2:V$9999)*(Trades!U$2:U$9999=Blotter!B23)*(Trades!$T$2:T$9999=Blotter!C23))</f>
        <v>0</v>
      </c>
      <c r="J23" s="28">
        <f>VLOOKUP(D23,Multiplier!B:D,2,0)</f>
        <v>10000</v>
      </c>
      <c r="K23" s="53">
        <f t="shared" si="1"/>
        <v>2.3523548888888919</v>
      </c>
      <c r="L23" s="53">
        <f t="shared" si="2"/>
        <v>2.4208888888888893</v>
      </c>
      <c r="M23" s="28">
        <f t="shared" si="3"/>
        <v>0</v>
      </c>
      <c r="N23" s="28">
        <f t="array" ref="N23">-SUM((Trades!T$2:T$9999=Blotter!C23)*(Trades!U$2:U$9999=Blotter!B23)*(Trades!V$2:V$9999)*(Trades!W$2:W$9999))*J23+SUM((Trades!T$2:T$9999=Blotter!C23)*(Trades!U$2:U$9999=Blotter!B23)*(Trades!X$2:X$9999))+(L23*I23)*J23</f>
        <v>3426.6999999998652</v>
      </c>
      <c r="O23" s="29">
        <f>VLOOKUP(D23,Multiplier!B:H,3,0)</f>
        <v>0.13200000000000001</v>
      </c>
      <c r="P23" s="27">
        <v>0.18</v>
      </c>
      <c r="Q23" s="27">
        <v>1</v>
      </c>
      <c r="R23" s="28">
        <f t="shared" si="4"/>
        <v>0</v>
      </c>
      <c r="S23" s="29">
        <f t="shared" si="5"/>
        <v>0</v>
      </c>
      <c r="T23" s="3">
        <f t="shared" si="6"/>
        <v>0</v>
      </c>
      <c r="U23" s="29">
        <f t="shared" si="7"/>
        <v>0</v>
      </c>
      <c r="V23" s="3">
        <f t="shared" si="8"/>
        <v>0</v>
      </c>
      <c r="X23" s="41">
        <f t="array" ref="X23">IF(ISNUMBER(SUM((Trades!T$2:T$9999=Blotter!C23)*(Trades!U$2:U$9999=Blotter!B23)*(Trades!W$2:W$9999)*(Trades!V$2:V$9999)*(Trades!V$2:V$9999&lt;0))/SUM((Trades!T$2:T$9999=Blotter!C23)*(Trades!U$2:U$9999=Blotter!B23)*(Trades!V$2:V$9999)*(Trades!V$2:V$9999&lt;0))),SUM((Trades!T$2:T$9999=Blotter!C23)*(Trades!U$2:U$9999=Blotter!B23)*(Trades!W$2:W$9999)*(Trades!V$2:V$9999)*(Trades!V$2:V$9999&lt;0))/SUM((Trades!T$2:T$9999=Blotter!C23)*(Trades!U$2:U$9999=Blotter!B23)*(Trades!V$2:V$9999)*(Trades!V$2:V$9999&lt;0)),0)</f>
        <v>2.4208888888888893</v>
      </c>
      <c r="Y23" s="41">
        <f t="array" ref="Y23">IF(ISNUMBER(SUM((Trades!T$2:T$9999=Blotter!C23)*(Trades!U$2:U$9999=Blotter!B23)*(Trades!W$2:W$9999)*(Trades!V$2:V$9999)*(Trades!V$2:V$9999&gt;0))/SUM((Trades!T$2:T$9999=Blotter!C23)*(Trades!U$2:U$9999=Blotter!B23)*(Trades!V$2:V$9999)*(Trades!V$2:V$9999&gt;0))),SUM((Trades!T$2:T$9999=Blotter!C23)*(Trades!U$2:U$9999=Blotter!B23)*(Trades!W$2:W$9999)*(Trades!V$2:V$9999)*(Trades!V$2:V$9999&gt;0))/SUM((Trades!T$2:T$9999=Blotter!C23)*(Trades!U$2:U$9999=Blotter!B23)*(Trades!V$2:V$9999)*(Trades!V$2:V$9999&gt;0)),0)</f>
        <v>2.4127999999999998</v>
      </c>
      <c r="Z23" s="42">
        <f>IF(C$2="Last",IF(ISNUMBER(VLOOKUP(B23,Data_IB!B:O,14,0)),VLOOKUP(B23,Data_IB!B:O,14,0),0),IF(ISNUMBER(VLOOKUP(B23,Data_IB!B:O,13,0)),VLOOKUP(B23,Data_IB!B:O,13,0),0))</f>
        <v>0</v>
      </c>
      <c r="AB23" s="29"/>
    </row>
    <row r="24" spans="2:28" x14ac:dyDescent="0.4">
      <c r="B24" s="9" t="s">
        <v>145</v>
      </c>
      <c r="C24" s="10">
        <v>3</v>
      </c>
      <c r="D24" s="10" t="s">
        <v>9</v>
      </c>
      <c r="E24" s="10" t="s">
        <v>200</v>
      </c>
      <c r="F24" s="10" t="s">
        <v>6</v>
      </c>
      <c r="G24" s="28">
        <f>IF(F24="Futures",VLOOKUP(D24,Multiplier!B:I,8,0),0)</f>
        <v>3</v>
      </c>
      <c r="H24" s="11">
        <v>2</v>
      </c>
      <c r="I24" s="29">
        <f t="array" ref="I24">SUM((Trades!V$2:V$9999)*(Trades!U$2:U$9999=Blotter!B24)*(Trades!$T$2:T$9999=Blotter!C24))</f>
        <v>0</v>
      </c>
      <c r="J24" s="28">
        <f>VLOOKUP(D24,Multiplier!B:D,2,0)</f>
        <v>42000</v>
      </c>
      <c r="K24" s="53">
        <f t="shared" si="1"/>
        <v>2.5630507142857142</v>
      </c>
      <c r="L24" s="53">
        <f t="shared" si="2"/>
        <v>2.5421749999999999</v>
      </c>
      <c r="M24" s="28">
        <f t="shared" si="3"/>
        <v>0</v>
      </c>
      <c r="N24" s="28">
        <f t="array" ref="N24">-SUM((Trades!T$2:T$9999=Blotter!C24)*(Trades!U$2:U$9999=Blotter!B24)*(Trades!V$2:V$9999)*(Trades!W$2:W$9999))*J24+SUM((Trades!T$2:T$9999=Blotter!C24)*(Trades!U$2:U$9999=Blotter!B24)*(Trades!X$2:X$9999))+(L24*I24)*J24</f>
        <v>-1753.5600000000049</v>
      </c>
      <c r="O24" s="29">
        <f>VLOOKUP(D24,Multiplier!B:H,3,0)</f>
        <v>7.2499999999999995E-2</v>
      </c>
      <c r="P24" s="27">
        <v>0.1</v>
      </c>
      <c r="Q24" s="27"/>
      <c r="R24" s="28">
        <f t="shared" si="4"/>
        <v>8400</v>
      </c>
      <c r="S24" s="29">
        <f t="shared" si="5"/>
        <v>0</v>
      </c>
      <c r="T24" s="3">
        <f t="shared" si="6"/>
        <v>0</v>
      </c>
      <c r="U24" s="29">
        <f t="shared" si="7"/>
        <v>0</v>
      </c>
      <c r="V24" s="3">
        <f t="shared" si="8"/>
        <v>0</v>
      </c>
      <c r="X24" s="41">
        <f t="array" ref="X24">IF(ISNUMBER(SUM((Trades!T$2:T$9999=Blotter!C24)*(Trades!U$2:U$9999=Blotter!B24)*(Trades!W$2:W$9999)*(Trades!V$2:V$9999)*(Trades!V$2:V$9999&lt;0))/SUM((Trades!T$2:T$9999=Blotter!C24)*(Trades!U$2:U$9999=Blotter!B24)*(Trades!V$2:V$9999)*(Trades!V$2:V$9999&lt;0))),SUM((Trades!T$2:T$9999=Blotter!C24)*(Trades!U$2:U$9999=Blotter!B24)*(Trades!W$2:W$9999)*(Trades!V$2:V$9999)*(Trades!V$2:V$9999&lt;0))/SUM((Trades!T$2:T$9999=Blotter!C24)*(Trades!U$2:U$9999=Blotter!B24)*(Trades!V$2:V$9999)*(Trades!V$2:V$9999&lt;0)),0)</f>
        <v>2.5421749999999999</v>
      </c>
      <c r="Y24" s="41">
        <f t="array" ref="Y24">IF(ISNUMBER(SUM((Trades!T$2:T$9999=Blotter!C24)*(Trades!U$2:U$9999=Blotter!B24)*(Trades!W$2:W$9999)*(Trades!V$2:V$9999)*(Trades!V$2:V$9999&gt;0))/SUM((Trades!T$2:T$9999=Blotter!C24)*(Trades!U$2:U$9999=Blotter!B24)*(Trades!V$2:V$9999)*(Trades!V$2:V$9999&gt;0))),SUM((Trades!T$2:T$9999=Blotter!C24)*(Trades!U$2:U$9999=Blotter!B24)*(Trades!W$2:W$9999)*(Trades!V$2:V$9999)*(Trades!V$2:V$9999&gt;0))/SUM((Trades!T$2:T$9999=Blotter!C24)*(Trades!U$2:U$9999=Blotter!B24)*(Trades!V$2:V$9999)*(Trades!V$2:V$9999&gt;0)),0)</f>
        <v>2.5525000000000002</v>
      </c>
      <c r="Z24" s="42">
        <f>IF(C$2="Last",IF(ISNUMBER(VLOOKUP(B24,Data_IB!B:O,14,0)),VLOOKUP(B24,Data_IB!B:O,14,0),0),IF(ISNUMBER(VLOOKUP(B24,Data_IB!B:O,13,0)),VLOOKUP(B24,Data_IB!B:O,13,0),0))</f>
        <v>0</v>
      </c>
      <c r="AB24" s="29"/>
    </row>
    <row r="25" spans="2:28" x14ac:dyDescent="0.4">
      <c r="B25" s="9" t="s">
        <v>142</v>
      </c>
      <c r="C25" s="10">
        <v>5</v>
      </c>
      <c r="D25" s="10" t="s">
        <v>22</v>
      </c>
      <c r="E25" s="10" t="s">
        <v>199</v>
      </c>
      <c r="F25" s="10" t="s">
        <v>132</v>
      </c>
      <c r="G25" s="28">
        <f>IF(F25="Futures",VLOOKUP(D25,Multiplier!B:I,8,0),0)</f>
        <v>0</v>
      </c>
      <c r="H25" s="11">
        <v>1</v>
      </c>
      <c r="I25" s="29">
        <f t="array" ref="I25">SUM((Trades!V$2:V$9999)*(Trades!U$2:U$9999=Blotter!B25)*(Trades!$T$2:T$9999=Blotter!C25))</f>
        <v>0</v>
      </c>
      <c r="J25" s="28">
        <f>VLOOKUP(D25,Multiplier!B:D,2,0)</f>
        <v>20</v>
      </c>
      <c r="K25" s="29">
        <f t="shared" si="1"/>
        <v>205.142</v>
      </c>
      <c r="L25" s="29">
        <f t="shared" si="2"/>
        <v>275</v>
      </c>
      <c r="M25" s="28">
        <f t="shared" si="3"/>
        <v>0</v>
      </c>
      <c r="N25" s="28">
        <f t="array" ref="N25">-SUM((Trades!T$2:T$9999=Blotter!C25)*(Trades!U$2:U$9999=Blotter!B25)*(Trades!V$2:V$9999)*(Trades!W$2:W$9999))*J25+SUM((Trades!T$2:T$9999=Blotter!C25)*(Trades!U$2:U$9999=Blotter!B25)*(Trades!X$2:X$9999))+(L25*I25)*J25</f>
        <v>1397.16</v>
      </c>
      <c r="O25" s="29">
        <f>VLOOKUP(D25,Multiplier!B:H,3,0)</f>
        <v>248</v>
      </c>
      <c r="P25" s="27">
        <v>205</v>
      </c>
      <c r="Q25" s="27"/>
      <c r="R25" s="28">
        <f t="shared" si="4"/>
        <v>4100</v>
      </c>
      <c r="S25" s="29">
        <f t="shared" si="5"/>
        <v>0</v>
      </c>
      <c r="T25" s="3">
        <f t="shared" si="6"/>
        <v>0</v>
      </c>
      <c r="U25" s="29">
        <f t="shared" si="7"/>
        <v>0</v>
      </c>
      <c r="V25" s="3">
        <f t="shared" si="8"/>
        <v>0</v>
      </c>
      <c r="X25" s="41">
        <f t="array" ref="X25">IF(ISNUMBER(SUM((Trades!T$2:T$9999=Blotter!C25)*(Trades!U$2:U$9999=Blotter!B25)*(Trades!W$2:W$9999)*(Trades!V$2:V$9999)*(Trades!V$2:V$9999&lt;0))/SUM((Trades!T$2:T$9999=Blotter!C25)*(Trades!U$2:U$9999=Blotter!B25)*(Trades!V$2:V$9999)*(Trades!V$2:V$9999&lt;0))),SUM((Trades!T$2:T$9999=Blotter!C25)*(Trades!U$2:U$9999=Blotter!B25)*(Trades!W$2:W$9999)*(Trades!V$2:V$9999)*(Trades!V$2:V$9999&lt;0))/SUM((Trades!T$2:T$9999=Blotter!C25)*(Trades!U$2:U$9999=Blotter!B25)*(Trades!V$2:V$9999)*(Trades!V$2:V$9999&lt;0)),0)</f>
        <v>275</v>
      </c>
      <c r="Y25" s="41">
        <f t="array" ref="Y25">IF(ISNUMBER(SUM((Trades!T$2:T$9999=Blotter!C25)*(Trades!U$2:U$9999=Blotter!B25)*(Trades!W$2:W$9999)*(Trades!V$2:V$9999)*(Trades!V$2:V$9999&gt;0))/SUM((Trades!T$2:T$9999=Blotter!C25)*(Trades!U$2:U$9999=Blotter!B25)*(Trades!V$2:V$9999)*(Trades!V$2:V$9999&gt;0))),SUM((Trades!T$2:T$9999=Blotter!C25)*(Trades!U$2:U$9999=Blotter!B25)*(Trades!W$2:W$9999)*(Trades!V$2:V$9999)*(Trades!V$2:V$9999&gt;0))/SUM((Trades!T$2:T$9999=Blotter!C25)*(Trades!U$2:U$9999=Blotter!B25)*(Trades!V$2:V$9999)*(Trades!V$2:V$9999&gt;0)),0)</f>
        <v>205</v>
      </c>
      <c r="Z25" s="42">
        <f>IF(C$2="Last",IF(ISNUMBER(VLOOKUP(B25,Data_IB!B:O,14,0)),VLOOKUP(B25,Data_IB!B:O,14,0),0),IF(ISNUMBER(VLOOKUP(B25,Data_IB!B:O,13,0)),VLOOKUP(B25,Data_IB!B:O,13,0),0))</f>
        <v>0</v>
      </c>
      <c r="AB25" s="29"/>
    </row>
    <row r="26" spans="2:28" x14ac:dyDescent="0.4">
      <c r="B26" s="9" t="s">
        <v>147</v>
      </c>
      <c r="C26" s="10">
        <v>5</v>
      </c>
      <c r="D26" s="10" t="s">
        <v>22</v>
      </c>
      <c r="E26" s="10" t="s">
        <v>199</v>
      </c>
      <c r="F26" s="10" t="s">
        <v>6</v>
      </c>
      <c r="G26" s="28">
        <f>IF(F26="Futures",VLOOKUP(D26,Multiplier!B:I,8,0),0)</f>
        <v>2</v>
      </c>
      <c r="H26" s="11">
        <v>1</v>
      </c>
      <c r="I26" s="29">
        <f t="array" ref="I26">SUM((Trades!V$2:V$9999)*(Trades!U$2:U$9999=Blotter!B26)*(Trades!$T$2:T$9999=Blotter!C26))</f>
        <v>0</v>
      </c>
      <c r="J26" s="28">
        <f>VLOOKUP(D26,Multiplier!B:D,2,0)</f>
        <v>20</v>
      </c>
      <c r="K26" s="29">
        <f t="shared" si="1"/>
        <v>13290.22</v>
      </c>
      <c r="L26" s="29">
        <f t="shared" si="2"/>
        <v>13800</v>
      </c>
      <c r="M26" s="28">
        <f t="shared" si="3"/>
        <v>0</v>
      </c>
      <c r="N26" s="28">
        <f t="array" ref="N26">-SUM((Trades!T$2:T$9999=Blotter!C26)*(Trades!U$2:U$9999=Blotter!B26)*(Trades!V$2:V$9999)*(Trades!W$2:W$9999))*J26+SUM((Trades!T$2:T$9999=Blotter!C26)*(Trades!U$2:U$9999=Blotter!B26)*(Trades!X$2:X$9999))+(L26*I26)*J26</f>
        <v>10195.6</v>
      </c>
      <c r="O26" s="29">
        <f>VLOOKUP(D26,Multiplier!B:H,3,0)</f>
        <v>248</v>
      </c>
      <c r="P26" s="27">
        <v>250</v>
      </c>
      <c r="Q26" s="27"/>
      <c r="R26" s="28">
        <f t="shared" si="4"/>
        <v>5000</v>
      </c>
      <c r="S26" s="29">
        <f t="shared" si="5"/>
        <v>0</v>
      </c>
      <c r="T26" s="3">
        <f t="shared" si="6"/>
        <v>0</v>
      </c>
      <c r="U26" s="29">
        <f t="shared" si="7"/>
        <v>0</v>
      </c>
      <c r="V26" s="3">
        <f t="shared" si="8"/>
        <v>0</v>
      </c>
      <c r="X26" s="41">
        <f t="array" ref="X26">IF(ISNUMBER(SUM((Trades!T$2:T$9999=Blotter!C26)*(Trades!U$2:U$9999=Blotter!B26)*(Trades!W$2:W$9999)*(Trades!V$2:V$9999)*(Trades!V$2:V$9999&lt;0))/SUM((Trades!T$2:T$9999=Blotter!C26)*(Trades!U$2:U$9999=Blotter!B26)*(Trades!V$2:V$9999)*(Trades!V$2:V$9999&lt;0))),SUM((Trades!T$2:T$9999=Blotter!C26)*(Trades!U$2:U$9999=Blotter!B26)*(Trades!W$2:W$9999)*(Trades!V$2:V$9999)*(Trades!V$2:V$9999&lt;0))/SUM((Trades!T$2:T$9999=Blotter!C26)*(Trades!U$2:U$9999=Blotter!B26)*(Trades!V$2:V$9999)*(Trades!V$2:V$9999&lt;0)),0)</f>
        <v>13800</v>
      </c>
      <c r="Y26" s="41">
        <f t="array" ref="Y26">IF(ISNUMBER(SUM((Trades!T$2:T$9999=Blotter!C26)*(Trades!U$2:U$9999=Blotter!B26)*(Trades!W$2:W$9999)*(Trades!V$2:V$9999)*(Trades!V$2:V$9999&gt;0))/SUM((Trades!T$2:T$9999=Blotter!C26)*(Trades!U$2:U$9999=Blotter!B26)*(Trades!V$2:V$9999)*(Trades!V$2:V$9999&gt;0))),SUM((Trades!T$2:T$9999=Blotter!C26)*(Trades!U$2:U$9999=Blotter!B26)*(Trades!W$2:W$9999)*(Trades!V$2:V$9999)*(Trades!V$2:V$9999&gt;0))/SUM((Trades!T$2:T$9999=Blotter!C26)*(Trades!U$2:U$9999=Blotter!B26)*(Trades!V$2:V$9999)*(Trades!V$2:V$9999&gt;0)),0)</f>
        <v>13290</v>
      </c>
      <c r="Z26" s="42">
        <f>IF(C$2="Last",IF(ISNUMBER(VLOOKUP(B26,Data_IB!B:O,14,0)),VLOOKUP(B26,Data_IB!B:O,14,0),0),IF(ISNUMBER(VLOOKUP(B26,Data_IB!B:O,13,0)),VLOOKUP(B26,Data_IB!B:O,13,0),0))</f>
        <v>0</v>
      </c>
      <c r="AB26" s="29"/>
    </row>
    <row r="27" spans="2:28" x14ac:dyDescent="0.4">
      <c r="B27" s="9" t="s">
        <v>134</v>
      </c>
      <c r="C27" s="10">
        <v>6</v>
      </c>
      <c r="D27" s="10" t="s">
        <v>27</v>
      </c>
      <c r="E27" s="10" t="s">
        <v>200</v>
      </c>
      <c r="F27" s="10" t="s">
        <v>6</v>
      </c>
      <c r="G27" s="28">
        <f>IF(F27="Futures",VLOOKUP(D27,Multiplier!B:I,8,0),0)</f>
        <v>2</v>
      </c>
      <c r="H27" s="11">
        <v>3</v>
      </c>
      <c r="I27" s="29">
        <f t="array" ref="I27">SUM((Trades!V$2:V$9999)*(Trades!U$2:U$9999=Blotter!B27)*(Trades!$T$2:T$9999=Blotter!C27))</f>
        <v>0</v>
      </c>
      <c r="J27" s="28">
        <f>VLOOKUP(D27,Multiplier!B:D,2,0)</f>
        <v>5000</v>
      </c>
      <c r="K27" s="53">
        <f t="shared" si="1"/>
        <v>24.662612571428578</v>
      </c>
      <c r="L27" s="53">
        <f t="shared" si="2"/>
        <v>23.151428571428571</v>
      </c>
      <c r="M27" s="28">
        <f t="shared" si="3"/>
        <v>0</v>
      </c>
      <c r="N27" s="28">
        <f t="array" ref="N27">-SUM((Trades!T$2:T$9999=Blotter!C27)*(Trades!U$2:U$9999=Blotter!B27)*(Trades!V$2:V$9999)*(Trades!W$2:W$9999))*J27+SUM((Trades!T$2:T$9999=Blotter!C27)*(Trades!U$2:U$9999=Blotter!B27)*(Trades!X$2:X$9999))+(L27*I27)*J27</f>
        <v>-22667.760000000122</v>
      </c>
      <c r="O27" s="29">
        <f>VLOOKUP(D27,Multiplier!B:H,3,0)</f>
        <v>0.82499999999999996</v>
      </c>
      <c r="P27" s="27">
        <v>0.64</v>
      </c>
      <c r="Q27" s="27">
        <v>1</v>
      </c>
      <c r="R27" s="28">
        <f t="shared" si="4"/>
        <v>0</v>
      </c>
      <c r="S27" s="29">
        <f t="shared" si="5"/>
        <v>0</v>
      </c>
      <c r="T27" s="3">
        <f t="shared" si="6"/>
        <v>0</v>
      </c>
      <c r="U27" s="29">
        <f t="shared" si="7"/>
        <v>0</v>
      </c>
      <c r="V27" s="3">
        <f t="shared" si="8"/>
        <v>0</v>
      </c>
      <c r="X27" s="41">
        <f t="array" ref="X27">IF(ISNUMBER(SUM((Trades!T$2:T$9999=Blotter!C27)*(Trades!U$2:U$9999=Blotter!B27)*(Trades!W$2:W$9999)*(Trades!V$2:V$9999)*(Trades!V$2:V$9999&lt;0))/SUM((Trades!T$2:T$9999=Blotter!C27)*(Trades!U$2:U$9999=Blotter!B27)*(Trades!V$2:V$9999)*(Trades!V$2:V$9999&lt;0))),SUM((Trades!T$2:T$9999=Blotter!C27)*(Trades!U$2:U$9999=Blotter!B27)*(Trades!W$2:W$9999)*(Trades!V$2:V$9999)*(Trades!V$2:V$9999&lt;0))/SUM((Trades!T$2:T$9999=Blotter!C27)*(Trades!U$2:U$9999=Blotter!B27)*(Trades!V$2:V$9999)*(Trades!V$2:V$9999&lt;0)),0)</f>
        <v>23.151428571428571</v>
      </c>
      <c r="Y27" s="41">
        <f t="array" ref="Y27">IF(ISNUMBER(SUM((Trades!T$2:T$9999=Blotter!C27)*(Trades!U$2:U$9999=Blotter!B27)*(Trades!W$2:W$9999)*(Trades!V$2:V$9999)*(Trades!V$2:V$9999&gt;0))/SUM((Trades!T$2:T$9999=Blotter!C27)*(Trades!U$2:U$9999=Blotter!B27)*(Trades!V$2:V$9999)*(Trades!V$2:V$9999&gt;0))),SUM((Trades!T$2:T$9999=Blotter!C27)*(Trades!U$2:U$9999=Blotter!B27)*(Trades!W$2:W$9999)*(Trades!V$2:V$9999)*(Trades!V$2:V$9999&gt;0))/SUM((Trades!T$2:T$9999=Blotter!C27)*(Trades!U$2:U$9999=Blotter!B27)*(Trades!V$2:V$9999)*(Trades!V$2:V$9999&gt;0)),0)</f>
        <v>23.474285714285717</v>
      </c>
      <c r="Z27" s="42">
        <f>IF(C$2="Last",IF(ISNUMBER(VLOOKUP(B27,Data_IB!B:O,14,0)),VLOOKUP(B27,Data_IB!B:O,14,0),0),IF(ISNUMBER(VLOOKUP(B27,Data_IB!B:O,13,0)),VLOOKUP(B27,Data_IB!B:O,13,0),0))</f>
        <v>0</v>
      </c>
      <c r="AB27" s="29"/>
    </row>
    <row r="28" spans="2:28" x14ac:dyDescent="0.4">
      <c r="B28" s="9" t="s">
        <v>235</v>
      </c>
      <c r="C28" s="10">
        <v>6</v>
      </c>
      <c r="D28" s="10" t="s">
        <v>27</v>
      </c>
      <c r="E28" s="10" t="s">
        <v>200</v>
      </c>
      <c r="F28" s="10" t="s">
        <v>6</v>
      </c>
      <c r="G28" s="28">
        <f>IF(F28="Futures",VLOOKUP(D28,Multiplier!B:I,8,0),0)</f>
        <v>2</v>
      </c>
      <c r="H28" s="11">
        <v>3</v>
      </c>
      <c r="I28" s="29">
        <f t="array" ref="I28">SUM((Trades!V$2:V$9999)*(Trades!U$2:U$9999=Blotter!B28)*(Trades!$T$2:T$9999=Blotter!C28))</f>
        <v>0</v>
      </c>
      <c r="J28" s="28">
        <f>VLOOKUP(D28,Multiplier!B:D,2,0)</f>
        <v>5000</v>
      </c>
      <c r="K28" s="53">
        <f t="shared" si="1"/>
        <v>25.006949070559671</v>
      </c>
      <c r="L28" s="53">
        <f t="shared" si="2"/>
        <v>23.765127737226273</v>
      </c>
      <c r="M28" s="28">
        <f t="shared" si="3"/>
        <v>0</v>
      </c>
      <c r="N28" s="28">
        <f t="array" ref="N28">-SUM((Trades!T$2:T$9999=Blotter!C28)*(Trades!U$2:U$9999=Blotter!B28)*(Trades!V$2:V$9999)*(Trades!W$2:W$9999))*J28+SUM((Trades!T$2:T$9999=Blotter!C28)*(Trades!U$2:U$9999=Blotter!B28)*(Trades!X$2:X$9999))+(L28*I28)*J28</f>
        <v>-18627.320000000993</v>
      </c>
      <c r="O28" s="29">
        <f>VLOOKUP(D28,Multiplier!B:H,3,0)</f>
        <v>0.82499999999999996</v>
      </c>
      <c r="P28" s="27">
        <v>0.64</v>
      </c>
      <c r="Q28" s="27">
        <v>1</v>
      </c>
      <c r="R28" s="28">
        <f t="shared" si="4"/>
        <v>0</v>
      </c>
      <c r="S28" s="29">
        <f t="shared" si="5"/>
        <v>0</v>
      </c>
      <c r="T28" s="3">
        <f t="shared" si="6"/>
        <v>0</v>
      </c>
      <c r="U28" s="29">
        <f t="shared" si="7"/>
        <v>0</v>
      </c>
      <c r="V28" s="3">
        <f t="shared" si="8"/>
        <v>0</v>
      </c>
      <c r="X28" s="41">
        <f t="array" ref="X28">IF(ISNUMBER(SUM((Trades!T$2:T$9999=Blotter!C28)*(Trades!U$2:U$9999=Blotter!B28)*(Trades!W$2:W$9999)*(Trades!V$2:V$9999)*(Trades!V$2:V$9999&lt;0))/SUM((Trades!T$2:T$9999=Blotter!C28)*(Trades!U$2:U$9999=Blotter!B28)*(Trades!V$2:V$9999)*(Trades!V$2:V$9999&lt;0))),SUM((Trades!T$2:T$9999=Blotter!C28)*(Trades!U$2:U$9999=Blotter!B28)*(Trades!W$2:W$9999)*(Trades!V$2:V$9999)*(Trades!V$2:V$9999&lt;0))/SUM((Trades!T$2:T$9999=Blotter!C28)*(Trades!U$2:U$9999=Blotter!B28)*(Trades!V$2:V$9999)*(Trades!V$2:V$9999&lt;0)),0)</f>
        <v>23.765127737226273</v>
      </c>
      <c r="Y28" s="41">
        <f t="array" ref="Y28">IF(ISNUMBER(SUM((Trades!T$2:T$9999=Blotter!C28)*(Trades!U$2:U$9999=Blotter!B28)*(Trades!W$2:W$9999)*(Trades!V$2:V$9999)*(Trades!V$2:V$9999&gt;0))/SUM((Trades!T$2:T$9999=Blotter!C28)*(Trades!U$2:U$9999=Blotter!B28)*(Trades!V$2:V$9999)*(Trades!V$2:V$9999&gt;0))),SUM((Trades!T$2:T$9999=Blotter!C28)*(Trades!U$2:U$9999=Blotter!B28)*(Trades!W$2:W$9999)*(Trades!V$2:V$9999)*(Trades!V$2:V$9999&gt;0))/SUM((Trades!T$2:T$9999=Blotter!C28)*(Trades!U$2:U$9999=Blotter!B28)*(Trades!V$2:V$9999)*(Trades!V$2:V$9999&gt;0)),0)</f>
        <v>23.770958029197072</v>
      </c>
      <c r="Z28" s="42">
        <f>IF(C$2="Last",IF(ISNUMBER(VLOOKUP(B28,Data_IB!B:O,14,0)),VLOOKUP(B28,Data_IB!B:O,14,0),0),IF(ISNUMBER(VLOOKUP(B28,Data_IB!B:O,13,0)),VLOOKUP(B28,Data_IB!B:O,13,0),0))</f>
        <v>0</v>
      </c>
      <c r="AB28" s="29"/>
    </row>
    <row r="29" spans="2:28" x14ac:dyDescent="0.4">
      <c r="B29" s="9" t="s">
        <v>278</v>
      </c>
      <c r="C29" s="10">
        <v>6</v>
      </c>
      <c r="D29" s="10" t="s">
        <v>27</v>
      </c>
      <c r="E29" s="10" t="s">
        <v>200</v>
      </c>
      <c r="F29" s="10" t="s">
        <v>6</v>
      </c>
      <c r="G29" s="28">
        <f>IF(F29="Futures",VLOOKUP(D29,Multiplier!B:I,8,0),0)</f>
        <v>2</v>
      </c>
      <c r="H29" s="11">
        <v>3</v>
      </c>
      <c r="I29" s="29">
        <f t="array" ref="I29">SUM((Trades!V$2:V$9999)*(Trades!U$2:U$9999=Blotter!B29)*(Trades!$T$2:T$9999=Blotter!C29))</f>
        <v>0</v>
      </c>
      <c r="J29" s="28">
        <f>VLOOKUP(D29,Multiplier!B:D,2,0)</f>
        <v>5000</v>
      </c>
      <c r="K29" s="53">
        <f t="shared" si="1"/>
        <v>28.300640736671831</v>
      </c>
      <c r="L29" s="53">
        <f t="shared" si="2"/>
        <v>23.567576736672052</v>
      </c>
      <c r="M29" s="28">
        <f t="shared" si="3"/>
        <v>0</v>
      </c>
      <c r="N29" s="28">
        <f t="array" ref="N29">-SUM((Trades!T$2:T$9999=Blotter!C29)*(Trades!U$2:U$9999=Blotter!B29)*(Trades!V$2:V$9999)*(Trades!W$2:W$9999))*J29+SUM((Trades!T$2:T$9999=Blotter!C29)*(Trades!U$2:U$9999=Blotter!B29)*(Trades!X$2:X$9999))+(L29*I29)*J29</f>
        <v>-70995.959999996689</v>
      </c>
      <c r="O29" s="29">
        <f>VLOOKUP(D29,Multiplier!B:H,3,0)</f>
        <v>0.82499999999999996</v>
      </c>
      <c r="P29" s="27">
        <v>0.64</v>
      </c>
      <c r="Q29" s="27">
        <v>1</v>
      </c>
      <c r="R29" s="28">
        <f t="shared" si="4"/>
        <v>0</v>
      </c>
      <c r="S29" s="29">
        <f t="shared" si="5"/>
        <v>0</v>
      </c>
      <c r="T29" s="3">
        <f t="shared" si="6"/>
        <v>0</v>
      </c>
      <c r="U29" s="29">
        <f t="shared" si="7"/>
        <v>0</v>
      </c>
      <c r="V29" s="3">
        <f t="shared" si="8"/>
        <v>0</v>
      </c>
      <c r="X29" s="41">
        <f t="array" ref="X29">IF(ISNUMBER(SUM((Trades!T$2:T$9999=Blotter!C29)*(Trades!U$2:U$9999=Blotter!B29)*(Trades!W$2:W$9999)*(Trades!V$2:V$9999)*(Trades!V$2:V$9999&lt;0))/SUM((Trades!T$2:T$9999=Blotter!C29)*(Trades!U$2:U$9999=Blotter!B29)*(Trades!V$2:V$9999)*(Trades!V$2:V$9999&lt;0))),SUM((Trades!T$2:T$9999=Blotter!C29)*(Trades!U$2:U$9999=Blotter!B29)*(Trades!W$2:W$9999)*(Trades!V$2:V$9999)*(Trades!V$2:V$9999&lt;0))/SUM((Trades!T$2:T$9999=Blotter!C29)*(Trades!U$2:U$9999=Blotter!B29)*(Trades!V$2:V$9999)*(Trades!V$2:V$9999&lt;0)),0)</f>
        <v>23.567576736672052</v>
      </c>
      <c r="Y29" s="41">
        <f t="array" ref="Y29">IF(ISNUMBER(SUM((Trades!T$2:T$9999=Blotter!C29)*(Trades!U$2:U$9999=Blotter!B29)*(Trades!W$2:W$9999)*(Trades!V$2:V$9999)*(Trades!V$2:V$9999&gt;0))/SUM((Trades!T$2:T$9999=Blotter!C29)*(Trades!U$2:U$9999=Blotter!B29)*(Trades!V$2:V$9999)*(Trades!V$2:V$9999&gt;0))),SUM((Trades!T$2:T$9999=Blotter!C29)*(Trades!U$2:U$9999=Blotter!B29)*(Trades!W$2:W$9999)*(Trades!V$2:V$9999)*(Trades!V$2:V$9999&gt;0))/SUM((Trades!T$2:T$9999=Blotter!C29)*(Trades!U$2:U$9999=Blotter!B29)*(Trades!V$2:V$9999)*(Trades!V$2:V$9999&gt;0)),0)</f>
        <v>23.589547657512121</v>
      </c>
      <c r="Z29" s="42">
        <f>IF(C$2="Last",IF(ISNUMBER(VLOOKUP(B29,Data_IB!B:O,14,0)),VLOOKUP(B29,Data_IB!B:O,14,0),0),IF(ISNUMBER(VLOOKUP(B29,Data_IB!B:O,13,0)),VLOOKUP(B29,Data_IB!B:O,13,0),0))</f>
        <v>0</v>
      </c>
      <c r="AB29" s="29"/>
    </row>
    <row r="30" spans="2:28" x14ac:dyDescent="0.4">
      <c r="B30" s="9" t="s">
        <v>295</v>
      </c>
      <c r="C30" s="10">
        <v>6</v>
      </c>
      <c r="D30" s="10" t="s">
        <v>27</v>
      </c>
      <c r="E30" s="10" t="s">
        <v>200</v>
      </c>
      <c r="F30" s="10" t="s">
        <v>53</v>
      </c>
      <c r="G30" s="28">
        <f>IF(F30="Futures",VLOOKUP(D30,Multiplier!B:I,8,0),0)</f>
        <v>0</v>
      </c>
      <c r="H30" s="11">
        <v>-15</v>
      </c>
      <c r="I30" s="29">
        <f t="array" ref="I30">SUM((Trades!V$2:V$9999)*(Trades!U$2:U$9999=Blotter!B30)*(Trades!$T$2:T$9999=Blotter!C30))</f>
        <v>0</v>
      </c>
      <c r="J30" s="28">
        <f>VLOOKUP(D30,Multiplier!B:D,2,0)</f>
        <v>5000</v>
      </c>
      <c r="K30" s="53">
        <f t="shared" ref="K30:K32" si="9">L30-N30/(H30*J30)</f>
        <v>0.35905200000000004</v>
      </c>
      <c r="L30" s="53">
        <f t="shared" ref="L30:L54" si="10">IF(I30=0,IF(H30&gt;0,X30,Y30),Z30)</f>
        <v>0.13</v>
      </c>
      <c r="M30" s="28">
        <f t="shared" ref="M30:M32" si="11">I30*J30*L30</f>
        <v>0</v>
      </c>
      <c r="N30" s="28">
        <f t="array" ref="N30">-SUM((Trades!T$2:T$9999=Blotter!C30)*(Trades!U$2:U$9999=Blotter!B30)*(Trades!V$2:V$9999)*(Trades!W$2:W$9999))*J30+SUM((Trades!T$2:T$9999=Blotter!C30)*(Trades!U$2:U$9999=Blotter!B30)*(Trades!X$2:X$9999))+(L30*I30)*J30</f>
        <v>17178.900000000001</v>
      </c>
      <c r="O30" s="29">
        <f>VLOOKUP(D30,Multiplier!B:H,3,0)</f>
        <v>0.82499999999999996</v>
      </c>
      <c r="P30" s="27">
        <v>0.36</v>
      </c>
      <c r="Q30" s="27">
        <v>1</v>
      </c>
      <c r="R30" s="28">
        <f t="shared" si="4"/>
        <v>0</v>
      </c>
      <c r="S30" s="29">
        <f t="shared" si="5"/>
        <v>0</v>
      </c>
      <c r="T30" s="3">
        <f t="shared" si="6"/>
        <v>0</v>
      </c>
      <c r="U30" s="29">
        <f t="shared" si="7"/>
        <v>0</v>
      </c>
      <c r="V30" s="3">
        <f t="shared" si="8"/>
        <v>0</v>
      </c>
      <c r="X30" s="41">
        <f t="array" ref="X30">IF(ISNUMBER(SUM((Trades!T$2:T$9999=Blotter!C30)*(Trades!U$2:U$9999=Blotter!B30)*(Trades!W$2:W$9999)*(Trades!V$2:V$9999)*(Trades!V$2:V$9999&lt;0))/SUM((Trades!T$2:T$9999=Blotter!C30)*(Trades!U$2:U$9999=Blotter!B30)*(Trades!V$2:V$9999)*(Trades!V$2:V$9999&lt;0))),SUM((Trades!T$2:T$9999=Blotter!C30)*(Trades!U$2:U$9999=Blotter!B30)*(Trades!W$2:W$9999)*(Trades!V$2:V$9999)*(Trades!V$2:V$9999&lt;0))/SUM((Trades!T$2:T$9999=Blotter!C30)*(Trades!U$2:U$9999=Blotter!B30)*(Trades!V$2:V$9999)*(Trades!V$2:V$9999&lt;0)),0)</f>
        <v>0.36000000000000004</v>
      </c>
      <c r="Y30" s="41">
        <f t="array" ref="Y30">IF(ISNUMBER(SUM((Trades!T$2:T$9999=Blotter!C30)*(Trades!U$2:U$9999=Blotter!B30)*(Trades!W$2:W$9999)*(Trades!V$2:V$9999)*(Trades!V$2:V$9999&gt;0))/SUM((Trades!T$2:T$9999=Blotter!C30)*(Trades!U$2:U$9999=Blotter!B30)*(Trades!V$2:V$9999)*(Trades!V$2:V$9999&gt;0))),SUM((Trades!T$2:T$9999=Blotter!C30)*(Trades!U$2:U$9999=Blotter!B30)*(Trades!W$2:W$9999)*(Trades!V$2:V$9999)*(Trades!V$2:V$9999&gt;0))/SUM((Trades!T$2:T$9999=Blotter!C30)*(Trades!U$2:U$9999=Blotter!B30)*(Trades!V$2:V$9999)*(Trades!V$2:V$9999&gt;0)),0)</f>
        <v>0.13</v>
      </c>
      <c r="Z30" s="42">
        <f>IF(C$2="Last",IF(ISNUMBER(VLOOKUP(B30,Data_IB!B:O,14,0)),VLOOKUP(B30,Data_IB!B:O,14,0),0),IF(ISNUMBER(VLOOKUP(B30,Data_IB!B:O,13,0)),VLOOKUP(B30,Data_IB!B:O,13,0),0))</f>
        <v>0</v>
      </c>
      <c r="AB30" s="29"/>
    </row>
    <row r="31" spans="2:28" x14ac:dyDescent="0.4">
      <c r="B31" s="9" t="s">
        <v>293</v>
      </c>
      <c r="C31" s="10">
        <v>6</v>
      </c>
      <c r="D31" s="10" t="s">
        <v>27</v>
      </c>
      <c r="E31" s="10" t="s">
        <v>200</v>
      </c>
      <c r="F31" s="10" t="s">
        <v>132</v>
      </c>
      <c r="G31" s="28">
        <f>IF(F31="Futures",VLOOKUP(D31,Multiplier!B:I,8,0),0)</f>
        <v>0</v>
      </c>
      <c r="H31" s="11">
        <v>15</v>
      </c>
      <c r="I31" s="29">
        <f t="array" ref="I31">SUM((Trades!V$2:V$9999)*(Trades!U$2:U$9999=Blotter!B31)*(Trades!$T$2:T$9999=Blotter!C31))</f>
        <v>0</v>
      </c>
      <c r="J31" s="28">
        <f>VLOOKUP(D31,Multiplier!B:D,2,0)</f>
        <v>5000</v>
      </c>
      <c r="K31" s="53">
        <f t="shared" si="9"/>
        <v>0.34959733333333332</v>
      </c>
      <c r="L31" s="53">
        <f t="shared" si="10"/>
        <v>1.6850000000000001</v>
      </c>
      <c r="M31" s="28">
        <f t="shared" si="11"/>
        <v>0</v>
      </c>
      <c r="N31" s="28">
        <f t="array" ref="N31">-SUM((Trades!T$2:T$9999=Blotter!C31)*(Trades!U$2:U$9999=Blotter!B31)*(Trades!V$2:V$9999)*(Trades!W$2:W$9999))*J31+SUM((Trades!T$2:T$9999=Blotter!C31)*(Trades!U$2:U$9999=Blotter!B31)*(Trades!X$2:X$9999))+(L31*I31)*J31</f>
        <v>100155.2</v>
      </c>
      <c r="O31" s="29">
        <f>VLOOKUP(D31,Multiplier!B:H,3,0)</f>
        <v>0.82499999999999996</v>
      </c>
      <c r="P31" s="27">
        <f>0.52-0.23</f>
        <v>0.29000000000000004</v>
      </c>
      <c r="Q31" s="27">
        <v>1</v>
      </c>
      <c r="R31" s="28">
        <f t="shared" si="4"/>
        <v>0</v>
      </c>
      <c r="S31" s="29">
        <f t="shared" si="5"/>
        <v>0</v>
      </c>
      <c r="T31" s="3">
        <f t="shared" si="6"/>
        <v>0</v>
      </c>
      <c r="U31" s="29">
        <f t="shared" si="7"/>
        <v>0</v>
      </c>
      <c r="V31" s="3">
        <f t="shared" si="8"/>
        <v>0</v>
      </c>
      <c r="X31" s="41">
        <f t="array" ref="X31">IF(ISNUMBER(SUM((Trades!T$2:T$9999=Blotter!C31)*(Trades!U$2:U$9999=Blotter!B31)*(Trades!W$2:W$9999)*(Trades!V$2:V$9999)*(Trades!V$2:V$9999&lt;0))/SUM((Trades!T$2:T$9999=Blotter!C31)*(Trades!U$2:U$9999=Blotter!B31)*(Trades!V$2:V$9999)*(Trades!V$2:V$9999&lt;0))),SUM((Trades!T$2:T$9999=Blotter!C31)*(Trades!U$2:U$9999=Blotter!B31)*(Trades!W$2:W$9999)*(Trades!V$2:V$9999)*(Trades!V$2:V$9999&lt;0))/SUM((Trades!T$2:T$9999=Blotter!C31)*(Trades!U$2:U$9999=Blotter!B31)*(Trades!V$2:V$9999)*(Trades!V$2:V$9999&lt;0)),0)</f>
        <v>1.6850000000000001</v>
      </c>
      <c r="Y31" s="41">
        <f t="array" ref="Y31">IF(ISNUMBER(SUM((Trades!T$2:T$9999=Blotter!C31)*(Trades!U$2:U$9999=Blotter!B31)*(Trades!W$2:W$9999)*(Trades!V$2:V$9999)*(Trades!V$2:V$9999&gt;0))/SUM((Trades!T$2:T$9999=Blotter!C31)*(Trades!U$2:U$9999=Blotter!B31)*(Trades!V$2:V$9999)*(Trades!V$2:V$9999&gt;0))),SUM((Trades!T$2:T$9999=Blotter!C31)*(Trades!U$2:U$9999=Blotter!B31)*(Trades!W$2:W$9999)*(Trades!V$2:V$9999)*(Trades!V$2:V$9999&gt;0))/SUM((Trades!T$2:T$9999=Blotter!C31)*(Trades!U$2:U$9999=Blotter!B31)*(Trades!V$2:V$9999)*(Trades!V$2:V$9999&gt;0)),0)</f>
        <v>0.6825</v>
      </c>
      <c r="Z31" s="42">
        <f>IF(C$2="Last",IF(ISNUMBER(VLOOKUP(B31,Data_IB!B:O,14,0)),VLOOKUP(B31,Data_IB!B:O,14,0),0),IF(ISNUMBER(VLOOKUP(B31,Data_IB!B:O,13,0)),VLOOKUP(B31,Data_IB!B:O,13,0),0))</f>
        <v>0</v>
      </c>
      <c r="AB31" s="29"/>
    </row>
    <row r="32" spans="2:28" x14ac:dyDescent="0.4">
      <c r="B32" s="9" t="s">
        <v>297</v>
      </c>
      <c r="C32" s="10">
        <v>6</v>
      </c>
      <c r="D32" s="10" t="s">
        <v>27</v>
      </c>
      <c r="E32" s="10" t="s">
        <v>200</v>
      </c>
      <c r="F32" s="10" t="s">
        <v>132</v>
      </c>
      <c r="G32" s="28">
        <f>IF(F32="Futures",VLOOKUP(D32,Multiplier!B:I,8,0),0)</f>
        <v>0</v>
      </c>
      <c r="H32" s="11">
        <v>-15</v>
      </c>
      <c r="I32" s="29">
        <f t="array" ref="I32">SUM((Trades!V$2:V$9999)*(Trades!U$2:U$9999=Blotter!B32)*(Trades!$T$2:T$9999=Blotter!C32))</f>
        <v>0</v>
      </c>
      <c r="J32" s="28">
        <f>VLOOKUP(D32,Multiplier!B:D,2,0)</f>
        <v>5000</v>
      </c>
      <c r="K32" s="53">
        <f t="shared" si="9"/>
        <v>0.18105199999999999</v>
      </c>
      <c r="L32" s="53">
        <f t="shared" si="10"/>
        <v>0.24600000000000002</v>
      </c>
      <c r="M32" s="28">
        <f t="shared" si="11"/>
        <v>0</v>
      </c>
      <c r="N32" s="28">
        <f t="array" ref="N32">-SUM((Trades!T$2:T$9999=Blotter!C32)*(Trades!U$2:U$9999=Blotter!B32)*(Trades!V$2:V$9999)*(Trades!W$2:W$9999))*J32+SUM((Trades!T$2:T$9999=Blotter!C32)*(Trades!U$2:U$9999=Blotter!B32)*(Trades!X$2:X$9999))+(L32*I32)*J32</f>
        <v>-4871.1000000000031</v>
      </c>
      <c r="O32" s="29">
        <f>VLOOKUP(D32,Multiplier!B:H,3,0)</f>
        <v>0.82499999999999996</v>
      </c>
      <c r="P32" s="27">
        <v>0.182</v>
      </c>
      <c r="Q32" s="27">
        <v>1</v>
      </c>
      <c r="R32" s="28">
        <f t="shared" si="4"/>
        <v>0</v>
      </c>
      <c r="S32" s="29">
        <f t="shared" si="5"/>
        <v>0</v>
      </c>
      <c r="T32" s="3">
        <f t="shared" si="6"/>
        <v>0</v>
      </c>
      <c r="U32" s="29">
        <f t="shared" si="7"/>
        <v>0</v>
      </c>
      <c r="V32" s="3">
        <f t="shared" si="8"/>
        <v>0</v>
      </c>
      <c r="X32" s="41">
        <f t="array" ref="X32">IF(ISNUMBER(SUM((Trades!T$2:T$9999=Blotter!C32)*(Trades!U$2:U$9999=Blotter!B32)*(Trades!W$2:W$9999)*(Trades!V$2:V$9999)*(Trades!V$2:V$9999&lt;0))/SUM((Trades!T$2:T$9999=Blotter!C32)*(Trades!U$2:U$9999=Blotter!B32)*(Trades!V$2:V$9999)*(Trades!V$2:V$9999&lt;0))),SUM((Trades!T$2:T$9999=Blotter!C32)*(Trades!U$2:U$9999=Blotter!B32)*(Trades!W$2:W$9999)*(Trades!V$2:V$9999)*(Trades!V$2:V$9999&lt;0))/SUM((Trades!T$2:T$9999=Blotter!C32)*(Trades!U$2:U$9999=Blotter!B32)*(Trades!V$2:V$9999)*(Trades!V$2:V$9999&lt;0)),0)</f>
        <v>0.18199999999999997</v>
      </c>
      <c r="Y32" s="41">
        <f t="array" ref="Y32">IF(ISNUMBER(SUM((Trades!T$2:T$9999=Blotter!C32)*(Trades!U$2:U$9999=Blotter!B32)*(Trades!W$2:W$9999)*(Trades!V$2:V$9999)*(Trades!V$2:V$9999&gt;0))/SUM((Trades!T$2:T$9999=Blotter!C32)*(Trades!U$2:U$9999=Blotter!B32)*(Trades!V$2:V$9999)*(Trades!V$2:V$9999&gt;0))),SUM((Trades!T$2:T$9999=Blotter!C32)*(Trades!U$2:U$9999=Blotter!B32)*(Trades!W$2:W$9999)*(Trades!V$2:V$9999)*(Trades!V$2:V$9999&gt;0))/SUM((Trades!T$2:T$9999=Blotter!C32)*(Trades!U$2:U$9999=Blotter!B32)*(Trades!V$2:V$9999)*(Trades!V$2:V$9999&gt;0)),0)</f>
        <v>0.24600000000000002</v>
      </c>
      <c r="Z32" s="42">
        <f>IF(C$2="Last",IF(ISNUMBER(VLOOKUP(B32,Data_IB!B:O,14,0)),VLOOKUP(B32,Data_IB!B:O,14,0),0),IF(ISNUMBER(VLOOKUP(B32,Data_IB!B:O,13,0)),VLOOKUP(B32,Data_IB!B:O,13,0),0))</f>
        <v>0</v>
      </c>
      <c r="AB32" s="29"/>
    </row>
    <row r="33" spans="2:28" x14ac:dyDescent="0.4">
      <c r="B33" s="9" t="s">
        <v>351</v>
      </c>
      <c r="C33" s="10">
        <v>6</v>
      </c>
      <c r="D33" s="10" t="s">
        <v>27</v>
      </c>
      <c r="E33" s="10" t="s">
        <v>200</v>
      </c>
      <c r="F33" s="10" t="s">
        <v>132</v>
      </c>
      <c r="G33" s="28">
        <f>IF(F33="Futures",VLOOKUP(D33,Multiplier!B:I,8,0),0)</f>
        <v>0</v>
      </c>
      <c r="H33" s="11">
        <v>7</v>
      </c>
      <c r="I33" s="29">
        <f t="array" ref="I33">SUM((Trades!V$2:V$9999)*(Trades!U$2:U$9999=Blotter!B33)*(Trades!$T$2:T$9999=Blotter!C33))</f>
        <v>0</v>
      </c>
      <c r="J33" s="28">
        <f>VLOOKUP(D33,Multiplier!B:D,2,0)</f>
        <v>5000</v>
      </c>
      <c r="K33" s="53">
        <f t="shared" ref="K33:K34" si="12">L33-N33/(H33*J33)</f>
        <v>0.95096799999999992</v>
      </c>
      <c r="L33" s="53">
        <f t="shared" ref="L33:L34" si="13">IF(I33=0,IF(H33&gt;0,X33,Y33),Z33)</f>
        <v>9.9999999999999992E-2</v>
      </c>
      <c r="M33" s="28">
        <f t="shared" ref="M33:M34" si="14">I33*J33*L33</f>
        <v>0</v>
      </c>
      <c r="N33" s="28">
        <f t="array" ref="N33">-SUM((Trades!T$2:T$9999=Blotter!C33)*(Trades!U$2:U$9999=Blotter!B33)*(Trades!V$2:V$9999)*(Trades!W$2:W$9999))*J33+SUM((Trades!T$2:T$9999=Blotter!C33)*(Trades!U$2:U$9999=Blotter!B33)*(Trades!X$2:X$9999))+(L33*I33)*J33</f>
        <v>-29783.879999999997</v>
      </c>
      <c r="O33" s="29">
        <f>VLOOKUP(D33,Multiplier!B:H,3,0)</f>
        <v>0.82499999999999996</v>
      </c>
      <c r="P33" s="27">
        <v>0.95</v>
      </c>
      <c r="Q33" s="27"/>
      <c r="R33" s="28">
        <f t="shared" si="4"/>
        <v>33250</v>
      </c>
      <c r="S33" s="29">
        <f t="shared" si="5"/>
        <v>0</v>
      </c>
      <c r="T33" s="3">
        <f t="shared" si="6"/>
        <v>0</v>
      </c>
      <c r="U33" s="29">
        <f t="shared" si="7"/>
        <v>0</v>
      </c>
      <c r="V33" s="3">
        <f t="shared" si="8"/>
        <v>0</v>
      </c>
      <c r="X33" s="41">
        <f t="array" ref="X33">IF(ISNUMBER(SUM((Trades!T$2:T$9999=Blotter!C33)*(Trades!U$2:U$9999=Blotter!B33)*(Trades!W$2:W$9999)*(Trades!V$2:V$9999)*(Trades!V$2:V$9999&lt;0))/SUM((Trades!T$2:T$9999=Blotter!C33)*(Trades!U$2:U$9999=Blotter!B33)*(Trades!V$2:V$9999)*(Trades!V$2:V$9999&lt;0))),SUM((Trades!T$2:T$9999=Blotter!C33)*(Trades!U$2:U$9999=Blotter!B33)*(Trades!W$2:W$9999)*(Trades!V$2:V$9999)*(Trades!V$2:V$9999&lt;0))/SUM((Trades!T$2:T$9999=Blotter!C33)*(Trades!U$2:U$9999=Blotter!B33)*(Trades!V$2:V$9999)*(Trades!V$2:V$9999&lt;0)),0)</f>
        <v>9.9999999999999992E-2</v>
      </c>
      <c r="Y33" s="41">
        <f t="array" ref="Y33">IF(ISNUMBER(SUM((Trades!T$2:T$9999=Blotter!C33)*(Trades!U$2:U$9999=Blotter!B33)*(Trades!W$2:W$9999)*(Trades!V$2:V$9999)*(Trades!V$2:V$9999&gt;0))/SUM((Trades!T$2:T$9999=Blotter!C33)*(Trades!U$2:U$9999=Blotter!B33)*(Trades!V$2:V$9999)*(Trades!V$2:V$9999&gt;0))),SUM((Trades!T$2:T$9999=Blotter!C33)*(Trades!U$2:U$9999=Blotter!B33)*(Trades!W$2:W$9999)*(Trades!V$2:V$9999)*(Trades!V$2:V$9999&gt;0))/SUM((Trades!T$2:T$9999=Blotter!C33)*(Trades!U$2:U$9999=Blotter!B33)*(Trades!V$2:V$9999)*(Trades!V$2:V$9999&gt;0)),0)</f>
        <v>0.95</v>
      </c>
      <c r="Z33" s="42">
        <f>IF(C$2="Last",IF(ISNUMBER(VLOOKUP(B33,Data_IB!B:O,14,0)),VLOOKUP(B33,Data_IB!B:O,14,0),0),IF(ISNUMBER(VLOOKUP(B33,Data_IB!B:O,13,0)),VLOOKUP(B33,Data_IB!B:O,13,0),0))</f>
        <v>0</v>
      </c>
      <c r="AB33" s="29"/>
    </row>
    <row r="34" spans="2:28" x14ac:dyDescent="0.4">
      <c r="B34" s="9" t="s">
        <v>350</v>
      </c>
      <c r="C34" s="10">
        <v>6</v>
      </c>
      <c r="D34" s="10" t="s">
        <v>27</v>
      </c>
      <c r="E34" s="10" t="s">
        <v>200</v>
      </c>
      <c r="F34" s="10" t="s">
        <v>132</v>
      </c>
      <c r="G34" s="28">
        <f>IF(F34="Futures",VLOOKUP(D34,Multiplier!B:I,8,0),0)</f>
        <v>0</v>
      </c>
      <c r="H34" s="11">
        <v>-7</v>
      </c>
      <c r="I34" s="29">
        <f t="array" ref="I34">SUM((Trades!V$2:V$9999)*(Trades!U$2:U$9999=Blotter!B34)*(Trades!$T$2:T$9999=Blotter!C34))</f>
        <v>0</v>
      </c>
      <c r="J34" s="28">
        <f>VLOOKUP(D34,Multiplier!B:D,2,0)</f>
        <v>5000</v>
      </c>
      <c r="K34" s="53">
        <f t="shared" si="12"/>
        <v>0.37952599999999997</v>
      </c>
      <c r="L34" s="53">
        <f t="shared" si="13"/>
        <v>0</v>
      </c>
      <c r="M34" s="28">
        <f t="shared" si="14"/>
        <v>0</v>
      </c>
      <c r="N34" s="28">
        <f t="array" ref="N34">-SUM((Trades!T$2:T$9999=Blotter!C34)*(Trades!U$2:U$9999=Blotter!B34)*(Trades!V$2:V$9999)*(Trades!W$2:W$9999))*J34+SUM((Trades!T$2:T$9999=Blotter!C34)*(Trades!U$2:U$9999=Blotter!B34)*(Trades!X$2:X$9999))+(L34*I34)*J34</f>
        <v>13283.41</v>
      </c>
      <c r="O34" s="29">
        <f>VLOOKUP(D34,Multiplier!B:H,3,0)</f>
        <v>0.82499999999999996</v>
      </c>
      <c r="P34" s="27">
        <v>0.38</v>
      </c>
      <c r="Q34" s="27"/>
      <c r="R34" s="28">
        <f t="shared" si="4"/>
        <v>-13300</v>
      </c>
      <c r="S34" s="29">
        <f t="shared" si="5"/>
        <v>0</v>
      </c>
      <c r="T34" s="3">
        <f t="shared" si="6"/>
        <v>0</v>
      </c>
      <c r="U34" s="29">
        <f t="shared" si="7"/>
        <v>0</v>
      </c>
      <c r="V34" s="3">
        <f t="shared" si="8"/>
        <v>0</v>
      </c>
      <c r="X34" s="41">
        <f t="array" ref="X34">IF(ISNUMBER(SUM((Trades!T$2:T$9999=Blotter!C34)*(Trades!U$2:U$9999=Blotter!B34)*(Trades!W$2:W$9999)*(Trades!V$2:V$9999)*(Trades!V$2:V$9999&lt;0))/SUM((Trades!T$2:T$9999=Blotter!C34)*(Trades!U$2:U$9999=Blotter!B34)*(Trades!V$2:V$9999)*(Trades!V$2:V$9999&lt;0))),SUM((Trades!T$2:T$9999=Blotter!C34)*(Trades!U$2:U$9999=Blotter!B34)*(Trades!W$2:W$9999)*(Trades!V$2:V$9999)*(Trades!V$2:V$9999&lt;0))/SUM((Trades!T$2:T$9999=Blotter!C34)*(Trades!U$2:U$9999=Blotter!B34)*(Trades!V$2:V$9999)*(Trades!V$2:V$9999&lt;0)),0)</f>
        <v>0.38</v>
      </c>
      <c r="Y34" s="41">
        <f t="array" ref="Y34">IF(ISNUMBER(SUM((Trades!T$2:T$9999=Blotter!C34)*(Trades!U$2:U$9999=Blotter!B34)*(Trades!W$2:W$9999)*(Trades!V$2:V$9999)*(Trades!V$2:V$9999&gt;0))/SUM((Trades!T$2:T$9999=Blotter!C34)*(Trades!U$2:U$9999=Blotter!B34)*(Trades!V$2:V$9999)*(Trades!V$2:V$9999&gt;0))),SUM((Trades!T$2:T$9999=Blotter!C34)*(Trades!U$2:U$9999=Blotter!B34)*(Trades!W$2:W$9999)*(Trades!V$2:V$9999)*(Trades!V$2:V$9999&gt;0))/SUM((Trades!T$2:T$9999=Blotter!C34)*(Trades!U$2:U$9999=Blotter!B34)*(Trades!V$2:V$9999)*(Trades!V$2:V$9999&gt;0)),0)</f>
        <v>0</v>
      </c>
      <c r="Z34" s="42">
        <f>IF(C$2="Last",IF(ISNUMBER(VLOOKUP(B34,Data_IB!B:O,14,0)),VLOOKUP(B34,Data_IB!B:O,14,0),0),IF(ISNUMBER(VLOOKUP(B34,Data_IB!B:O,13,0)),VLOOKUP(B34,Data_IB!B:O,13,0),0))</f>
        <v>0</v>
      </c>
      <c r="AB34" s="29"/>
    </row>
    <row r="35" spans="2:28" x14ac:dyDescent="0.4">
      <c r="B35" s="9" t="s">
        <v>193</v>
      </c>
      <c r="C35" s="10">
        <v>8</v>
      </c>
      <c r="D35" s="10" t="s">
        <v>25</v>
      </c>
      <c r="E35" s="10" t="s">
        <v>200</v>
      </c>
      <c r="F35" s="10" t="s">
        <v>6</v>
      </c>
      <c r="G35" s="28">
        <f>IF(F35="Futures",VLOOKUP(D35,Multiplier!B:I,8,0),0)</f>
        <v>6</v>
      </c>
      <c r="H35" s="11">
        <v>4</v>
      </c>
      <c r="I35" s="29">
        <f t="array" ref="I35">SUM((Trades!V$2:V$9999)*(Trades!U$2:U$9999=Blotter!B35)*(Trades!$T$2:T$9999=Blotter!C35))</f>
        <v>0</v>
      </c>
      <c r="J35" s="28">
        <f>VLOOKUP(D35,Multiplier!B:D,2,0)</f>
        <v>25000</v>
      </c>
      <c r="K35" s="53">
        <f t="shared" si="1"/>
        <v>3.741373733333333</v>
      </c>
      <c r="L35" s="53">
        <f t="shared" si="10"/>
        <v>3.7753333333333328</v>
      </c>
      <c r="M35" s="28">
        <f t="shared" si="3"/>
        <v>0</v>
      </c>
      <c r="N35" s="28">
        <f t="array" ref="N35">-SUM((Trades!T$2:T$9999=Blotter!C35)*(Trades!U$2:U$9999=Blotter!B35)*(Trades!V$2:V$9999)*(Trades!W$2:W$9999))*J35+SUM((Trades!T$2:T$9999=Blotter!C35)*(Trades!U$2:U$9999=Blotter!B35)*(Trades!X$2:X$9999))+(L35*I35)*J35</f>
        <v>3395.9599999999668</v>
      </c>
      <c r="O35" s="29">
        <f>VLOOKUP(D35,Multiplier!B:H,3,0)</f>
        <v>7.0800000000000002E-2</v>
      </c>
      <c r="P35" s="27">
        <v>0.09</v>
      </c>
      <c r="Q35" s="27">
        <v>1</v>
      </c>
      <c r="R35" s="28">
        <f t="shared" si="4"/>
        <v>0</v>
      </c>
      <c r="S35" s="29">
        <f t="shared" si="5"/>
        <v>0</v>
      </c>
      <c r="T35" s="3">
        <f t="shared" si="6"/>
        <v>0</v>
      </c>
      <c r="U35" s="29">
        <f t="shared" si="7"/>
        <v>0</v>
      </c>
      <c r="V35" s="3">
        <f t="shared" si="8"/>
        <v>0</v>
      </c>
      <c r="X35" s="41">
        <f t="array" ref="X35">IF(ISNUMBER(SUM((Trades!T$2:T$9999=Blotter!C35)*(Trades!U$2:U$9999=Blotter!B35)*(Trades!W$2:W$9999)*(Trades!V$2:V$9999)*(Trades!V$2:V$9999&lt;0))/SUM((Trades!T$2:T$9999=Blotter!C35)*(Trades!U$2:U$9999=Blotter!B35)*(Trades!V$2:V$9999)*(Trades!V$2:V$9999&lt;0))),SUM((Trades!T$2:T$9999=Blotter!C35)*(Trades!U$2:U$9999=Blotter!B35)*(Trades!W$2:W$9999)*(Trades!V$2:V$9999)*(Trades!V$2:V$9999&lt;0))/SUM((Trades!T$2:T$9999=Blotter!C35)*(Trades!U$2:U$9999=Blotter!B35)*(Trades!V$2:V$9999)*(Trades!V$2:V$9999&lt;0)),0)</f>
        <v>3.7753333333333328</v>
      </c>
      <c r="Y35" s="41">
        <f t="array" ref="Y35">IF(ISNUMBER(SUM((Trades!T$2:T$9999=Blotter!C35)*(Trades!U$2:U$9999=Blotter!B35)*(Trades!W$2:W$9999)*(Trades!V$2:V$9999)*(Trades!V$2:V$9999&gt;0))/SUM((Trades!T$2:T$9999=Blotter!C35)*(Trades!U$2:U$9999=Blotter!B35)*(Trades!V$2:V$9999)*(Trades!V$2:V$9999&gt;0))),SUM((Trades!T$2:T$9999=Blotter!C35)*(Trades!U$2:U$9999=Blotter!B35)*(Trades!W$2:W$9999)*(Trades!V$2:V$9999)*(Trades!V$2:V$9999&gt;0))/SUM((Trades!T$2:T$9999=Blotter!C35)*(Trades!U$2:U$9999=Blotter!B35)*(Trades!V$2:V$9999)*(Trades!V$2:V$9999&gt;0)),0)</f>
        <v>3.7524999999999999</v>
      </c>
      <c r="Z35" s="42">
        <f>IF(C$2="Last",IF(ISNUMBER(VLOOKUP(B35,Data_IB!B:O,14,0)),VLOOKUP(B35,Data_IB!B:O,14,0),0),IF(ISNUMBER(VLOOKUP(B35,Data_IB!B:O,13,0)),VLOOKUP(B35,Data_IB!B:O,13,0),0))</f>
        <v>0</v>
      </c>
      <c r="AB35" s="87"/>
    </row>
    <row r="36" spans="2:28" x14ac:dyDescent="0.4">
      <c r="B36" s="9" t="s">
        <v>233</v>
      </c>
      <c r="C36" s="10">
        <v>8</v>
      </c>
      <c r="D36" s="10" t="s">
        <v>25</v>
      </c>
      <c r="E36" s="10" t="s">
        <v>200</v>
      </c>
      <c r="F36" s="10" t="s">
        <v>6</v>
      </c>
      <c r="G36" s="28">
        <f>IF(F36="Futures",VLOOKUP(D36,Multiplier!B:I,8,0),0)</f>
        <v>6</v>
      </c>
      <c r="H36" s="11">
        <v>4</v>
      </c>
      <c r="I36" s="29">
        <f t="array" ref="I36">SUM((Trades!V$2:V$9999)*(Trades!U$2:U$9999=Blotter!B36)*(Trades!$T$2:T$9999=Blotter!C36))</f>
        <v>0</v>
      </c>
      <c r="J36" s="28">
        <f>VLOOKUP(D36,Multiplier!B:D,2,0)</f>
        <v>25000</v>
      </c>
      <c r="K36" s="53">
        <f t="shared" si="1"/>
        <v>3.5744980571428613</v>
      </c>
      <c r="L36" s="29">
        <f t="shared" si="10"/>
        <v>3.7596428571428571</v>
      </c>
      <c r="M36" s="28">
        <f t="shared" si="3"/>
        <v>0</v>
      </c>
      <c r="N36" s="28">
        <f t="array" ref="N36">-SUM((Trades!T$2:T$9999=Blotter!C36)*(Trades!U$2:U$9999=Blotter!B36)*(Trades!V$2:V$9999)*(Trades!W$2:W$9999))*J36+SUM((Trades!T$2:T$9999=Blotter!C36)*(Trades!U$2:U$9999=Blotter!B36)*(Trades!X$2:X$9999))+(L36*I36)*J36</f>
        <v>18514.479999999567</v>
      </c>
      <c r="O36" s="29">
        <f>VLOOKUP(D36,Multiplier!B:H,3,0)</f>
        <v>7.0800000000000002E-2</v>
      </c>
      <c r="P36" s="27">
        <v>0.09</v>
      </c>
      <c r="Q36" s="27"/>
      <c r="R36" s="28">
        <f t="shared" si="4"/>
        <v>9000</v>
      </c>
      <c r="S36" s="29">
        <f t="shared" si="5"/>
        <v>0</v>
      </c>
      <c r="T36" s="3">
        <f t="shared" si="6"/>
        <v>0</v>
      </c>
      <c r="U36" s="29">
        <f t="shared" si="7"/>
        <v>0</v>
      </c>
      <c r="V36" s="3">
        <f t="shared" si="8"/>
        <v>0</v>
      </c>
      <c r="X36" s="41">
        <f t="array" ref="X36">IF(ISNUMBER(SUM((Trades!T$2:T$9999=Blotter!C36)*(Trades!U$2:U$9999=Blotter!B36)*(Trades!W$2:W$9999)*(Trades!V$2:V$9999)*(Trades!V$2:V$9999&lt;0))/SUM((Trades!T$2:T$9999=Blotter!C36)*(Trades!U$2:U$9999=Blotter!B36)*(Trades!V$2:V$9999)*(Trades!V$2:V$9999&lt;0))),SUM((Trades!T$2:T$9999=Blotter!C36)*(Trades!U$2:U$9999=Blotter!B36)*(Trades!W$2:W$9999)*(Trades!V$2:V$9999)*(Trades!V$2:V$9999&lt;0))/SUM((Trades!T$2:T$9999=Blotter!C36)*(Trades!U$2:U$9999=Blotter!B36)*(Trades!V$2:V$9999)*(Trades!V$2:V$9999&lt;0)),0)</f>
        <v>3.7596428571428571</v>
      </c>
      <c r="Y36" s="41">
        <f t="array" ref="Y36">IF(ISNUMBER(SUM((Trades!T$2:T$9999=Blotter!C36)*(Trades!U$2:U$9999=Blotter!B36)*(Trades!W$2:W$9999)*(Trades!V$2:V$9999)*(Trades!V$2:V$9999&gt;0))/SUM((Trades!T$2:T$9999=Blotter!C36)*(Trades!U$2:U$9999=Blotter!B36)*(Trades!V$2:V$9999)*(Trades!V$2:V$9999&gt;0))),SUM((Trades!T$2:T$9999=Blotter!C36)*(Trades!U$2:U$9999=Blotter!B36)*(Trades!W$2:W$9999)*(Trades!V$2:V$9999)*(Trades!V$2:V$9999&gt;0))/SUM((Trades!T$2:T$9999=Blotter!C36)*(Trades!U$2:U$9999=Blotter!B36)*(Trades!V$2:V$9999)*(Trades!V$2:V$9999&gt;0)),0)</f>
        <v>3.7330000000000001</v>
      </c>
      <c r="Z36" s="42">
        <f>IF(C$2="Last",IF(ISNUMBER(VLOOKUP(B36,Data_IB!B:O,14,0)),VLOOKUP(B36,Data_IB!B:O,14,0),0),IF(ISNUMBER(VLOOKUP(B36,Data_IB!B:O,13,0)),VLOOKUP(B36,Data_IB!B:O,13,0),0))</f>
        <v>0</v>
      </c>
      <c r="AB36" s="29"/>
    </row>
    <row r="37" spans="2:28" x14ac:dyDescent="0.4">
      <c r="B37" s="9" t="s">
        <v>196</v>
      </c>
      <c r="C37" s="10">
        <v>9</v>
      </c>
      <c r="D37" s="10" t="s">
        <v>195</v>
      </c>
      <c r="E37" s="10" t="s">
        <v>199</v>
      </c>
      <c r="F37" s="10" t="s">
        <v>132</v>
      </c>
      <c r="G37" s="28">
        <f>IF(F37="Futures",VLOOKUP(D37,Multiplier!B:I,8,0),0)</f>
        <v>0</v>
      </c>
      <c r="H37" s="11">
        <v>70</v>
      </c>
      <c r="I37" s="29">
        <f t="array" ref="I37">SUM((Trades!V$2:V$9999)*(Trades!U$2:U$9999=Blotter!B37)*(Trades!$T$2:T$9999=Blotter!C37))</f>
        <v>0</v>
      </c>
      <c r="J37" s="28">
        <f>VLOOKUP(D37,Multiplier!B:D,2,0)</f>
        <v>100</v>
      </c>
      <c r="K37" s="53">
        <f t="shared" si="1"/>
        <v>1.3962474285714286</v>
      </c>
      <c r="L37" s="29">
        <f t="shared" si="10"/>
        <v>2.3250000000000002</v>
      </c>
      <c r="M37" s="28">
        <f t="shared" si="3"/>
        <v>0</v>
      </c>
      <c r="N37" s="28">
        <f t="array" ref="N37">-SUM((Trades!T$2:T$9999=Blotter!C37)*(Trades!U$2:U$9999=Blotter!B37)*(Trades!V$2:V$9999)*(Trades!W$2:W$9999))*J37+SUM((Trades!T$2:T$9999=Blotter!C37)*(Trades!U$2:U$9999=Blotter!B37)*(Trades!X$2:X$9999))+(L37*I37)*J37</f>
        <v>6501.2680000000009</v>
      </c>
      <c r="O37" s="29">
        <f>VLOOKUP(D37,Multiplier!B:H,3,0)</f>
        <v>0.3075</v>
      </c>
      <c r="P37" s="27">
        <v>1.4</v>
      </c>
      <c r="Q37" s="27"/>
      <c r="R37" s="28">
        <f t="shared" si="4"/>
        <v>9800</v>
      </c>
      <c r="S37" s="29">
        <f t="shared" si="5"/>
        <v>0</v>
      </c>
      <c r="T37" s="3">
        <f t="shared" si="6"/>
        <v>0</v>
      </c>
      <c r="U37" s="29">
        <f t="shared" si="7"/>
        <v>0</v>
      </c>
      <c r="V37" s="3">
        <f t="shared" si="8"/>
        <v>0</v>
      </c>
      <c r="X37" s="41">
        <f t="array" ref="X37">IF(ISNUMBER(SUM((Trades!T$2:T$9999=Blotter!C37)*(Trades!U$2:U$9999=Blotter!B37)*(Trades!W$2:W$9999)*(Trades!V$2:V$9999)*(Trades!V$2:V$9999&lt;0))/SUM((Trades!T$2:T$9999=Blotter!C37)*(Trades!U$2:U$9999=Blotter!B37)*(Trades!V$2:V$9999)*(Trades!V$2:V$9999&lt;0))),SUM((Trades!T$2:T$9999=Blotter!C37)*(Trades!U$2:U$9999=Blotter!B37)*(Trades!W$2:W$9999)*(Trades!V$2:V$9999)*(Trades!V$2:V$9999&lt;0))/SUM((Trades!T$2:T$9999=Blotter!C37)*(Trades!U$2:U$9999=Blotter!B37)*(Trades!V$2:V$9999)*(Trades!V$2:V$9999&lt;0)),0)</f>
        <v>2.3250000000000002</v>
      </c>
      <c r="Y37" s="41">
        <f t="array" ref="Y37">IF(ISNUMBER(SUM((Trades!T$2:T$9999=Blotter!C37)*(Trades!U$2:U$9999=Blotter!B37)*(Trades!W$2:W$9999)*(Trades!V$2:V$9999)*(Trades!V$2:V$9999&gt;0))/SUM((Trades!T$2:T$9999=Blotter!C37)*(Trades!U$2:U$9999=Blotter!B37)*(Trades!V$2:V$9999)*(Trades!V$2:V$9999&gt;0))),SUM((Trades!T$2:T$9999=Blotter!C37)*(Trades!U$2:U$9999=Blotter!B37)*(Trades!W$2:W$9999)*(Trades!V$2:V$9999)*(Trades!V$2:V$9999&gt;0))/SUM((Trades!T$2:T$9999=Blotter!C37)*(Trades!U$2:U$9999=Blotter!B37)*(Trades!V$2:V$9999)*(Trades!V$2:V$9999&gt;0)),0)</f>
        <v>1.3985714285714286</v>
      </c>
      <c r="Z37" s="42">
        <f>IF(C$2="Last",IF(ISNUMBER(VLOOKUP(B37,Data_IB!B:O,14,0)),VLOOKUP(B37,Data_IB!B:O,14,0),0),IF(ISNUMBER(VLOOKUP(B37,Data_IB!B:O,13,0)),VLOOKUP(B37,Data_IB!B:O,13,0),0))</f>
        <v>0</v>
      </c>
      <c r="AB37" s="29"/>
    </row>
    <row r="38" spans="2:28" x14ac:dyDescent="0.4">
      <c r="B38" s="9" t="s">
        <v>202</v>
      </c>
      <c r="C38" s="10">
        <v>10</v>
      </c>
      <c r="D38" s="10" t="s">
        <v>4</v>
      </c>
      <c r="E38" s="10" t="s">
        <v>199</v>
      </c>
      <c r="F38" s="10" t="s">
        <v>53</v>
      </c>
      <c r="G38" s="28">
        <f>IF(F38="Futures",VLOOKUP(D38,Multiplier!B:I,8,0),0)</f>
        <v>0</v>
      </c>
      <c r="H38" s="11">
        <v>4</v>
      </c>
      <c r="I38" s="29">
        <f t="array" ref="I38">SUM((Trades!V$2:V$9999)*(Trades!U$2:U$9999=Blotter!B38)*(Trades!$T$2:T$9999=Blotter!C38))</f>
        <v>0</v>
      </c>
      <c r="J38" s="28">
        <f>VLOOKUP(D38,Multiplier!B:D,2,0)</f>
        <v>100</v>
      </c>
      <c r="K38" s="53">
        <f t="shared" si="1"/>
        <v>11.505413166666667</v>
      </c>
      <c r="L38" s="29">
        <f t="shared" si="10"/>
        <v>8.0666666666666664</v>
      </c>
      <c r="M38" s="28">
        <f t="shared" si="3"/>
        <v>0</v>
      </c>
      <c r="N38" s="28">
        <f t="array" ref="N38">-SUM((Trades!T$2:T$9999=Blotter!C38)*(Trades!U$2:U$9999=Blotter!B38)*(Trades!V$2:V$9999)*(Trades!W$2:W$9999))*J38+SUM((Trades!T$2:T$9999=Blotter!C38)*(Trades!U$2:U$9999=Blotter!B38)*(Trades!X$2:X$9999))+(L38*I38)*J38</f>
        <v>-1375.4985999999999</v>
      </c>
      <c r="O38" s="29">
        <f>VLOOKUP(D38,Multiplier!B:H,3,0)</f>
        <v>42</v>
      </c>
      <c r="P38" s="27">
        <v>8.5</v>
      </c>
      <c r="Q38" s="27"/>
      <c r="R38" s="28">
        <f t="shared" si="4"/>
        <v>3400</v>
      </c>
      <c r="S38" s="29">
        <f t="shared" si="5"/>
        <v>0</v>
      </c>
      <c r="T38" s="3">
        <f t="shared" si="6"/>
        <v>0</v>
      </c>
      <c r="U38" s="29">
        <f t="shared" si="7"/>
        <v>0</v>
      </c>
      <c r="V38" s="3">
        <f t="shared" si="8"/>
        <v>0</v>
      </c>
      <c r="X38" s="41">
        <f t="array" ref="X38">IF(ISNUMBER(SUM((Trades!T$2:T$9999=Blotter!C38)*(Trades!U$2:U$9999=Blotter!B38)*(Trades!W$2:W$9999)*(Trades!V$2:V$9999)*(Trades!V$2:V$9999&lt;0))/SUM((Trades!T$2:T$9999=Blotter!C38)*(Trades!U$2:U$9999=Blotter!B38)*(Trades!V$2:V$9999)*(Trades!V$2:V$9999&lt;0))),SUM((Trades!T$2:T$9999=Blotter!C38)*(Trades!U$2:U$9999=Blotter!B38)*(Trades!W$2:W$9999)*(Trades!V$2:V$9999)*(Trades!V$2:V$9999&lt;0))/SUM((Trades!T$2:T$9999=Blotter!C38)*(Trades!U$2:U$9999=Blotter!B38)*(Trades!V$2:V$9999)*(Trades!V$2:V$9999&lt;0)),0)</f>
        <v>8.0666666666666664</v>
      </c>
      <c r="Y38" s="41">
        <f t="array" ref="Y38">IF(ISNUMBER(SUM((Trades!T$2:T$9999=Blotter!C38)*(Trades!U$2:U$9999=Blotter!B38)*(Trades!W$2:W$9999)*(Trades!V$2:V$9999)*(Trades!V$2:V$9999&gt;0))/SUM((Trades!T$2:T$9999=Blotter!C38)*(Trades!U$2:U$9999=Blotter!B38)*(Trades!V$2:V$9999)*(Trades!V$2:V$9999&gt;0))),SUM((Trades!T$2:T$9999=Blotter!C38)*(Trades!U$2:U$9999=Blotter!B38)*(Trades!W$2:W$9999)*(Trades!V$2:V$9999)*(Trades!V$2:V$9999&gt;0))/SUM((Trades!T$2:T$9999=Blotter!C38)*(Trades!U$2:U$9999=Blotter!B38)*(Trades!V$2:V$9999)*(Trades!V$2:V$9999&gt;0)),0)</f>
        <v>10.333333333333334</v>
      </c>
      <c r="Z38" s="42">
        <f>IF(C$2="Last",IF(ISNUMBER(VLOOKUP(B38,Data_IB!B:O,14,0)),VLOOKUP(B38,Data_IB!B:O,14,0),0),IF(ISNUMBER(VLOOKUP(B38,Data_IB!B:O,13,0)),VLOOKUP(B38,Data_IB!B:O,13,0),0))</f>
        <v>0</v>
      </c>
      <c r="AB38" s="29"/>
    </row>
    <row r="39" spans="2:28" x14ac:dyDescent="0.4">
      <c r="B39" s="9" t="s">
        <v>228</v>
      </c>
      <c r="C39" s="10">
        <v>11</v>
      </c>
      <c r="D39" s="10" t="s">
        <v>9</v>
      </c>
      <c r="E39" s="10" t="s">
        <v>200</v>
      </c>
      <c r="F39" s="10" t="s">
        <v>6</v>
      </c>
      <c r="G39" s="28">
        <f>IF(F39="Futures",VLOOKUP(D39,Multiplier!B:I,8,0),0)</f>
        <v>3</v>
      </c>
      <c r="H39" s="11">
        <v>2</v>
      </c>
      <c r="I39" s="29">
        <f t="array" ref="I39">SUM((Trades!V$2:V$9999)*(Trades!U$2:U$9999=Blotter!B39)*(Trades!$T$2:T$9999=Blotter!C39))</f>
        <v>0</v>
      </c>
      <c r="J39" s="28">
        <f>VLOOKUP(D39,Multiplier!B:D,2,0)</f>
        <v>42000</v>
      </c>
      <c r="K39" s="29">
        <f t="shared" si="1"/>
        <v>2.5053707142857142</v>
      </c>
      <c r="L39" s="29">
        <f t="shared" si="10"/>
        <v>2.5385000000000004</v>
      </c>
      <c r="M39" s="28">
        <f t="shared" si="3"/>
        <v>0</v>
      </c>
      <c r="N39" s="28">
        <f t="array" ref="N39">-SUM((Trades!T$2:T$9999=Blotter!C39)*(Trades!U$2:U$9999=Blotter!B39)*(Trades!V$2:V$9999)*(Trades!W$2:W$9999))*J39+SUM((Trades!T$2:T$9999=Blotter!C39)*(Trades!U$2:U$9999=Blotter!B39)*(Trades!X$2:X$9999))+(L39*I39)*J39</f>
        <v>2782.8600000000329</v>
      </c>
      <c r="O39" s="29">
        <f>VLOOKUP(D39,Multiplier!B:H,3,0)</f>
        <v>7.2499999999999995E-2</v>
      </c>
      <c r="P39" s="27">
        <v>0.1</v>
      </c>
      <c r="Q39" s="27"/>
      <c r="R39" s="28">
        <f t="shared" si="4"/>
        <v>8400</v>
      </c>
      <c r="S39" s="29">
        <f t="shared" si="5"/>
        <v>0</v>
      </c>
      <c r="T39" s="3">
        <f t="shared" si="6"/>
        <v>0</v>
      </c>
      <c r="U39" s="29">
        <f t="shared" si="7"/>
        <v>0</v>
      </c>
      <c r="V39" s="3">
        <f t="shared" si="8"/>
        <v>0</v>
      </c>
      <c r="X39" s="41">
        <f t="array" ref="X39">IF(ISNUMBER(SUM((Trades!T$2:T$9999=Blotter!C39)*(Trades!U$2:U$9999=Blotter!B39)*(Trades!W$2:W$9999)*(Trades!V$2:V$9999)*(Trades!V$2:V$9999&lt;0))/SUM((Trades!T$2:T$9999=Blotter!C39)*(Trades!U$2:U$9999=Blotter!B39)*(Trades!V$2:V$9999)*(Trades!V$2:V$9999&lt;0))),SUM((Trades!T$2:T$9999=Blotter!C39)*(Trades!U$2:U$9999=Blotter!B39)*(Trades!W$2:W$9999)*(Trades!V$2:V$9999)*(Trades!V$2:V$9999&lt;0))/SUM((Trades!T$2:T$9999=Blotter!C39)*(Trades!U$2:U$9999=Blotter!B39)*(Trades!V$2:V$9999)*(Trades!V$2:V$9999&lt;0)),0)</f>
        <v>2.5385000000000004</v>
      </c>
      <c r="Y39" s="41">
        <f t="array" ref="Y39">IF(ISNUMBER(SUM((Trades!T$2:T$9999=Blotter!C39)*(Trades!U$2:U$9999=Blotter!B39)*(Trades!W$2:W$9999)*(Trades!V$2:V$9999)*(Trades!V$2:V$9999&gt;0))/SUM((Trades!T$2:T$9999=Blotter!C39)*(Trades!U$2:U$9999=Blotter!B39)*(Trades!V$2:V$9999)*(Trades!V$2:V$9999&gt;0))),SUM((Trades!T$2:T$9999=Blotter!C39)*(Trades!U$2:U$9999=Blotter!B39)*(Trades!W$2:W$9999)*(Trades!V$2:V$9999)*(Trades!V$2:V$9999&gt;0))/SUM((Trades!T$2:T$9999=Blotter!C39)*(Trades!U$2:U$9999=Blotter!B39)*(Trades!V$2:V$9999)*(Trades!V$2:V$9999&gt;0)),0)</f>
        <v>2.5323636363636357</v>
      </c>
      <c r="Z39" s="42">
        <f>IF(C$2="Last",IF(ISNUMBER(VLOOKUP(B39,Data_IB!B:O,14,0)),VLOOKUP(B39,Data_IB!B:O,14,0),0),IF(ISNUMBER(VLOOKUP(B39,Data_IB!B:O,13,0)),VLOOKUP(B39,Data_IB!B:O,13,0),0))</f>
        <v>0</v>
      </c>
      <c r="AB39" s="29"/>
    </row>
    <row r="40" spans="2:28" x14ac:dyDescent="0.4">
      <c r="B40" s="9" t="s">
        <v>243</v>
      </c>
      <c r="C40" s="10">
        <v>13</v>
      </c>
      <c r="D40" s="10" t="s">
        <v>28</v>
      </c>
      <c r="E40" s="10" t="s">
        <v>200</v>
      </c>
      <c r="F40" s="10" t="s">
        <v>132</v>
      </c>
      <c r="G40" s="28">
        <f>IF(F40="Futures",VLOOKUP(D40,Multiplier!B:I,8,0),0)</f>
        <v>0</v>
      </c>
      <c r="H40" s="11">
        <v>12</v>
      </c>
      <c r="I40" s="29">
        <f t="array" ref="I40">SUM((Trades!V$2:V$9999)*(Trades!U$2:U$9999=Blotter!B40)*(Trades!$T$2:T$9999=Blotter!C40))</f>
        <v>0</v>
      </c>
      <c r="J40" s="28">
        <f>VLOOKUP(D40,Multiplier!B:D,2,0)</f>
        <v>50</v>
      </c>
      <c r="K40" s="29">
        <f t="shared" si="1"/>
        <v>8.5792000000000002</v>
      </c>
      <c r="L40" s="29">
        <f t="shared" si="10"/>
        <v>8.6666666666666661</v>
      </c>
      <c r="M40" s="28">
        <f t="shared" si="3"/>
        <v>0</v>
      </c>
      <c r="N40" s="28">
        <f t="array" ref="N40">-SUM((Trades!T$2:T$9999=Blotter!C40)*(Trades!U$2:U$9999=Blotter!B40)*(Trades!V$2:V$9999)*(Trades!W$2:W$9999))*J40+SUM((Trades!T$2:T$9999=Blotter!C40)*(Trades!U$2:U$9999=Blotter!B40)*(Trades!X$2:X$9999))+(L40*I40)*J40</f>
        <v>52.48</v>
      </c>
      <c r="O40" s="29">
        <f>VLOOKUP(D40,Multiplier!B:H,3,0)</f>
        <v>8.25</v>
      </c>
      <c r="P40" s="27">
        <v>8.5</v>
      </c>
      <c r="Q40" s="27"/>
      <c r="R40" s="28">
        <f t="shared" si="4"/>
        <v>5100</v>
      </c>
      <c r="S40" s="29">
        <f t="shared" si="5"/>
        <v>0</v>
      </c>
      <c r="T40" s="3">
        <f t="shared" si="6"/>
        <v>0</v>
      </c>
      <c r="U40" s="29">
        <f t="shared" si="7"/>
        <v>0</v>
      </c>
      <c r="V40" s="3">
        <f t="shared" si="8"/>
        <v>0</v>
      </c>
      <c r="X40" s="41">
        <f t="array" ref="X40">IF(ISNUMBER(SUM((Trades!T$2:T$9999=Blotter!C40)*(Trades!U$2:U$9999=Blotter!B40)*(Trades!W$2:W$9999)*(Trades!V$2:V$9999)*(Trades!V$2:V$9999&lt;0))/SUM((Trades!T$2:T$9999=Blotter!C40)*(Trades!U$2:U$9999=Blotter!B40)*(Trades!V$2:V$9999)*(Trades!V$2:V$9999&lt;0))),SUM((Trades!T$2:T$9999=Blotter!C40)*(Trades!U$2:U$9999=Blotter!B40)*(Trades!W$2:W$9999)*(Trades!V$2:V$9999)*(Trades!V$2:V$9999&lt;0))/SUM((Trades!T$2:T$9999=Blotter!C40)*(Trades!U$2:U$9999=Blotter!B40)*(Trades!V$2:V$9999)*(Trades!V$2:V$9999&lt;0)),0)</f>
        <v>8.6666666666666661</v>
      </c>
      <c r="Y40" s="41">
        <f t="array" ref="Y40">IF(ISNUMBER(SUM((Trades!T$2:T$9999=Blotter!C40)*(Trades!U$2:U$9999=Blotter!B40)*(Trades!W$2:W$9999)*(Trades!V$2:V$9999)*(Trades!V$2:V$9999&gt;0))/SUM((Trades!T$2:T$9999=Blotter!C40)*(Trades!U$2:U$9999=Blotter!B40)*(Trades!V$2:V$9999)*(Trades!V$2:V$9999&gt;0))),SUM((Trades!T$2:T$9999=Blotter!C40)*(Trades!U$2:U$9999=Blotter!B40)*(Trades!W$2:W$9999)*(Trades!V$2:V$9999)*(Trades!V$2:V$9999&gt;0))/SUM((Trades!T$2:T$9999=Blotter!C40)*(Trades!U$2:U$9999=Blotter!B40)*(Trades!V$2:V$9999)*(Trades!V$2:V$9999&gt;0)),0)</f>
        <v>8.5</v>
      </c>
      <c r="Z40" s="42">
        <f>IF(C$2="Last",IF(ISNUMBER(VLOOKUP(B40,Data_IB!B:O,14,0)),VLOOKUP(B40,Data_IB!B:O,14,0),0),IF(ISNUMBER(VLOOKUP(B40,Data_IB!B:O,13,0)),VLOOKUP(B40,Data_IB!B:O,13,0),0))</f>
        <v>0</v>
      </c>
    </row>
    <row r="41" spans="2:28" x14ac:dyDescent="0.4">
      <c r="B41" s="9" t="s">
        <v>241</v>
      </c>
      <c r="C41" s="10">
        <v>13</v>
      </c>
      <c r="D41" s="10" t="s">
        <v>28</v>
      </c>
      <c r="E41" s="10" t="s">
        <v>200</v>
      </c>
      <c r="F41" s="10" t="s">
        <v>6</v>
      </c>
      <c r="G41" s="28">
        <f>IF(F41="Futures",VLOOKUP(D41,Multiplier!B:I,8,0),0)</f>
        <v>24</v>
      </c>
      <c r="H41" s="11">
        <v>4</v>
      </c>
      <c r="I41" s="29">
        <f t="array" ref="I41">SUM((Trades!V$2:V$9999)*(Trades!U$2:U$9999=Blotter!B41)*(Trades!$T$2:T$9999=Blotter!C41))</f>
        <v>0</v>
      </c>
      <c r="J41" s="28">
        <f>VLOOKUP(D41,Multiplier!B:D,2,0)</f>
        <v>50</v>
      </c>
      <c r="K41" s="29">
        <f t="shared" si="1"/>
        <v>483.61880000000002</v>
      </c>
      <c r="L41" s="29">
        <f t="shared" si="10"/>
        <v>538</v>
      </c>
      <c r="M41" s="28">
        <f t="shared" si="3"/>
        <v>0</v>
      </c>
      <c r="N41" s="28">
        <f t="array" ref="N41">-SUM((Trades!T$2:T$9999=Blotter!C41)*(Trades!U$2:U$9999=Blotter!B41)*(Trades!V$2:V$9999)*(Trades!W$2:W$9999))*J41+SUM((Trades!T$2:T$9999=Blotter!C41)*(Trades!U$2:U$9999=Blotter!B41)*(Trades!X$2:X$9999))+(L41*I41)*J41</f>
        <v>10876.24</v>
      </c>
      <c r="O41" s="29">
        <f>VLOOKUP(D41,Multiplier!B:H,3,0)</f>
        <v>8.25</v>
      </c>
      <c r="P41" s="27">
        <v>13.5</v>
      </c>
      <c r="Q41" s="27">
        <v>1</v>
      </c>
      <c r="R41" s="28">
        <f t="shared" si="4"/>
        <v>0</v>
      </c>
      <c r="S41" s="29">
        <f t="shared" si="5"/>
        <v>0</v>
      </c>
      <c r="T41" s="3">
        <f t="shared" si="6"/>
        <v>0</v>
      </c>
      <c r="U41" s="29">
        <f t="shared" si="7"/>
        <v>0</v>
      </c>
      <c r="V41" s="3">
        <f t="shared" si="8"/>
        <v>0</v>
      </c>
      <c r="X41" s="41">
        <f t="array" ref="X41">IF(ISNUMBER(SUM((Trades!T$2:T$9999=Blotter!C41)*(Trades!U$2:U$9999=Blotter!B41)*(Trades!W$2:W$9999)*(Trades!V$2:V$9999)*(Trades!V$2:V$9999&lt;0))/SUM((Trades!T$2:T$9999=Blotter!C41)*(Trades!U$2:U$9999=Blotter!B41)*(Trades!V$2:V$9999)*(Trades!V$2:V$9999&lt;0))),SUM((Trades!T$2:T$9999=Blotter!C41)*(Trades!U$2:U$9999=Blotter!B41)*(Trades!W$2:W$9999)*(Trades!V$2:V$9999)*(Trades!V$2:V$9999&lt;0))/SUM((Trades!T$2:T$9999=Blotter!C41)*(Trades!U$2:U$9999=Blotter!B41)*(Trades!V$2:V$9999)*(Trades!V$2:V$9999&lt;0)),0)</f>
        <v>538</v>
      </c>
      <c r="Y41" s="41">
        <f t="array" ref="Y41">IF(ISNUMBER(SUM((Trades!T$2:T$9999=Blotter!C41)*(Trades!U$2:U$9999=Blotter!B41)*(Trades!W$2:W$9999)*(Trades!V$2:V$9999)*(Trades!V$2:V$9999&gt;0))/SUM((Trades!T$2:T$9999=Blotter!C41)*(Trades!U$2:U$9999=Blotter!B41)*(Trades!V$2:V$9999)*(Trades!V$2:V$9999&gt;0))),SUM((Trades!T$2:T$9999=Blotter!C41)*(Trades!U$2:U$9999=Blotter!B41)*(Trades!W$2:W$9999)*(Trades!V$2:V$9999)*(Trades!V$2:V$9999&gt;0))/SUM((Trades!T$2:T$9999=Blotter!C41)*(Trades!U$2:U$9999=Blotter!B41)*(Trades!V$2:V$9999)*(Trades!V$2:V$9999&gt;0)),0)</f>
        <v>483.5</v>
      </c>
      <c r="Z41" s="42">
        <f>IF(C$2="Last",IF(ISNUMBER(VLOOKUP(B41,Data_IB!B:O,14,0)),VLOOKUP(B41,Data_IB!B:O,14,0),0),IF(ISNUMBER(VLOOKUP(B41,Data_IB!B:O,13,0)),VLOOKUP(B41,Data_IB!B:O,13,0),0))</f>
        <v>0</v>
      </c>
    </row>
    <row r="42" spans="2:28" x14ac:dyDescent="0.4">
      <c r="B42" s="9" t="s">
        <v>261</v>
      </c>
      <c r="C42" s="10">
        <v>13</v>
      </c>
      <c r="D42" s="10" t="s">
        <v>28</v>
      </c>
      <c r="E42" s="10" t="s">
        <v>200</v>
      </c>
      <c r="F42" s="10" t="s">
        <v>6</v>
      </c>
      <c r="G42" s="28">
        <f>IF(F42="Futures",VLOOKUP(D42,Multiplier!B:I,8,0),0)</f>
        <v>24</v>
      </c>
      <c r="H42" s="11">
        <v>4</v>
      </c>
      <c r="I42" s="29">
        <f t="array" ref="I42">SUM((Trades!V$2:V$9999)*(Trades!U$2:U$9999=Blotter!B42)*(Trades!$T$2:T$9999=Blotter!C42))</f>
        <v>0</v>
      </c>
      <c r="J42" s="28">
        <f>VLOOKUP(D42,Multiplier!B:D,2,0)</f>
        <v>50</v>
      </c>
      <c r="K42" s="29">
        <f t="shared" si="1"/>
        <v>532.11879999999996</v>
      </c>
      <c r="L42" s="29">
        <f t="shared" si="10"/>
        <v>552</v>
      </c>
      <c r="M42" s="28">
        <f t="shared" si="3"/>
        <v>0</v>
      </c>
      <c r="N42" s="28">
        <f t="array" ref="N42">-SUM((Trades!T$2:T$9999=Blotter!C42)*(Trades!U$2:U$9999=Blotter!B42)*(Trades!V$2:V$9999)*(Trades!W$2:W$9999))*J42+SUM((Trades!T$2:T$9999=Blotter!C42)*(Trades!U$2:U$9999=Blotter!B42)*(Trades!X$2:X$9999))+(L42*I42)*J42</f>
        <v>3976.24</v>
      </c>
      <c r="O42" s="29">
        <f>VLOOKUP(D42,Multiplier!B:H,3,0)</f>
        <v>8.25</v>
      </c>
      <c r="P42" s="27">
        <v>13.5</v>
      </c>
      <c r="Q42" s="27"/>
      <c r="R42" s="28">
        <f t="shared" si="4"/>
        <v>2700</v>
      </c>
      <c r="S42" s="29">
        <f t="shared" si="5"/>
        <v>0</v>
      </c>
      <c r="T42" s="3">
        <f t="shared" si="6"/>
        <v>0</v>
      </c>
      <c r="U42" s="29">
        <f t="shared" si="7"/>
        <v>0</v>
      </c>
      <c r="V42" s="3">
        <f t="shared" si="8"/>
        <v>0</v>
      </c>
      <c r="X42" s="41">
        <f t="array" ref="X42">IF(ISNUMBER(SUM((Trades!T$2:T$9999=Blotter!C42)*(Trades!U$2:U$9999=Blotter!B42)*(Trades!W$2:W$9999)*(Trades!V$2:V$9999)*(Trades!V$2:V$9999&lt;0))/SUM((Trades!T$2:T$9999=Blotter!C42)*(Trades!U$2:U$9999=Blotter!B42)*(Trades!V$2:V$9999)*(Trades!V$2:V$9999&lt;0))),SUM((Trades!T$2:T$9999=Blotter!C42)*(Trades!U$2:U$9999=Blotter!B42)*(Trades!W$2:W$9999)*(Trades!V$2:V$9999)*(Trades!V$2:V$9999&lt;0))/SUM((Trades!T$2:T$9999=Blotter!C42)*(Trades!U$2:U$9999=Blotter!B42)*(Trades!V$2:V$9999)*(Trades!V$2:V$9999&lt;0)),0)</f>
        <v>552</v>
      </c>
      <c r="Y42" s="41">
        <f t="array" ref="Y42">IF(ISNUMBER(SUM((Trades!T$2:T$9999=Blotter!C42)*(Trades!U$2:U$9999=Blotter!B42)*(Trades!W$2:W$9999)*(Trades!V$2:V$9999)*(Trades!V$2:V$9999&gt;0))/SUM((Trades!T$2:T$9999=Blotter!C42)*(Trades!U$2:U$9999=Blotter!B42)*(Trades!V$2:V$9999)*(Trades!V$2:V$9999&gt;0))),SUM((Trades!T$2:T$9999=Blotter!C42)*(Trades!U$2:U$9999=Blotter!B42)*(Trades!W$2:W$9999)*(Trades!V$2:V$9999)*(Trades!V$2:V$9999&gt;0))/SUM((Trades!T$2:T$9999=Blotter!C42)*(Trades!U$2:U$9999=Blotter!B42)*(Trades!V$2:V$9999)*(Trades!V$2:V$9999&gt;0)),0)</f>
        <v>532</v>
      </c>
      <c r="Z42" s="42">
        <f>IF(C$2="Last",IF(ISNUMBER(VLOOKUP(B42,Data_IB!B:O,14,0)),VLOOKUP(B42,Data_IB!B:O,14,0),0),IF(ISNUMBER(VLOOKUP(B42,Data_IB!B:O,13,0)),VLOOKUP(B42,Data_IB!B:O,13,0),0))</f>
        <v>0</v>
      </c>
    </row>
    <row r="43" spans="2:28" x14ac:dyDescent="0.4">
      <c r="B43" s="9" t="s">
        <v>257</v>
      </c>
      <c r="C43" s="10">
        <v>14</v>
      </c>
      <c r="D43" s="10" t="s">
        <v>32</v>
      </c>
      <c r="E43" s="10" t="s">
        <v>200</v>
      </c>
      <c r="F43" s="10" t="s">
        <v>6</v>
      </c>
      <c r="G43" s="28">
        <f>IF(F43="Futures",VLOOKUP(D43,Multiplier!B:I,8,0),0)</f>
        <v>10</v>
      </c>
      <c r="H43" s="11">
        <v>14</v>
      </c>
      <c r="I43" s="29">
        <f t="array" ref="I43">SUM((Trades!V$2:V$9999)*(Trades!U$2:U$9999=Blotter!B43)*(Trades!$T$2:T$9999=Blotter!C43))</f>
        <v>0</v>
      </c>
      <c r="J43" s="28">
        <f>VLOOKUP(D43,Multiplier!B:D,2,0)</f>
        <v>1120</v>
      </c>
      <c r="K43" s="29">
        <f t="shared" si="1"/>
        <v>23.303107142857144</v>
      </c>
      <c r="L43" s="29">
        <f t="shared" si="10"/>
        <v>24.1875</v>
      </c>
      <c r="M43" s="28">
        <f t="shared" si="3"/>
        <v>0</v>
      </c>
      <c r="N43" s="28">
        <f t="array" ref="N43">-SUM((Trades!T$2:T$9999=Blotter!C43)*(Trades!U$2:U$9999=Blotter!B43)*(Trades!V$2:V$9999)*(Trades!W$2:W$9999))*J43+SUM((Trades!T$2:T$9999=Blotter!C43)*(Trades!U$2:U$9999=Blotter!B43)*(Trades!X$2:X$9999))+(L43*I43)*J43</f>
        <v>13867.27999999997</v>
      </c>
      <c r="O43" s="29">
        <f>VLOOKUP(D43,Multiplier!B:H,3,0)</f>
        <v>0.89</v>
      </c>
      <c r="P43" s="27">
        <v>0.63</v>
      </c>
      <c r="Q43" s="27"/>
      <c r="R43" s="28">
        <f t="shared" si="4"/>
        <v>9878.4</v>
      </c>
      <c r="S43" s="29">
        <f t="shared" si="5"/>
        <v>0</v>
      </c>
      <c r="T43" s="3">
        <f t="shared" si="6"/>
        <v>0</v>
      </c>
      <c r="U43" s="29">
        <f t="shared" si="7"/>
        <v>0</v>
      </c>
      <c r="V43" s="3">
        <f t="shared" si="8"/>
        <v>0</v>
      </c>
      <c r="X43" s="41">
        <f t="array" ref="X43">IF(ISNUMBER(SUM((Trades!T$2:T$9999=Blotter!C43)*(Trades!U$2:U$9999=Blotter!B43)*(Trades!W$2:W$9999)*(Trades!V$2:V$9999)*(Trades!V$2:V$9999&lt;0))/SUM((Trades!T$2:T$9999=Blotter!C43)*(Trades!U$2:U$9999=Blotter!B43)*(Trades!V$2:V$9999)*(Trades!V$2:V$9999&lt;0))),SUM((Trades!T$2:T$9999=Blotter!C43)*(Trades!U$2:U$9999=Blotter!B43)*(Trades!W$2:W$9999)*(Trades!V$2:V$9999)*(Trades!V$2:V$9999&lt;0))/SUM((Trades!T$2:T$9999=Blotter!C43)*(Trades!U$2:U$9999=Blotter!B43)*(Trades!V$2:V$9999)*(Trades!V$2:V$9999&lt;0)),0)</f>
        <v>24.1875</v>
      </c>
      <c r="Y43" s="41">
        <f t="array" ref="Y43">IF(ISNUMBER(SUM((Trades!T$2:T$9999=Blotter!C43)*(Trades!U$2:U$9999=Blotter!B43)*(Trades!W$2:W$9999)*(Trades!V$2:V$9999)*(Trades!V$2:V$9999&gt;0))/SUM((Trades!T$2:T$9999=Blotter!C43)*(Trades!U$2:U$9999=Blotter!B43)*(Trades!V$2:V$9999)*(Trades!V$2:V$9999&gt;0))),SUM((Trades!T$2:T$9999=Blotter!C43)*(Trades!U$2:U$9999=Blotter!B43)*(Trades!W$2:W$9999)*(Trades!V$2:V$9999)*(Trades!V$2:V$9999&gt;0))/SUM((Trades!T$2:T$9999=Blotter!C43)*(Trades!U$2:U$9999=Blotter!B43)*(Trades!V$2:V$9999)*(Trades!V$2:V$9999&gt;0)),0)</f>
        <v>23.740000000000002</v>
      </c>
      <c r="Z43" s="42">
        <f>IF(C$2="Last",IF(ISNUMBER(VLOOKUP(B43,Data_IB!B:O,14,0)),VLOOKUP(B43,Data_IB!B:O,14,0),0),IF(ISNUMBER(VLOOKUP(B43,Data_IB!B:O,13,0)),VLOOKUP(B43,Data_IB!B:O,13,0),0))</f>
        <v>0</v>
      </c>
    </row>
    <row r="44" spans="2:28" x14ac:dyDescent="0.4">
      <c r="B44" s="9" t="s">
        <v>263</v>
      </c>
      <c r="C44" s="10">
        <v>16</v>
      </c>
      <c r="D44" s="10" t="s">
        <v>33</v>
      </c>
      <c r="E44" s="10" t="s">
        <v>200</v>
      </c>
      <c r="F44" s="10" t="s">
        <v>6</v>
      </c>
      <c r="G44" s="28">
        <f>IF(F44="Futures",VLOOKUP(D44,Multiplier!B:I,8,0),0)</f>
        <v>5</v>
      </c>
      <c r="H44" s="11">
        <v>6</v>
      </c>
      <c r="I44" s="29">
        <f t="array" ref="I44">SUM((Trades!V$2:V$9999)*(Trades!U$2:U$9999=Blotter!B44)*(Trades!$T$2:T$9999=Blotter!C44))</f>
        <v>0</v>
      </c>
      <c r="J44" s="28">
        <f>VLOOKUP(D44,Multiplier!B:D,2,0)</f>
        <v>375</v>
      </c>
      <c r="K44" s="29">
        <f t="shared" si="1"/>
        <v>160.71584000000001</v>
      </c>
      <c r="L44" s="29">
        <f t="shared" si="10"/>
        <v>160.85</v>
      </c>
      <c r="M44" s="28">
        <f t="shared" si="3"/>
        <v>0</v>
      </c>
      <c r="N44" s="28">
        <f t="array" ref="N44">-SUM((Trades!T$2:T$9999=Blotter!C44)*(Trades!U$2:U$9999=Blotter!B44)*(Trades!V$2:V$9999)*(Trades!W$2:W$9999))*J44+SUM((Trades!T$2:T$9999=Blotter!C44)*(Trades!U$2:U$9999=Blotter!B44)*(Trades!X$2:X$9999))+(L44*I44)*J44</f>
        <v>301.85999999997017</v>
      </c>
      <c r="O44" s="29">
        <f>VLOOKUP(D44,Multiplier!B:H,3,0)</f>
        <v>5.38</v>
      </c>
      <c r="P44" s="27">
        <v>4.4000000000000004</v>
      </c>
      <c r="Q44" s="27"/>
      <c r="R44" s="28">
        <f t="shared" si="4"/>
        <v>9900.0000000000018</v>
      </c>
      <c r="S44" s="29">
        <f t="shared" si="5"/>
        <v>0</v>
      </c>
      <c r="T44" s="3">
        <f t="shared" si="6"/>
        <v>0</v>
      </c>
      <c r="U44" s="29">
        <f t="shared" si="7"/>
        <v>0</v>
      </c>
      <c r="V44" s="3">
        <f t="shared" si="8"/>
        <v>0</v>
      </c>
      <c r="X44" s="41">
        <f t="array" ref="X44">IF(ISNUMBER(SUM((Trades!T$2:T$9999=Blotter!C44)*(Trades!U$2:U$9999=Blotter!B44)*(Trades!W$2:W$9999)*(Trades!V$2:V$9999)*(Trades!V$2:V$9999&lt;0))/SUM((Trades!T$2:T$9999=Blotter!C44)*(Trades!U$2:U$9999=Blotter!B44)*(Trades!V$2:V$9999)*(Trades!V$2:V$9999&lt;0))),SUM((Trades!T$2:T$9999=Blotter!C44)*(Trades!U$2:U$9999=Blotter!B44)*(Trades!W$2:W$9999)*(Trades!V$2:V$9999)*(Trades!V$2:V$9999&lt;0))/SUM((Trades!T$2:T$9999=Blotter!C44)*(Trades!U$2:U$9999=Blotter!B44)*(Trades!V$2:V$9999)*(Trades!V$2:V$9999&lt;0)),0)</f>
        <v>160.85</v>
      </c>
      <c r="Y44" s="41">
        <f t="array" ref="Y44">IF(ISNUMBER(SUM((Trades!T$2:T$9999=Blotter!C44)*(Trades!U$2:U$9999=Blotter!B44)*(Trades!W$2:W$9999)*(Trades!V$2:V$9999)*(Trades!V$2:V$9999&gt;0))/SUM((Trades!T$2:T$9999=Blotter!C44)*(Trades!U$2:U$9999=Blotter!B44)*(Trades!V$2:V$9999)*(Trades!V$2:V$9999&gt;0))),SUM((Trades!T$2:T$9999=Blotter!C44)*(Trades!U$2:U$9999=Blotter!B44)*(Trades!W$2:W$9999)*(Trades!V$2:V$9999)*(Trades!V$2:V$9999&gt;0))/SUM((Trades!T$2:T$9999=Blotter!C44)*(Trades!U$2:U$9999=Blotter!B44)*(Trades!V$2:V$9999)*(Trades!V$2:V$9999&gt;0)),0)</f>
        <v>160.70000000000002</v>
      </c>
      <c r="Z44" s="42">
        <f>IF(C$2="Last",IF(ISNUMBER(VLOOKUP(B44,Data_IB!B:O,14,0)),VLOOKUP(B44,Data_IB!B:O,14,0),0),IF(ISNUMBER(VLOOKUP(B44,Data_IB!B:O,13,0)),VLOOKUP(B44,Data_IB!B:O,13,0),0))</f>
        <v>0</v>
      </c>
    </row>
    <row r="45" spans="2:28" x14ac:dyDescent="0.4">
      <c r="B45" s="9" t="s">
        <v>270</v>
      </c>
      <c r="C45" s="10">
        <v>17</v>
      </c>
      <c r="D45" s="10" t="s">
        <v>4</v>
      </c>
      <c r="E45" s="10" t="s">
        <v>199</v>
      </c>
      <c r="F45" s="10" t="s">
        <v>53</v>
      </c>
      <c r="G45" s="28">
        <f>IF(F45="Futures",VLOOKUP(D45,Multiplier!B:I,8,0),0)</f>
        <v>0</v>
      </c>
      <c r="H45" s="11">
        <v>10</v>
      </c>
      <c r="I45" s="29">
        <f t="array" ref="I45">SUM((Trades!V$2:V$9999)*(Trades!U$2:U$9999=Blotter!B45)*(Trades!$T$2:T$9999=Blotter!C45))</f>
        <v>0</v>
      </c>
      <c r="J45" s="28">
        <f>VLOOKUP(D45,Multiplier!B:D,2,0)</f>
        <v>100</v>
      </c>
      <c r="K45" s="29">
        <f t="shared" si="1"/>
        <v>14.469008000000009</v>
      </c>
      <c r="L45" s="29">
        <f t="shared" si="10"/>
        <v>75.650000000000006</v>
      </c>
      <c r="M45" s="28">
        <f t="shared" si="3"/>
        <v>0</v>
      </c>
      <c r="N45" s="28">
        <f t="array" ref="N45">-SUM((Trades!T$2:T$9999=Blotter!C45)*(Trades!U$2:U$9999=Blotter!B45)*(Trades!V$2:V$9999)*(Trades!W$2:W$9999))*J45+SUM((Trades!T$2:T$9999=Blotter!C45)*(Trades!U$2:U$9999=Blotter!B45)*(Trades!X$2:X$9999))+(L45*I45)*J45</f>
        <v>61180.991999999998</v>
      </c>
      <c r="O45" s="29">
        <f>VLOOKUP(D45,Multiplier!B:H,3,0)</f>
        <v>42</v>
      </c>
      <c r="P45" s="27">
        <v>47.7</v>
      </c>
      <c r="Q45" s="27"/>
      <c r="R45" s="28">
        <f t="shared" si="4"/>
        <v>47700</v>
      </c>
      <c r="S45" s="29">
        <f t="shared" si="5"/>
        <v>0</v>
      </c>
      <c r="T45" s="3">
        <f t="shared" si="6"/>
        <v>0</v>
      </c>
      <c r="U45" s="29">
        <f t="shared" si="7"/>
        <v>0</v>
      </c>
      <c r="V45" s="3">
        <f t="shared" si="8"/>
        <v>0</v>
      </c>
      <c r="X45" s="41">
        <f t="array" ref="X45">IF(ISNUMBER(SUM((Trades!T$2:T$9999=Blotter!C45)*(Trades!U$2:U$9999=Blotter!B45)*(Trades!W$2:W$9999)*(Trades!V$2:V$9999)*(Trades!V$2:V$9999&lt;0))/SUM((Trades!T$2:T$9999=Blotter!C45)*(Trades!U$2:U$9999=Blotter!B45)*(Trades!V$2:V$9999)*(Trades!V$2:V$9999&lt;0))),SUM((Trades!T$2:T$9999=Blotter!C45)*(Trades!U$2:U$9999=Blotter!B45)*(Trades!W$2:W$9999)*(Trades!V$2:V$9999)*(Trades!V$2:V$9999&lt;0))/SUM((Trades!T$2:T$9999=Blotter!C45)*(Trades!U$2:U$9999=Blotter!B45)*(Trades!V$2:V$9999)*(Trades!V$2:V$9999&lt;0)),0)</f>
        <v>75.650000000000006</v>
      </c>
      <c r="Y45" s="41">
        <f t="array" ref="Y45">IF(ISNUMBER(SUM((Trades!T$2:T$9999=Blotter!C45)*(Trades!U$2:U$9999=Blotter!B45)*(Trades!W$2:W$9999)*(Trades!V$2:V$9999)*(Trades!V$2:V$9999&gt;0))/SUM((Trades!T$2:T$9999=Blotter!C45)*(Trades!U$2:U$9999=Blotter!B45)*(Trades!V$2:V$9999)*(Trades!V$2:V$9999&gt;0))),SUM((Trades!T$2:T$9999=Blotter!C45)*(Trades!U$2:U$9999=Blotter!B45)*(Trades!W$2:W$9999)*(Trades!V$2:V$9999)*(Trades!V$2:V$9999&gt;0))/SUM((Trades!T$2:T$9999=Blotter!C45)*(Trades!U$2:U$9999=Blotter!B45)*(Trades!V$2:V$9999)*(Trades!V$2:V$9999&gt;0)),0)</f>
        <v>67.974999999999994</v>
      </c>
      <c r="Z45" s="42">
        <f>IF(C$2="Last",IF(ISNUMBER(VLOOKUP(B45,Data_IB!B:O,14,0)),VLOOKUP(B45,Data_IB!B:O,14,0),0),IF(ISNUMBER(VLOOKUP(B45,Data_IB!B:O,13,0)),VLOOKUP(B45,Data_IB!B:O,13,0),0))</f>
        <v>0</v>
      </c>
    </row>
    <row r="46" spans="2:28" x14ac:dyDescent="0.4">
      <c r="B46" s="9" t="s">
        <v>272</v>
      </c>
      <c r="C46" s="10">
        <v>17</v>
      </c>
      <c r="D46" s="10" t="s">
        <v>4</v>
      </c>
      <c r="E46" s="10" t="s">
        <v>199</v>
      </c>
      <c r="F46" s="10" t="s">
        <v>53</v>
      </c>
      <c r="G46" s="28">
        <f>IF(F46="Futures",VLOOKUP(D46,Multiplier!B:I,8,0),0)</f>
        <v>0</v>
      </c>
      <c r="H46" s="11">
        <v>-10</v>
      </c>
      <c r="I46" s="29">
        <f t="array" ref="I46">SUM((Trades!V$2:V$9999)*(Trades!U$2:U$9999=Blotter!B46)*(Trades!$T$2:T$9999=Blotter!C46))</f>
        <v>0</v>
      </c>
      <c r="J46" s="28">
        <f>VLOOKUP(D46,Multiplier!B:D,2,0)</f>
        <v>100</v>
      </c>
      <c r="K46" s="29">
        <f t="shared" si="1"/>
        <v>38.526050071428571</v>
      </c>
      <c r="L46" s="29">
        <f t="shared" si="10"/>
        <v>60.271428571428572</v>
      </c>
      <c r="M46" s="28">
        <f t="shared" si="3"/>
        <v>0</v>
      </c>
      <c r="N46" s="28">
        <f t="array" ref="N46">-SUM((Trades!T$2:T$9999=Blotter!C46)*(Trades!U$2:U$9999=Blotter!B46)*(Trades!V$2:V$9999)*(Trades!W$2:W$9999))*J46+SUM((Trades!T$2:T$9999=Blotter!C46)*(Trades!U$2:U$9999=Blotter!B46)*(Trades!X$2:X$9999))+(L46*I46)*J46</f>
        <v>-21745.378499999999</v>
      </c>
      <c r="O46" s="29">
        <f>VLOOKUP(D46,Multiplier!B:H,3,0)</f>
        <v>42</v>
      </c>
      <c r="P46" s="27">
        <v>39</v>
      </c>
      <c r="Q46" s="27"/>
      <c r="R46" s="28">
        <f t="shared" si="4"/>
        <v>-39000</v>
      </c>
      <c r="S46" s="29">
        <f t="shared" si="5"/>
        <v>0</v>
      </c>
      <c r="T46" s="3">
        <f t="shared" si="6"/>
        <v>0</v>
      </c>
      <c r="U46" s="29">
        <f t="shared" si="7"/>
        <v>0</v>
      </c>
      <c r="V46" s="3">
        <f t="shared" si="8"/>
        <v>0</v>
      </c>
      <c r="X46" s="41">
        <f t="array" ref="X46">IF(ISNUMBER(SUM((Trades!T$2:T$9999=Blotter!C46)*(Trades!U$2:U$9999=Blotter!B46)*(Trades!W$2:W$9999)*(Trades!V$2:V$9999)*(Trades!V$2:V$9999&lt;0))/SUM((Trades!T$2:T$9999=Blotter!C46)*(Trades!U$2:U$9999=Blotter!B46)*(Trades!V$2:V$9999)*(Trades!V$2:V$9999&lt;0))),SUM((Trades!T$2:T$9999=Blotter!C46)*(Trades!U$2:U$9999=Blotter!B46)*(Trades!W$2:W$9999)*(Trades!V$2:V$9999)*(Trades!V$2:V$9999&lt;0))/SUM((Trades!T$2:T$9999=Blotter!C46)*(Trades!U$2:U$9999=Blotter!B46)*(Trades!V$2:V$9999)*(Trades!V$2:V$9999&lt;0)),0)</f>
        <v>54.085714285714289</v>
      </c>
      <c r="Y46" s="41">
        <f t="array" ref="Y46">IF(ISNUMBER(SUM((Trades!T$2:T$9999=Blotter!C46)*(Trades!U$2:U$9999=Blotter!B46)*(Trades!W$2:W$9999)*(Trades!V$2:V$9999)*(Trades!V$2:V$9999&gt;0))/SUM((Trades!T$2:T$9999=Blotter!C46)*(Trades!U$2:U$9999=Blotter!B46)*(Trades!V$2:V$9999)*(Trades!V$2:V$9999&gt;0))),SUM((Trades!T$2:T$9999=Blotter!C46)*(Trades!U$2:U$9999=Blotter!B46)*(Trades!W$2:W$9999)*(Trades!V$2:V$9999)*(Trades!V$2:V$9999&gt;0))/SUM((Trades!T$2:T$9999=Blotter!C46)*(Trades!U$2:U$9999=Blotter!B46)*(Trades!V$2:V$9999)*(Trades!V$2:V$9999&gt;0)),0)</f>
        <v>60.271428571428572</v>
      </c>
      <c r="Z46" s="42">
        <f>IF(C$2="Last",IF(ISNUMBER(VLOOKUP(B46,Data_IB!B:O,14,0)),VLOOKUP(B46,Data_IB!B:O,14,0),0),IF(ISNUMBER(VLOOKUP(B46,Data_IB!B:O,13,0)),VLOOKUP(B46,Data_IB!B:O,13,0),0))</f>
        <v>0</v>
      </c>
    </row>
    <row r="47" spans="2:28" x14ac:dyDescent="0.4">
      <c r="B47" s="9" t="s">
        <v>280</v>
      </c>
      <c r="C47" s="10">
        <v>21</v>
      </c>
      <c r="D47" s="10" t="s">
        <v>24</v>
      </c>
      <c r="E47" s="10" t="s">
        <v>200</v>
      </c>
      <c r="F47" s="10" t="s">
        <v>6</v>
      </c>
      <c r="G47" s="28">
        <f>IF(F47="Futures",VLOOKUP(D47,Multiplier!B:I,8,0),0)</f>
        <v>4</v>
      </c>
      <c r="H47" s="11">
        <v>4</v>
      </c>
      <c r="I47" s="29">
        <f t="array" ref="I47">SUM((Trades!V$2:V$9999)*(Trades!U$2:U$9999=Blotter!B47)*(Trades!$T$2:T$9999=Blotter!C47))</f>
        <v>0</v>
      </c>
      <c r="J47" s="28">
        <f>VLOOKUP(D47,Multiplier!B:D,2,0)</f>
        <v>1000</v>
      </c>
      <c r="K47" s="29">
        <f t="shared" si="1"/>
        <v>81.279740000000004</v>
      </c>
      <c r="L47" s="29">
        <f t="shared" si="10"/>
        <v>86.35</v>
      </c>
      <c r="M47" s="28">
        <f t="shared" si="3"/>
        <v>0</v>
      </c>
      <c r="N47" s="28">
        <f t="array" ref="N47">-SUM((Trades!T$2:T$9999=Blotter!C47)*(Trades!U$2:U$9999=Blotter!B47)*(Trades!V$2:V$9999)*(Trades!W$2:W$9999))*J47+SUM((Trades!T$2:T$9999=Blotter!C47)*(Trades!U$2:U$9999=Blotter!B47)*(Trades!X$2:X$9999))+(L47*I47)*J47</f>
        <v>20281.039999999983</v>
      </c>
      <c r="O47" s="29">
        <f>VLOOKUP(D47,Multiplier!B:H,3,0)</f>
        <v>2.41</v>
      </c>
      <c r="P47" s="27">
        <v>2.38</v>
      </c>
      <c r="Q47" s="27"/>
      <c r="R47" s="28">
        <f t="shared" si="4"/>
        <v>9520</v>
      </c>
      <c r="S47" s="29">
        <f t="shared" si="5"/>
        <v>0</v>
      </c>
      <c r="T47" s="3">
        <f t="shared" si="6"/>
        <v>0</v>
      </c>
      <c r="U47" s="29">
        <f t="shared" si="7"/>
        <v>0</v>
      </c>
      <c r="V47" s="3">
        <f t="shared" si="8"/>
        <v>0</v>
      </c>
      <c r="X47" s="41">
        <f t="array" ref="X47">IF(ISNUMBER(SUM((Trades!T$2:T$9999=Blotter!C47)*(Trades!U$2:U$9999=Blotter!B47)*(Trades!W$2:W$9999)*(Trades!V$2:V$9999)*(Trades!V$2:V$9999&lt;0))/SUM((Trades!T$2:T$9999=Blotter!C47)*(Trades!U$2:U$9999=Blotter!B47)*(Trades!V$2:V$9999)*(Trades!V$2:V$9999&lt;0))),SUM((Trades!T$2:T$9999=Blotter!C47)*(Trades!U$2:U$9999=Blotter!B47)*(Trades!W$2:W$9999)*(Trades!V$2:V$9999)*(Trades!V$2:V$9999&lt;0))/SUM((Trades!T$2:T$9999=Blotter!C47)*(Trades!U$2:U$9999=Blotter!B47)*(Trades!V$2:V$9999)*(Trades!V$2:V$9999&lt;0)),0)</f>
        <v>86.35</v>
      </c>
      <c r="Y47" s="41">
        <f t="array" ref="Y47">IF(ISNUMBER(SUM((Trades!T$2:T$9999=Blotter!C47)*(Trades!U$2:U$9999=Blotter!B47)*(Trades!W$2:W$9999)*(Trades!V$2:V$9999)*(Trades!V$2:V$9999&gt;0))/SUM((Trades!T$2:T$9999=Blotter!C47)*(Trades!U$2:U$9999=Blotter!B47)*(Trades!V$2:V$9999)*(Trades!V$2:V$9999&gt;0))),SUM((Trades!T$2:T$9999=Blotter!C47)*(Trades!U$2:U$9999=Blotter!B47)*(Trades!W$2:W$9999)*(Trades!V$2:V$9999)*(Trades!V$2:V$9999&gt;0))/SUM((Trades!T$2:T$9999=Blotter!C47)*(Trades!U$2:U$9999=Blotter!B47)*(Trades!V$2:V$9999)*(Trades!V$2:V$9999&gt;0)),0)</f>
        <v>81.275000000000006</v>
      </c>
      <c r="Z47" s="42">
        <f>IF(C$2="Last",IF(ISNUMBER(VLOOKUP(B47,Data_IB!B:O,14,0)),VLOOKUP(B47,Data_IB!B:O,14,0),0),IF(ISNUMBER(VLOOKUP(B47,Data_IB!B:O,13,0)),VLOOKUP(B47,Data_IB!B:O,13,0),0))</f>
        <v>0</v>
      </c>
      <c r="AB47" s="87"/>
    </row>
    <row r="48" spans="2:28" x14ac:dyDescent="0.4">
      <c r="B48" s="9" t="s">
        <v>285</v>
      </c>
      <c r="C48" s="10">
        <v>24</v>
      </c>
      <c r="D48" s="10" t="s">
        <v>101</v>
      </c>
      <c r="E48" s="10" t="s">
        <v>200</v>
      </c>
      <c r="F48" s="10" t="s">
        <v>6</v>
      </c>
      <c r="G48" s="28">
        <f>IF(F48="Futures",VLOOKUP(D48,Multiplier!B:I,8,0),0)</f>
        <v>7</v>
      </c>
      <c r="H48" s="11">
        <v>5</v>
      </c>
      <c r="I48" s="29">
        <f t="array" ref="I48">SUM((Trades!V$2:V$9999)*(Trades!U$2:U$9999=Blotter!B48)*(Trades!$T$2:T$9999=Blotter!C48))</f>
        <v>0</v>
      </c>
      <c r="J48" s="28">
        <f>VLOOKUP(D48,Multiplier!B:D,2,0)</f>
        <v>500</v>
      </c>
      <c r="K48" s="29">
        <f t="shared" si="1"/>
        <v>87.461879999999994</v>
      </c>
      <c r="L48" s="29">
        <f t="shared" si="10"/>
        <v>86.75</v>
      </c>
      <c r="M48" s="28">
        <f t="shared" si="3"/>
        <v>0</v>
      </c>
      <c r="N48" s="28">
        <f t="array" ref="N48">-SUM((Trades!T$2:T$9999=Blotter!C48)*(Trades!U$2:U$9999=Blotter!B48)*(Trades!V$2:V$9999)*(Trades!W$2:W$9999))*J48+SUM((Trades!T$2:T$9999=Blotter!C48)*(Trades!U$2:U$9999=Blotter!B48)*(Trades!X$2:X$9999))+(L48*I48)*J48</f>
        <v>-1779.7</v>
      </c>
      <c r="O48" s="29">
        <f>VLOOKUP(D48,Multiplier!B:H,3,0)</f>
        <v>3.01</v>
      </c>
      <c r="P48" s="27">
        <v>2</v>
      </c>
      <c r="Q48" s="27"/>
      <c r="R48" s="28">
        <f t="shared" si="4"/>
        <v>5000</v>
      </c>
      <c r="S48" s="29">
        <f t="shared" si="5"/>
        <v>0</v>
      </c>
      <c r="T48" s="3">
        <f t="shared" si="6"/>
        <v>0</v>
      </c>
      <c r="U48" s="29">
        <f t="shared" si="7"/>
        <v>0</v>
      </c>
      <c r="V48" s="3">
        <f t="shared" si="8"/>
        <v>0</v>
      </c>
      <c r="X48" s="41">
        <f t="array" ref="X48">IF(ISNUMBER(SUM((Trades!T$2:T$9999=Blotter!C48)*(Trades!U$2:U$9999=Blotter!B48)*(Trades!W$2:W$9999)*(Trades!V$2:V$9999)*(Trades!V$2:V$9999&lt;0))/SUM((Trades!T$2:T$9999=Blotter!C48)*(Trades!U$2:U$9999=Blotter!B48)*(Trades!V$2:V$9999)*(Trades!V$2:V$9999&lt;0))),SUM((Trades!T$2:T$9999=Blotter!C48)*(Trades!U$2:U$9999=Blotter!B48)*(Trades!W$2:W$9999)*(Trades!V$2:V$9999)*(Trades!V$2:V$9999&lt;0))/SUM((Trades!T$2:T$9999=Blotter!C48)*(Trades!U$2:U$9999=Blotter!B48)*(Trades!V$2:V$9999)*(Trades!V$2:V$9999&lt;0)),0)</f>
        <v>86.75</v>
      </c>
      <c r="Y48" s="41">
        <f t="array" ref="Y48">IF(ISNUMBER(SUM((Trades!T$2:T$9999=Blotter!C48)*(Trades!U$2:U$9999=Blotter!B48)*(Trades!W$2:W$9999)*(Trades!V$2:V$9999)*(Trades!V$2:V$9999&gt;0))/SUM((Trades!T$2:T$9999=Blotter!C48)*(Trades!U$2:U$9999=Blotter!B48)*(Trades!V$2:V$9999)*(Trades!V$2:V$9999&gt;0))),SUM((Trades!T$2:T$9999=Blotter!C48)*(Trades!U$2:U$9999=Blotter!B48)*(Trades!W$2:W$9999)*(Trades!V$2:V$9999)*(Trades!V$2:V$9999&gt;0))/SUM((Trades!T$2:T$9999=Blotter!C48)*(Trades!U$2:U$9999=Blotter!B48)*(Trades!V$2:V$9999)*(Trades!V$2:V$9999&gt;0)),0)</f>
        <v>87.45</v>
      </c>
      <c r="Z48" s="42">
        <f>IF(C$2="Last",IF(ISNUMBER(VLOOKUP(B48,Data_IB!B:O,14,0)),VLOOKUP(B48,Data_IB!B:O,14,0),0),IF(ISNUMBER(VLOOKUP(B48,Data_IB!B:O,13,0)),VLOOKUP(B48,Data_IB!B:O,13,0),0))</f>
        <v>0</v>
      </c>
    </row>
    <row r="49" spans="2:28" x14ac:dyDescent="0.4">
      <c r="B49" s="9" t="s">
        <v>299</v>
      </c>
      <c r="C49" s="10">
        <v>27</v>
      </c>
      <c r="D49" s="10" t="s">
        <v>24</v>
      </c>
      <c r="E49" s="10" t="s">
        <v>200</v>
      </c>
      <c r="F49" s="10" t="s">
        <v>132</v>
      </c>
      <c r="G49" s="28">
        <f>IF(F49="Futures",VLOOKUP(D49,Multiplier!B:I,8,0),0)</f>
        <v>0</v>
      </c>
      <c r="H49" s="11">
        <v>10</v>
      </c>
      <c r="I49" s="29">
        <f t="array" ref="I49">SUM((Trades!V$2:V$9999)*(Trades!U$2:U$9999=Blotter!B49)*(Trades!$T$2:T$9999=Blotter!C49))</f>
        <v>0</v>
      </c>
      <c r="J49" s="28">
        <f>VLOOKUP(D49,Multiplier!B:D,2,0)</f>
        <v>1000</v>
      </c>
      <c r="K49" s="29">
        <f t="shared" ref="K49:K50" si="15">L49-N49/(H49*J49)</f>
        <v>2.3047400000000002</v>
      </c>
      <c r="L49" s="29">
        <f t="shared" si="10"/>
        <v>1.85</v>
      </c>
      <c r="M49" s="28">
        <f t="shared" ref="M49:M50" si="16">I49*J49*L49</f>
        <v>0</v>
      </c>
      <c r="N49" s="28">
        <f t="array" ref="N49">-SUM((Trades!T$2:T$9999=Blotter!C49)*(Trades!U$2:U$9999=Blotter!B49)*(Trades!V$2:V$9999)*(Trades!W$2:W$9999))*J49+SUM((Trades!T$2:T$9999=Blotter!C49)*(Trades!U$2:U$9999=Blotter!B49)*(Trades!X$2:X$9999))+(L49*I49)*J49</f>
        <v>-4547.3999999999996</v>
      </c>
      <c r="O49" s="29">
        <f>VLOOKUP(D49,Multiplier!B:H,3,0)</f>
        <v>2.41</v>
      </c>
      <c r="P49" s="27">
        <v>2.2999999999999998</v>
      </c>
      <c r="Q49" s="27"/>
      <c r="R49" s="28">
        <f t="shared" si="4"/>
        <v>23000</v>
      </c>
      <c r="S49" s="29">
        <f t="shared" si="5"/>
        <v>0</v>
      </c>
      <c r="T49" s="3">
        <f t="shared" si="6"/>
        <v>0</v>
      </c>
      <c r="U49" s="29">
        <f t="shared" si="7"/>
        <v>0</v>
      </c>
      <c r="V49" s="3">
        <f t="shared" si="8"/>
        <v>0</v>
      </c>
      <c r="X49" s="41">
        <f t="array" ref="X49">IF(ISNUMBER(SUM((Trades!T$2:T$9999=Blotter!C49)*(Trades!U$2:U$9999=Blotter!B49)*(Trades!W$2:W$9999)*(Trades!V$2:V$9999)*(Trades!V$2:V$9999&lt;0))/SUM((Trades!T$2:T$9999=Blotter!C49)*(Trades!U$2:U$9999=Blotter!B49)*(Trades!V$2:V$9999)*(Trades!V$2:V$9999&lt;0))),SUM((Trades!T$2:T$9999=Blotter!C49)*(Trades!U$2:U$9999=Blotter!B49)*(Trades!W$2:W$9999)*(Trades!V$2:V$9999)*(Trades!V$2:V$9999&lt;0))/SUM((Trades!T$2:T$9999=Blotter!C49)*(Trades!U$2:U$9999=Blotter!B49)*(Trades!V$2:V$9999)*(Trades!V$2:V$9999&lt;0)),0)</f>
        <v>1.85</v>
      </c>
      <c r="Y49" s="41">
        <f t="array" ref="Y49">IF(ISNUMBER(SUM((Trades!T$2:T$9999=Blotter!C49)*(Trades!U$2:U$9999=Blotter!B49)*(Trades!W$2:W$9999)*(Trades!V$2:V$9999)*(Trades!V$2:V$9999&gt;0))/SUM((Trades!T$2:T$9999=Blotter!C49)*(Trades!U$2:U$9999=Blotter!B49)*(Trades!V$2:V$9999)*(Trades!V$2:V$9999&gt;0))),SUM((Trades!T$2:T$9999=Blotter!C49)*(Trades!U$2:U$9999=Blotter!B49)*(Trades!W$2:W$9999)*(Trades!V$2:V$9999)*(Trades!V$2:V$9999&gt;0))/SUM((Trades!T$2:T$9999=Blotter!C49)*(Trades!U$2:U$9999=Blotter!B49)*(Trades!V$2:V$9999)*(Trades!V$2:V$9999&gt;0)),0)</f>
        <v>2.2999999999999998</v>
      </c>
      <c r="Z49" s="42">
        <f>IF(C$2="Last",IF(ISNUMBER(VLOOKUP(B49,Data_IB!B:O,14,0)),VLOOKUP(B49,Data_IB!B:O,14,0),0),IF(ISNUMBER(VLOOKUP(B49,Data_IB!B:O,13,0)),VLOOKUP(B49,Data_IB!B:O,13,0),0))</f>
        <v>0</v>
      </c>
    </row>
    <row r="50" spans="2:28" x14ac:dyDescent="0.4">
      <c r="B50" s="9" t="s">
        <v>302</v>
      </c>
      <c r="C50" s="10">
        <v>27</v>
      </c>
      <c r="D50" s="10" t="s">
        <v>24</v>
      </c>
      <c r="E50" s="10" t="s">
        <v>200</v>
      </c>
      <c r="F50" s="10" t="s">
        <v>132</v>
      </c>
      <c r="G50" s="28">
        <f>IF(F50="Futures",VLOOKUP(D50,Multiplier!B:I,8,0),0)</f>
        <v>0</v>
      </c>
      <c r="H50" s="11">
        <v>-10</v>
      </c>
      <c r="I50" s="29">
        <f t="array" ref="I50">SUM((Trades!V$2:V$9999)*(Trades!U$2:U$9999=Blotter!B50)*(Trades!$T$2:T$9999=Blotter!C50))</f>
        <v>0</v>
      </c>
      <c r="J50" s="28">
        <f>VLOOKUP(D50,Multiplier!B:D,2,0)</f>
        <v>1000</v>
      </c>
      <c r="K50" s="29">
        <f t="shared" si="15"/>
        <v>1.4952600000000003</v>
      </c>
      <c r="L50" s="29">
        <f t="shared" si="10"/>
        <v>4.9000000000000002E-2</v>
      </c>
      <c r="M50" s="28">
        <f t="shared" si="16"/>
        <v>0</v>
      </c>
      <c r="N50" s="28">
        <f t="array" ref="N50">-SUM((Trades!T$2:T$9999=Blotter!C50)*(Trades!U$2:U$9999=Blotter!B50)*(Trades!V$2:V$9999)*(Trades!W$2:W$9999))*J50+SUM((Trades!T$2:T$9999=Blotter!C50)*(Trades!U$2:U$9999=Blotter!B50)*(Trades!X$2:X$9999))+(L50*I50)*J50</f>
        <v>14462.600000000002</v>
      </c>
      <c r="O50" s="29">
        <f>VLOOKUP(D50,Multiplier!B:H,3,0)</f>
        <v>2.41</v>
      </c>
      <c r="P50" s="27">
        <v>1.5</v>
      </c>
      <c r="Q50" s="27"/>
      <c r="R50" s="28">
        <f t="shared" si="4"/>
        <v>-15000</v>
      </c>
      <c r="S50" s="29">
        <f t="shared" si="5"/>
        <v>0</v>
      </c>
      <c r="T50" s="3">
        <f t="shared" si="6"/>
        <v>0</v>
      </c>
      <c r="U50" s="29">
        <f t="shared" si="7"/>
        <v>0</v>
      </c>
      <c r="V50" s="3">
        <f t="shared" si="8"/>
        <v>0</v>
      </c>
      <c r="X50" s="41">
        <f t="array" ref="X50">IF(ISNUMBER(SUM((Trades!T$2:T$9999=Blotter!C50)*(Trades!U$2:U$9999=Blotter!B50)*(Trades!W$2:W$9999)*(Trades!V$2:V$9999)*(Trades!V$2:V$9999&lt;0))/SUM((Trades!T$2:T$9999=Blotter!C50)*(Trades!U$2:U$9999=Blotter!B50)*(Trades!V$2:V$9999)*(Trades!V$2:V$9999&lt;0))),SUM((Trades!T$2:T$9999=Blotter!C50)*(Trades!U$2:U$9999=Blotter!B50)*(Trades!W$2:W$9999)*(Trades!V$2:V$9999)*(Trades!V$2:V$9999&lt;0))/SUM((Trades!T$2:T$9999=Blotter!C50)*(Trades!U$2:U$9999=Blotter!B50)*(Trades!V$2:V$9999)*(Trades!V$2:V$9999&lt;0)),0)</f>
        <v>1.5</v>
      </c>
      <c r="Y50" s="41">
        <f t="array" ref="Y50">IF(ISNUMBER(SUM((Trades!T$2:T$9999=Blotter!C50)*(Trades!U$2:U$9999=Blotter!B50)*(Trades!W$2:W$9999)*(Trades!V$2:V$9999)*(Trades!V$2:V$9999&gt;0))/SUM((Trades!T$2:T$9999=Blotter!C50)*(Trades!U$2:U$9999=Blotter!B50)*(Trades!V$2:V$9999)*(Trades!V$2:V$9999&gt;0))),SUM((Trades!T$2:T$9999=Blotter!C50)*(Trades!U$2:U$9999=Blotter!B50)*(Trades!W$2:W$9999)*(Trades!V$2:V$9999)*(Trades!V$2:V$9999&gt;0))/SUM((Trades!T$2:T$9999=Blotter!C50)*(Trades!U$2:U$9999=Blotter!B50)*(Trades!V$2:V$9999)*(Trades!V$2:V$9999&gt;0)),0)</f>
        <v>4.9000000000000002E-2</v>
      </c>
      <c r="Z50" s="42">
        <f>IF(C$2="Last",IF(ISNUMBER(VLOOKUP(B50,Data_IB!B:O,14,0)),VLOOKUP(B50,Data_IB!B:O,14,0),0),IF(ISNUMBER(VLOOKUP(B50,Data_IB!B:O,13,0)),VLOOKUP(B50,Data_IB!B:O,13,0),0))</f>
        <v>0</v>
      </c>
    </row>
    <row r="51" spans="2:28" x14ac:dyDescent="0.4">
      <c r="B51" s="9" t="s">
        <v>311</v>
      </c>
      <c r="C51" s="10">
        <v>28</v>
      </c>
      <c r="D51" s="10" t="s">
        <v>21</v>
      </c>
      <c r="E51" s="10" t="s">
        <v>199</v>
      </c>
      <c r="F51" s="10" t="s">
        <v>53</v>
      </c>
      <c r="G51" s="28">
        <f>IF(F51="Futures",VLOOKUP(D51,Multiplier!B:I,8,0),0)</f>
        <v>0</v>
      </c>
      <c r="H51" s="11">
        <v>-10</v>
      </c>
      <c r="I51" s="29">
        <f t="array" ref="I51">SUM((Trades!V$2:V$9999)*(Trades!U$2:U$9999=Blotter!B51)*(Trades!$T$2:T$9999=Blotter!C51))</f>
        <v>0</v>
      </c>
      <c r="J51" s="28">
        <f>VLOOKUP(D51,Multiplier!B:D,2,0)</f>
        <v>50</v>
      </c>
      <c r="K51" s="29">
        <f t="shared" ref="K51" si="17">L51-N51/(H51*J51)</f>
        <v>85.198900000000009</v>
      </c>
      <c r="L51" s="29">
        <f t="shared" si="10"/>
        <v>56.6875</v>
      </c>
      <c r="M51" s="28">
        <f t="shared" ref="M51" si="18">I51*J51*L51</f>
        <v>0</v>
      </c>
      <c r="N51" s="28">
        <f t="array" ref="N51">-SUM((Trades!T$2:T$9999=Blotter!C51)*(Trades!U$2:U$9999=Blotter!B51)*(Trades!V$2:V$9999)*(Trades!W$2:W$9999))*J51+SUM((Trades!T$2:T$9999=Blotter!C51)*(Trades!U$2:U$9999=Blotter!B51)*(Trades!X$2:X$9999))+(L51*I51)*J51</f>
        <v>14255.7</v>
      </c>
      <c r="O51" s="29">
        <f>VLOOKUP(D51,Multiplier!B:H,3,0)</f>
        <v>50.57</v>
      </c>
      <c r="P51" s="27">
        <v>-10</v>
      </c>
      <c r="Q51" s="27"/>
      <c r="R51" s="28">
        <f t="shared" si="4"/>
        <v>5000</v>
      </c>
      <c r="S51" s="29">
        <f t="shared" si="5"/>
        <v>0</v>
      </c>
      <c r="T51" s="3">
        <f t="shared" si="6"/>
        <v>0</v>
      </c>
      <c r="U51" s="29">
        <f t="shared" si="7"/>
        <v>0</v>
      </c>
      <c r="V51" s="3">
        <f t="shared" si="8"/>
        <v>0</v>
      </c>
      <c r="X51" s="41">
        <f t="array" ref="X51">IF(ISNUMBER(SUM((Trades!T$2:T$9999=Blotter!C51)*(Trades!U$2:U$9999=Blotter!B51)*(Trades!W$2:W$9999)*(Trades!V$2:V$9999)*(Trades!V$2:V$9999&lt;0))/SUM((Trades!T$2:T$9999=Blotter!C51)*(Trades!U$2:U$9999=Blotter!B51)*(Trades!V$2:V$9999)*(Trades!V$2:V$9999&lt;0))),SUM((Trades!T$2:T$9999=Blotter!C51)*(Trades!U$2:U$9999=Blotter!B51)*(Trades!W$2:W$9999)*(Trades!V$2:V$9999)*(Trades!V$2:V$9999&lt;0))/SUM((Trades!T$2:T$9999=Blotter!C51)*(Trades!U$2:U$9999=Blotter!B51)*(Trades!V$2:V$9999)*(Trades!V$2:V$9999&lt;0)),0)</f>
        <v>71</v>
      </c>
      <c r="Y51" s="41">
        <f t="array" ref="Y51">IF(ISNUMBER(SUM((Trades!T$2:T$9999=Blotter!C51)*(Trades!U$2:U$9999=Blotter!B51)*(Trades!W$2:W$9999)*(Trades!V$2:V$9999)*(Trades!V$2:V$9999&gt;0))/SUM((Trades!T$2:T$9999=Blotter!C51)*(Trades!U$2:U$9999=Blotter!B51)*(Trades!V$2:V$9999)*(Trades!V$2:V$9999&gt;0))),SUM((Trades!T$2:T$9999=Blotter!C51)*(Trades!U$2:U$9999=Blotter!B51)*(Trades!W$2:W$9999)*(Trades!V$2:V$9999)*(Trades!V$2:V$9999&gt;0))/SUM((Trades!T$2:T$9999=Blotter!C51)*(Trades!U$2:U$9999=Blotter!B51)*(Trades!V$2:V$9999)*(Trades!V$2:V$9999&gt;0)),0)</f>
        <v>56.6875</v>
      </c>
      <c r="Z51" s="42">
        <f>IF(C$2="Last",IF(ISNUMBER(VLOOKUP(B51,Data_IB!B:O,14,0)),VLOOKUP(B51,Data_IB!B:O,14,0),0),IF(ISNUMBER(VLOOKUP(B51,Data_IB!B:O,13,0)),VLOOKUP(B51,Data_IB!B:O,13,0),0))</f>
        <v>0</v>
      </c>
    </row>
    <row r="52" spans="2:28" x14ac:dyDescent="0.4">
      <c r="B52" s="9" t="s">
        <v>312</v>
      </c>
      <c r="C52" s="10">
        <v>28</v>
      </c>
      <c r="D52" s="10" t="s">
        <v>21</v>
      </c>
      <c r="E52" s="10" t="s">
        <v>199</v>
      </c>
      <c r="F52" s="10" t="s">
        <v>132</v>
      </c>
      <c r="G52" s="28">
        <f>IF(F52="Futures",VLOOKUP(D52,Multiplier!B:I,8,0),0)</f>
        <v>0</v>
      </c>
      <c r="H52" s="11">
        <v>10</v>
      </c>
      <c r="I52" s="29">
        <f t="array" ref="I52">SUM((Trades!V$2:V$9999)*(Trades!U$2:U$9999=Blotter!B52)*(Trades!$T$2:T$9999=Blotter!C52))</f>
        <v>0</v>
      </c>
      <c r="J52" s="28">
        <f>VLOOKUP(D52,Multiplier!B:D,2,0)</f>
        <v>50</v>
      </c>
      <c r="K52" s="29">
        <f t="shared" ref="K52" si="19">L52-N52/(H52*J52)</f>
        <v>81.80680000000001</v>
      </c>
      <c r="L52" s="29">
        <f t="shared" si="10"/>
        <v>28.75</v>
      </c>
      <c r="M52" s="28">
        <f t="shared" ref="M52" si="20">I52*J52*L52</f>
        <v>0</v>
      </c>
      <c r="N52" s="28">
        <f t="array" ref="N52">-SUM((Trades!T$2:T$9999=Blotter!C52)*(Trades!U$2:U$9999=Blotter!B52)*(Trades!V$2:V$9999)*(Trades!W$2:W$9999))*J52+SUM((Trades!T$2:T$9999=Blotter!C52)*(Trades!U$2:U$9999=Blotter!B52)*(Trades!X$2:X$9999))+(L52*I52)*J52</f>
        <v>-26528.400000000001</v>
      </c>
      <c r="O52" s="29">
        <f>VLOOKUP(D52,Multiplier!B:H,3,0)</f>
        <v>50.57</v>
      </c>
      <c r="P52" s="27">
        <v>10</v>
      </c>
      <c r="Q52" s="27"/>
      <c r="R52" s="28">
        <f t="shared" si="4"/>
        <v>5000</v>
      </c>
      <c r="S52" s="29">
        <f t="shared" si="5"/>
        <v>0</v>
      </c>
      <c r="T52" s="3">
        <f t="shared" si="6"/>
        <v>0</v>
      </c>
      <c r="U52" s="29">
        <f t="shared" si="7"/>
        <v>0</v>
      </c>
      <c r="V52" s="3">
        <f t="shared" si="8"/>
        <v>0</v>
      </c>
      <c r="X52" s="41">
        <f t="array" ref="X52">IF(ISNUMBER(SUM((Trades!T$2:T$9999=Blotter!C52)*(Trades!U$2:U$9999=Blotter!B52)*(Trades!W$2:W$9999)*(Trades!V$2:V$9999)*(Trades!V$2:V$9999&lt;0))/SUM((Trades!T$2:T$9999=Blotter!C52)*(Trades!U$2:U$9999=Blotter!B52)*(Trades!V$2:V$9999)*(Trades!V$2:V$9999&lt;0))),SUM((Trades!T$2:T$9999=Blotter!C52)*(Trades!U$2:U$9999=Blotter!B52)*(Trades!W$2:W$9999)*(Trades!V$2:V$9999)*(Trades!V$2:V$9999&lt;0))/SUM((Trades!T$2:T$9999=Blotter!C52)*(Trades!U$2:U$9999=Blotter!B52)*(Trades!V$2:V$9999)*(Trades!V$2:V$9999&lt;0)),0)</f>
        <v>28.75</v>
      </c>
      <c r="Y52" s="41">
        <f t="array" ref="Y52">IF(ISNUMBER(SUM((Trades!T$2:T$9999=Blotter!C52)*(Trades!U$2:U$9999=Blotter!B52)*(Trades!W$2:W$9999)*(Trades!V$2:V$9999)*(Trades!V$2:V$9999&gt;0))/SUM((Trades!T$2:T$9999=Blotter!C52)*(Trades!U$2:U$9999=Blotter!B52)*(Trades!V$2:V$9999)*(Trades!V$2:V$9999&gt;0))),SUM((Trades!T$2:T$9999=Blotter!C52)*(Trades!U$2:U$9999=Blotter!B52)*(Trades!W$2:W$9999)*(Trades!V$2:V$9999)*(Trades!V$2:V$9999&gt;0))/SUM((Trades!T$2:T$9999=Blotter!C52)*(Trades!U$2:U$9999=Blotter!B52)*(Trades!V$2:V$9999)*(Trades!V$2:V$9999&gt;0)),0)</f>
        <v>81.75</v>
      </c>
      <c r="Z52" s="42">
        <f>IF(C$2="Last",IF(ISNUMBER(VLOOKUP(B52,Data_IB!B:O,14,0)),VLOOKUP(B52,Data_IB!B:O,14,0),0),IF(ISNUMBER(VLOOKUP(B52,Data_IB!B:O,13,0)),VLOOKUP(B52,Data_IB!B:O,13,0),0))</f>
        <v>0</v>
      </c>
    </row>
    <row r="53" spans="2:28" x14ac:dyDescent="0.4">
      <c r="B53" s="9" t="s">
        <v>313</v>
      </c>
      <c r="C53" s="10">
        <v>28</v>
      </c>
      <c r="D53" s="10" t="s">
        <v>33</v>
      </c>
      <c r="E53" s="10" t="s">
        <v>200</v>
      </c>
      <c r="F53" s="10" t="s">
        <v>132</v>
      </c>
      <c r="G53" s="28">
        <f>IF(F53="Futures",VLOOKUP(D53,Multiplier!B:I,8,0),0)</f>
        <v>0</v>
      </c>
      <c r="H53" s="11">
        <v>15</v>
      </c>
      <c r="I53" s="29">
        <f t="array" ref="I53">SUM((Trades!V$2:V$9999)*(Trades!U$2:U$9999=Blotter!B53)*(Trades!$T$2:T$9999=Blotter!C53))</f>
        <v>0</v>
      </c>
      <c r="J53" s="28">
        <f>VLOOKUP(D53,Multiplier!B:D,2,0)</f>
        <v>375</v>
      </c>
      <c r="K53" s="29">
        <f t="shared" ref="K53:K54" si="21">L53-N53/(H53*J53)</f>
        <v>3.3158399999999997</v>
      </c>
      <c r="L53" s="29">
        <f t="shared" si="10"/>
        <v>14.5</v>
      </c>
      <c r="M53" s="28">
        <f t="shared" ref="M53:M54" si="22">I53*J53*L53</f>
        <v>0</v>
      </c>
      <c r="N53" s="28">
        <f t="array" ref="N53">-SUM((Trades!T$2:T$9999=Blotter!C53)*(Trades!U$2:U$9999=Blotter!B53)*(Trades!V$2:V$9999)*(Trades!W$2:W$9999))*J53+SUM((Trades!T$2:T$9999=Blotter!C53)*(Trades!U$2:U$9999=Blotter!B53)*(Trades!X$2:X$9999))+(L53*I53)*J53</f>
        <v>62910.9</v>
      </c>
      <c r="O53" s="29">
        <f>VLOOKUP(D53,Multiplier!B:H,3,0)</f>
        <v>5.38</v>
      </c>
      <c r="P53" s="27">
        <v>3.3</v>
      </c>
      <c r="Q53" s="27"/>
      <c r="R53" s="28">
        <f t="shared" si="4"/>
        <v>18562.5</v>
      </c>
      <c r="S53" s="29">
        <f t="shared" si="5"/>
        <v>0</v>
      </c>
      <c r="T53" s="3">
        <f t="shared" si="6"/>
        <v>0</v>
      </c>
      <c r="U53" s="29">
        <f t="shared" si="7"/>
        <v>0</v>
      </c>
      <c r="V53" s="3">
        <f t="shared" si="8"/>
        <v>0</v>
      </c>
      <c r="X53" s="41">
        <f t="array" ref="X53">IF(ISNUMBER(SUM((Trades!T$2:T$9999=Blotter!C53)*(Trades!U$2:U$9999=Blotter!B53)*(Trades!W$2:W$9999)*(Trades!V$2:V$9999)*(Trades!V$2:V$9999&lt;0))/SUM((Trades!T$2:T$9999=Blotter!C53)*(Trades!U$2:U$9999=Blotter!B53)*(Trades!V$2:V$9999)*(Trades!V$2:V$9999&lt;0))),SUM((Trades!T$2:T$9999=Blotter!C53)*(Trades!U$2:U$9999=Blotter!B53)*(Trades!W$2:W$9999)*(Trades!V$2:V$9999)*(Trades!V$2:V$9999&lt;0))/SUM((Trades!T$2:T$9999=Blotter!C53)*(Trades!U$2:U$9999=Blotter!B53)*(Trades!V$2:V$9999)*(Trades!V$2:V$9999&lt;0)),0)</f>
        <v>14.5</v>
      </c>
      <c r="Y53" s="41">
        <f t="array" ref="Y53">IF(ISNUMBER(SUM((Trades!T$2:T$9999=Blotter!C53)*(Trades!U$2:U$9999=Blotter!B53)*(Trades!W$2:W$9999)*(Trades!V$2:V$9999)*(Trades!V$2:V$9999&gt;0))/SUM((Trades!T$2:T$9999=Blotter!C53)*(Trades!U$2:U$9999=Blotter!B53)*(Trades!V$2:V$9999)*(Trades!V$2:V$9999&gt;0))),SUM((Trades!T$2:T$9999=Blotter!C53)*(Trades!U$2:U$9999=Blotter!B53)*(Trades!W$2:W$9999)*(Trades!V$2:V$9999)*(Trades!V$2:V$9999&gt;0))/SUM((Trades!T$2:T$9999=Blotter!C53)*(Trades!U$2:U$9999=Blotter!B53)*(Trades!V$2:V$9999)*(Trades!V$2:V$9999&gt;0)),0)</f>
        <v>3.3</v>
      </c>
      <c r="Z53" s="42">
        <f>IF(C$2="Last",IF(ISNUMBER(VLOOKUP(B53,Data_IB!B:O,14,0)),VLOOKUP(B53,Data_IB!B:O,14,0),0),IF(ISNUMBER(VLOOKUP(B53,Data_IB!B:O,13,0)),VLOOKUP(B53,Data_IB!B:O,13,0),0))</f>
        <v>0</v>
      </c>
    </row>
    <row r="54" spans="2:28" x14ac:dyDescent="0.4">
      <c r="B54" s="9" t="s">
        <v>314</v>
      </c>
      <c r="C54" s="10">
        <v>28</v>
      </c>
      <c r="D54" s="10" t="s">
        <v>33</v>
      </c>
      <c r="E54" s="10" t="s">
        <v>200</v>
      </c>
      <c r="F54" s="10" t="s">
        <v>132</v>
      </c>
      <c r="G54" s="28">
        <f>IF(F54="Futures",VLOOKUP(D54,Multiplier!B:I,8,0),0)</f>
        <v>0</v>
      </c>
      <c r="H54" s="11">
        <v>-15</v>
      </c>
      <c r="I54" s="29">
        <f t="array" ref="I54">SUM((Trades!V$2:V$9999)*(Trades!U$2:U$9999=Blotter!B54)*(Trades!$T$2:T$9999=Blotter!C54))</f>
        <v>0</v>
      </c>
      <c r="J54" s="28">
        <f>VLOOKUP(D54,Multiplier!B:D,2,0)</f>
        <v>375</v>
      </c>
      <c r="K54" s="29">
        <f t="shared" si="21"/>
        <v>1.5841600000000007</v>
      </c>
      <c r="L54" s="29">
        <f t="shared" si="10"/>
        <v>6.166666666666667</v>
      </c>
      <c r="M54" s="28">
        <f t="shared" si="22"/>
        <v>0</v>
      </c>
      <c r="N54" s="28">
        <f t="array" ref="N54">-SUM((Trades!T$2:T$9999=Blotter!C54)*(Trades!U$2:U$9999=Blotter!B54)*(Trades!V$2:V$9999)*(Trades!W$2:W$9999))*J54+SUM((Trades!T$2:T$9999=Blotter!C54)*(Trades!U$2:U$9999=Blotter!B54)*(Trades!X$2:X$9999))+(L54*I54)*J54</f>
        <v>-25776.6</v>
      </c>
      <c r="O54" s="29">
        <f>VLOOKUP(D54,Multiplier!B:H,3,0)</f>
        <v>5.38</v>
      </c>
      <c r="P54" s="27">
        <v>1.6</v>
      </c>
      <c r="Q54" s="27"/>
      <c r="R54" s="28">
        <f t="shared" si="4"/>
        <v>-9000</v>
      </c>
      <c r="S54" s="29">
        <f t="shared" si="5"/>
        <v>0</v>
      </c>
      <c r="T54" s="3">
        <f t="shared" si="6"/>
        <v>0</v>
      </c>
      <c r="U54" s="29">
        <f t="shared" si="7"/>
        <v>0</v>
      </c>
      <c r="V54" s="3">
        <f t="shared" si="8"/>
        <v>0</v>
      </c>
      <c r="X54" s="41">
        <f t="array" ref="X54">IF(ISNUMBER(SUM((Trades!T$2:T$9999=Blotter!C54)*(Trades!U$2:U$9999=Blotter!B54)*(Trades!W$2:W$9999)*(Trades!V$2:V$9999)*(Trades!V$2:V$9999&lt;0))/SUM((Trades!T$2:T$9999=Blotter!C54)*(Trades!U$2:U$9999=Blotter!B54)*(Trades!V$2:V$9999)*(Trades!V$2:V$9999&lt;0))),SUM((Trades!T$2:T$9999=Blotter!C54)*(Trades!U$2:U$9999=Blotter!B54)*(Trades!W$2:W$9999)*(Trades!V$2:V$9999)*(Trades!V$2:V$9999&lt;0))/SUM((Trades!T$2:T$9999=Blotter!C54)*(Trades!U$2:U$9999=Blotter!B54)*(Trades!V$2:V$9999)*(Trades!V$2:V$9999&lt;0)),0)</f>
        <v>1.6</v>
      </c>
      <c r="Y54" s="41">
        <f t="array" ref="Y54">IF(ISNUMBER(SUM((Trades!T$2:T$9999=Blotter!C54)*(Trades!U$2:U$9999=Blotter!B54)*(Trades!W$2:W$9999)*(Trades!V$2:V$9999)*(Trades!V$2:V$9999&gt;0))/SUM((Trades!T$2:T$9999=Blotter!C54)*(Trades!U$2:U$9999=Blotter!B54)*(Trades!V$2:V$9999)*(Trades!V$2:V$9999&gt;0))),SUM((Trades!T$2:T$9999=Blotter!C54)*(Trades!U$2:U$9999=Blotter!B54)*(Trades!W$2:W$9999)*(Trades!V$2:V$9999)*(Trades!V$2:V$9999&gt;0))/SUM((Trades!T$2:T$9999=Blotter!C54)*(Trades!U$2:U$9999=Blotter!B54)*(Trades!V$2:V$9999)*(Trades!V$2:V$9999&gt;0)),0)</f>
        <v>6.166666666666667</v>
      </c>
      <c r="Z54" s="42">
        <f>IF(C$2="Last",IF(ISNUMBER(VLOOKUP(B54,Data_IB!B:O,14,0)),VLOOKUP(B54,Data_IB!B:O,14,0),0),IF(ISNUMBER(VLOOKUP(B54,Data_IB!B:O,13,0)),VLOOKUP(B54,Data_IB!B:O,13,0),0))</f>
        <v>0</v>
      </c>
    </row>
    <row r="55" spans="2:28" x14ac:dyDescent="0.4">
      <c r="B55" s="9" t="s">
        <v>329</v>
      </c>
      <c r="C55" s="10">
        <v>31</v>
      </c>
      <c r="D55" s="10" t="s">
        <v>331</v>
      </c>
      <c r="E55" s="10" t="s">
        <v>200</v>
      </c>
      <c r="F55" s="10" t="s">
        <v>132</v>
      </c>
      <c r="G55" s="28">
        <f>IF(F55="Futures",VLOOKUP(D55,Multiplier!B:I,8,0),0)</f>
        <v>0</v>
      </c>
      <c r="H55" s="11">
        <v>150</v>
      </c>
      <c r="I55" s="29">
        <f t="array" ref="I55">SUM((Trades!V$2:V$9999)*(Trades!U$2:U$9999=Blotter!B55)*(Trades!$T$2:T$9999=Blotter!C55))</f>
        <v>0</v>
      </c>
      <c r="J55" s="28">
        <f>VLOOKUP(D55,Multiplier!B:D,2,0)</f>
        <v>100</v>
      </c>
      <c r="K55" s="29">
        <f t="shared" ref="K55" si="23">L55-N55/(H55*J55)</f>
        <v>1.3610611666666665</v>
      </c>
      <c r="L55" s="29">
        <f t="shared" ref="L55" si="24">IF(I55=0,IF(H55&gt;0,X55,Y55),Z55)</f>
        <v>0.7</v>
      </c>
      <c r="M55" s="28">
        <f t="shared" ref="M55" si="25">I55*J55*L55</f>
        <v>0</v>
      </c>
      <c r="N55" s="28">
        <f t="array" ref="N55">-SUM((Trades!T$2:T$9999=Blotter!C55)*(Trades!U$2:U$9999=Blotter!B55)*(Trades!V$2:V$9999)*(Trades!W$2:W$9999))*J55+SUM((Trades!T$2:T$9999=Blotter!C55)*(Trades!U$2:U$9999=Blotter!B55)*(Trades!X$2:X$9999))+(L55*I55)*J55</f>
        <v>-9915.9174999999996</v>
      </c>
      <c r="O55" s="29">
        <f>VLOOKUP(D55,Multiplier!B:H,3,0)</f>
        <v>0.85</v>
      </c>
      <c r="P55" s="27">
        <v>1.3660000000000001</v>
      </c>
      <c r="Q55" s="27"/>
      <c r="R55" s="28">
        <f t="shared" si="4"/>
        <v>20490.000000000004</v>
      </c>
      <c r="S55" s="29">
        <f t="shared" si="5"/>
        <v>0</v>
      </c>
      <c r="T55" s="3">
        <f t="shared" si="6"/>
        <v>0</v>
      </c>
      <c r="U55" s="29">
        <f t="shared" si="7"/>
        <v>0</v>
      </c>
      <c r="V55" s="3">
        <f t="shared" si="8"/>
        <v>0</v>
      </c>
      <c r="X55" s="41">
        <f t="array" ref="X55">IF(ISNUMBER(SUM((Trades!T$2:T$9999=Blotter!C55)*(Trades!U$2:U$9999=Blotter!B55)*(Trades!W$2:W$9999)*(Trades!V$2:V$9999)*(Trades!V$2:V$9999&lt;0))/SUM((Trades!T$2:T$9999=Blotter!C55)*(Trades!U$2:U$9999=Blotter!B55)*(Trades!V$2:V$9999)*(Trades!V$2:V$9999&lt;0))),SUM((Trades!T$2:T$9999=Blotter!C55)*(Trades!U$2:U$9999=Blotter!B55)*(Trades!W$2:W$9999)*(Trades!V$2:V$9999)*(Trades!V$2:V$9999&lt;0))/SUM((Trades!T$2:T$9999=Blotter!C55)*(Trades!U$2:U$9999=Blotter!B55)*(Trades!V$2:V$9999)*(Trades!V$2:V$9999&lt;0)),0)</f>
        <v>0.7</v>
      </c>
      <c r="Y55" s="41">
        <f t="array" ref="Y55">IF(ISNUMBER(SUM((Trades!T$2:T$9999=Blotter!C55)*(Trades!U$2:U$9999=Blotter!B55)*(Trades!W$2:W$9999)*(Trades!V$2:V$9999)*(Trades!V$2:V$9999&gt;0))/SUM((Trades!T$2:T$9999=Blotter!C55)*(Trades!U$2:U$9999=Blotter!B55)*(Trades!V$2:V$9999)*(Trades!V$2:V$9999&gt;0))),SUM((Trades!T$2:T$9999=Blotter!C55)*(Trades!U$2:U$9999=Blotter!B55)*(Trades!W$2:W$9999)*(Trades!V$2:V$9999)*(Trades!V$2:V$9999&gt;0))/SUM((Trades!T$2:T$9999=Blotter!C55)*(Trades!U$2:U$9999=Blotter!B55)*(Trades!V$2:V$9999)*(Trades!V$2:V$9999&gt;0)),0)</f>
        <v>1.3666666666666667</v>
      </c>
      <c r="Z55" s="42">
        <f>IF(C$2="Last",IF(ISNUMBER(VLOOKUP(B55,Data_IB!B:O,14,0)),VLOOKUP(B55,Data_IB!B:O,14,0),0),IF(ISNUMBER(VLOOKUP(B55,Data_IB!B:O,13,0)),VLOOKUP(B55,Data_IB!B:O,13,0),0))</f>
        <v>0</v>
      </c>
    </row>
    <row r="56" spans="2:28" x14ac:dyDescent="0.4">
      <c r="B56" s="9" t="s">
        <v>412</v>
      </c>
      <c r="C56" s="10">
        <v>31</v>
      </c>
      <c r="D56" s="10" t="s">
        <v>331</v>
      </c>
      <c r="E56" s="10" t="s">
        <v>200</v>
      </c>
      <c r="F56" s="10" t="s">
        <v>132</v>
      </c>
      <c r="G56" s="28">
        <f>IF(F56="Futures",VLOOKUP(D56,Multiplier!B:I,8,0),0)</f>
        <v>0</v>
      </c>
      <c r="H56" s="11">
        <v>-150</v>
      </c>
      <c r="I56" s="29">
        <f t="array" ref="I56">SUM((Trades!V$2:V$9999)*(Trades!U$2:U$9999=Blotter!B56)*(Trades!$T$2:T$9999=Blotter!C56))</f>
        <v>0</v>
      </c>
      <c r="J56" s="28">
        <f>VLOOKUP(D56,Multiplier!B:D,2,0)</f>
        <v>100</v>
      </c>
      <c r="K56" s="29">
        <f t="shared" ref="K56:K57" si="26">L56-N56/(H56*J56)</f>
        <v>0.60299879999999995</v>
      </c>
      <c r="L56" s="29">
        <f t="shared" ref="L56:L57" si="27">IF(I56=0,IF(H56&gt;0,X56,Y56),Z56)</f>
        <v>0</v>
      </c>
      <c r="M56" s="28">
        <f t="shared" ref="M56:M57" si="28">I56*J56*L56</f>
        <v>0</v>
      </c>
      <c r="N56" s="28">
        <f t="array" ref="N56">-SUM((Trades!T$2:T$9999=Blotter!C56)*(Trades!U$2:U$9999=Blotter!B56)*(Trades!V$2:V$9999)*(Trades!W$2:W$9999))*J56+SUM((Trades!T$2:T$9999=Blotter!C56)*(Trades!U$2:U$9999=Blotter!B56)*(Trades!X$2:X$9999))+(L56*I56)*J56</f>
        <v>9044.982</v>
      </c>
      <c r="O56" s="29">
        <f>VLOOKUP(D56,Multiplier!B:H,3,0)</f>
        <v>0.85</v>
      </c>
      <c r="P56" s="27">
        <v>0.6</v>
      </c>
      <c r="Q56" s="27"/>
      <c r="R56" s="28">
        <f t="shared" si="4"/>
        <v>-9000</v>
      </c>
      <c r="S56" s="29">
        <f t="shared" si="5"/>
        <v>0</v>
      </c>
      <c r="T56" s="3">
        <f t="shared" si="6"/>
        <v>0</v>
      </c>
      <c r="U56" s="29">
        <f t="shared" si="7"/>
        <v>0</v>
      </c>
      <c r="V56" s="3">
        <f t="shared" si="8"/>
        <v>0</v>
      </c>
      <c r="X56" s="41">
        <f t="array" ref="X56">IF(ISNUMBER(SUM((Trades!T$2:T$9999=Blotter!C56)*(Trades!U$2:U$9999=Blotter!B56)*(Trades!W$2:W$9999)*(Trades!V$2:V$9999)*(Trades!V$2:V$9999&lt;0))/SUM((Trades!T$2:T$9999=Blotter!C56)*(Trades!U$2:U$9999=Blotter!B56)*(Trades!V$2:V$9999)*(Trades!V$2:V$9999&lt;0))),SUM((Trades!T$2:T$9999=Blotter!C56)*(Trades!U$2:U$9999=Blotter!B56)*(Trades!W$2:W$9999)*(Trades!V$2:V$9999)*(Trades!V$2:V$9999&lt;0))/SUM((Trades!T$2:T$9999=Blotter!C56)*(Trades!U$2:U$9999=Blotter!B56)*(Trades!V$2:V$9999)*(Trades!V$2:V$9999&lt;0)),0)</f>
        <v>0.6</v>
      </c>
      <c r="Y56" s="41">
        <f t="array" ref="Y56">IF(ISNUMBER(SUM((Trades!T$2:T$9999=Blotter!C56)*(Trades!U$2:U$9999=Blotter!B56)*(Trades!W$2:W$9999)*(Trades!V$2:V$9999)*(Trades!V$2:V$9999&gt;0))/SUM((Trades!T$2:T$9999=Blotter!C56)*(Trades!U$2:U$9999=Blotter!B56)*(Trades!V$2:V$9999)*(Trades!V$2:V$9999&gt;0))),SUM((Trades!T$2:T$9999=Blotter!C56)*(Trades!U$2:U$9999=Blotter!B56)*(Trades!W$2:W$9999)*(Trades!V$2:V$9999)*(Trades!V$2:V$9999&gt;0))/SUM((Trades!T$2:T$9999=Blotter!C56)*(Trades!U$2:U$9999=Blotter!B56)*(Trades!V$2:V$9999)*(Trades!V$2:V$9999&gt;0)),0)</f>
        <v>0</v>
      </c>
      <c r="Z56" s="42">
        <f>IF(C$2="Last",IF(ISNUMBER(VLOOKUP(B56,Data_IB!B:O,14,0)),VLOOKUP(B56,Data_IB!B:O,14,0),0),IF(ISNUMBER(VLOOKUP(B56,Data_IB!B:O,13,0)),VLOOKUP(B56,Data_IB!B:O,13,0),0))</f>
        <v>0</v>
      </c>
    </row>
    <row r="57" spans="2:28" x14ac:dyDescent="0.4">
      <c r="B57" s="9" t="s">
        <v>336</v>
      </c>
      <c r="C57" s="10">
        <v>32</v>
      </c>
      <c r="D57" s="10" t="s">
        <v>37</v>
      </c>
      <c r="E57" s="10" t="s">
        <v>200</v>
      </c>
      <c r="F57" s="10" t="s">
        <v>132</v>
      </c>
      <c r="G57" s="28">
        <f>IF(F57="Futures",VLOOKUP(D57,Multiplier!B:I,8,0),0)</f>
        <v>0</v>
      </c>
      <c r="H57" s="11">
        <v>-40</v>
      </c>
      <c r="I57" s="29">
        <f t="array" ref="I57">SUM((Trades!V$2:V$9999)*(Trades!U$2:U$9999=Blotter!B57)*(Trades!$T$2:T$9999=Blotter!C57))</f>
        <v>0</v>
      </c>
      <c r="J57" s="28">
        <f>VLOOKUP(D57,Multiplier!B:D,2,0)</f>
        <v>400</v>
      </c>
      <c r="K57" s="29">
        <f t="shared" si="26"/>
        <v>0.59257500000000007</v>
      </c>
      <c r="L57" s="29">
        <f t="shared" si="27"/>
        <v>0</v>
      </c>
      <c r="M57" s="28">
        <f t="shared" si="28"/>
        <v>0</v>
      </c>
      <c r="N57" s="28">
        <f t="array" ref="N57">-SUM((Trades!T$2:T$9999=Blotter!C57)*(Trades!U$2:U$9999=Blotter!B57)*(Trades!V$2:V$9999)*(Trades!W$2:W$9999))*J57+SUM((Trades!T$2:T$9999=Blotter!C57)*(Trades!U$2:U$9999=Blotter!B57)*(Trades!X$2:X$9999))+(L57*I57)*J57</f>
        <v>9481.2000000000007</v>
      </c>
      <c r="O57" s="29">
        <f>VLOOKUP(D57,Multiplier!B:H,3,0)</f>
        <v>1.579</v>
      </c>
      <c r="P57" s="27">
        <v>0.6</v>
      </c>
      <c r="Q57" s="27"/>
      <c r="R57" s="28">
        <f t="shared" si="4"/>
        <v>-9600</v>
      </c>
      <c r="S57" s="29">
        <f t="shared" si="5"/>
        <v>0</v>
      </c>
      <c r="T57" s="3">
        <f t="shared" si="6"/>
        <v>0</v>
      </c>
      <c r="U57" s="29">
        <f t="shared" si="7"/>
        <v>0</v>
      </c>
      <c r="V57" s="3">
        <f t="shared" si="8"/>
        <v>0</v>
      </c>
      <c r="X57" s="41">
        <f t="array" ref="X57">IF(ISNUMBER(SUM((Trades!T$2:T$9999=Blotter!C57)*(Trades!U$2:U$9999=Blotter!B57)*(Trades!W$2:W$9999)*(Trades!V$2:V$9999)*(Trades!V$2:V$9999&lt;0))/SUM((Trades!T$2:T$9999=Blotter!C57)*(Trades!U$2:U$9999=Blotter!B57)*(Trades!V$2:V$9999)*(Trades!V$2:V$9999&lt;0))),SUM((Trades!T$2:T$9999=Blotter!C57)*(Trades!U$2:U$9999=Blotter!B57)*(Trades!W$2:W$9999)*(Trades!V$2:V$9999)*(Trades!V$2:V$9999&lt;0))/SUM((Trades!T$2:T$9999=Blotter!C57)*(Trades!U$2:U$9999=Blotter!B57)*(Trades!V$2:V$9999)*(Trades!V$2:V$9999&lt;0)),0)</f>
        <v>0.6</v>
      </c>
      <c r="Y57" s="41">
        <f t="array" ref="Y57">IF(ISNUMBER(SUM((Trades!T$2:T$9999=Blotter!C57)*(Trades!U$2:U$9999=Blotter!B57)*(Trades!W$2:W$9999)*(Trades!V$2:V$9999)*(Trades!V$2:V$9999&gt;0))/SUM((Trades!T$2:T$9999=Blotter!C57)*(Trades!U$2:U$9999=Blotter!B57)*(Trades!V$2:V$9999)*(Trades!V$2:V$9999&gt;0))),SUM((Trades!T$2:T$9999=Blotter!C57)*(Trades!U$2:U$9999=Blotter!B57)*(Trades!W$2:W$9999)*(Trades!V$2:V$9999)*(Trades!V$2:V$9999&gt;0))/SUM((Trades!T$2:T$9999=Blotter!C57)*(Trades!U$2:U$9999=Blotter!B57)*(Trades!V$2:V$9999)*(Trades!V$2:V$9999&gt;0)),0)</f>
        <v>0</v>
      </c>
      <c r="Z57" s="42">
        <f>IF(C$2="Last",IF(ISNUMBER(VLOOKUP(B57,Data_IB!B:O,14,0)),VLOOKUP(B57,Data_IB!B:O,14,0),0),IF(ISNUMBER(VLOOKUP(B57,Data_IB!B:O,13,0)),VLOOKUP(B57,Data_IB!B:O,13,0),0))</f>
        <v>0</v>
      </c>
    </row>
    <row r="58" spans="2:28" x14ac:dyDescent="0.4">
      <c r="B58" s="9" t="s">
        <v>335</v>
      </c>
      <c r="C58" s="10">
        <v>32</v>
      </c>
      <c r="D58" s="10" t="s">
        <v>37</v>
      </c>
      <c r="E58" s="10" t="s">
        <v>200</v>
      </c>
      <c r="F58" s="10" t="s">
        <v>132</v>
      </c>
      <c r="G58" s="28">
        <f>IF(F58="Futures",VLOOKUP(D58,Multiplier!B:I,8,0),0)</f>
        <v>0</v>
      </c>
      <c r="H58" s="11">
        <v>40</v>
      </c>
      <c r="I58" s="29">
        <f t="array" ref="I58">SUM((Trades!V$2:V$9999)*(Trades!U$2:U$9999=Blotter!B58)*(Trades!$T$2:T$9999=Blotter!C58))</f>
        <v>0</v>
      </c>
      <c r="J58" s="28">
        <f>VLOOKUP(D58,Multiplier!B:D,2,0)</f>
        <v>400</v>
      </c>
      <c r="K58" s="29">
        <f t="shared" ref="K58:K59" si="29">L58-N58/(H58*J58)</f>
        <v>1.7148499999999998</v>
      </c>
      <c r="L58" s="29">
        <f t="shared" ref="L58:L59" si="30">IF(I58=0,IF(H58&gt;0,X58,Y58),Z58)</f>
        <v>0.65</v>
      </c>
      <c r="M58" s="28">
        <f t="shared" ref="M58:M59" si="31">I58*J58*L58</f>
        <v>0</v>
      </c>
      <c r="N58" s="28">
        <f t="array" ref="N58">-SUM((Trades!T$2:T$9999=Blotter!C58)*(Trades!U$2:U$9999=Blotter!B58)*(Trades!V$2:V$9999)*(Trades!W$2:W$9999))*J58+SUM((Trades!T$2:T$9999=Blotter!C58)*(Trades!U$2:U$9999=Blotter!B58)*(Trades!X$2:X$9999))+(L58*I58)*J58</f>
        <v>-17037.599999999999</v>
      </c>
      <c r="O58" s="29">
        <f>VLOOKUP(D58,Multiplier!B:H,3,0)</f>
        <v>1.579</v>
      </c>
      <c r="P58" s="27">
        <v>1.7</v>
      </c>
      <c r="Q58" s="27"/>
      <c r="R58" s="28">
        <f t="shared" si="4"/>
        <v>27200</v>
      </c>
      <c r="S58" s="29">
        <f t="shared" si="5"/>
        <v>0</v>
      </c>
      <c r="T58" s="3">
        <f t="shared" si="6"/>
        <v>0</v>
      </c>
      <c r="U58" s="29">
        <f t="shared" si="7"/>
        <v>0</v>
      </c>
      <c r="V58" s="3">
        <f t="shared" si="8"/>
        <v>0</v>
      </c>
      <c r="X58" s="41">
        <f t="array" ref="X58">IF(ISNUMBER(SUM((Trades!T$2:T$9999=Blotter!C58)*(Trades!U$2:U$9999=Blotter!B58)*(Trades!W$2:W$9999)*(Trades!V$2:V$9999)*(Trades!V$2:V$9999&lt;0))/SUM((Trades!T$2:T$9999=Blotter!C58)*(Trades!U$2:U$9999=Blotter!B58)*(Trades!V$2:V$9999)*(Trades!V$2:V$9999&lt;0))),SUM((Trades!T$2:T$9999=Blotter!C58)*(Trades!U$2:U$9999=Blotter!B58)*(Trades!W$2:W$9999)*(Trades!V$2:V$9999)*(Trades!V$2:V$9999&lt;0))/SUM((Trades!T$2:T$9999=Blotter!C58)*(Trades!U$2:U$9999=Blotter!B58)*(Trades!V$2:V$9999)*(Trades!V$2:V$9999&lt;0)),0)</f>
        <v>0.65</v>
      </c>
      <c r="Y58" s="41">
        <f t="array" ref="Y58">IF(ISNUMBER(SUM((Trades!T$2:T$9999=Blotter!C58)*(Trades!U$2:U$9999=Blotter!B58)*(Trades!W$2:W$9999)*(Trades!V$2:V$9999)*(Trades!V$2:V$9999&gt;0))/SUM((Trades!T$2:T$9999=Blotter!C58)*(Trades!U$2:U$9999=Blotter!B58)*(Trades!V$2:V$9999)*(Trades!V$2:V$9999&gt;0))),SUM((Trades!T$2:T$9999=Blotter!C58)*(Trades!U$2:U$9999=Blotter!B58)*(Trades!W$2:W$9999)*(Trades!V$2:V$9999)*(Trades!V$2:V$9999&gt;0))/SUM((Trades!T$2:T$9999=Blotter!C58)*(Trades!U$2:U$9999=Blotter!B58)*(Trades!V$2:V$9999)*(Trades!V$2:V$9999&gt;0)),0)</f>
        <v>1.7</v>
      </c>
      <c r="Z58" s="42">
        <f>IF(C$2="Last",IF(ISNUMBER(VLOOKUP(B58,Data_IB!B:O,14,0)),VLOOKUP(B58,Data_IB!B:O,14,0),0),IF(ISNUMBER(VLOOKUP(B58,Data_IB!B:O,13,0)),VLOOKUP(B58,Data_IB!B:O,13,0),0))</f>
        <v>0</v>
      </c>
    </row>
    <row r="59" spans="2:28" x14ac:dyDescent="0.4">
      <c r="B59" s="9" t="s">
        <v>355</v>
      </c>
      <c r="C59" s="10">
        <v>34</v>
      </c>
      <c r="D59" s="10" t="s">
        <v>24</v>
      </c>
      <c r="E59" s="10" t="s">
        <v>200</v>
      </c>
      <c r="F59" s="10" t="s">
        <v>6</v>
      </c>
      <c r="G59" s="28">
        <f>IF(F59="Futures",VLOOKUP(D59,Multiplier!B:I,8,0),0)</f>
        <v>4</v>
      </c>
      <c r="H59" s="11">
        <v>4</v>
      </c>
      <c r="I59" s="29">
        <f t="array" ref="I59">SUM((Trades!V$2:V$9999)*(Trades!U$2:U$9999=Blotter!B59)*(Trades!$T$2:T$9999=Blotter!C59))</f>
        <v>0</v>
      </c>
      <c r="J59" s="28">
        <f>VLOOKUP(D59,Multiplier!B:D,2,0)</f>
        <v>1000</v>
      </c>
      <c r="K59" s="29">
        <f t="shared" si="29"/>
        <v>74.665437857142848</v>
      </c>
      <c r="L59" s="29">
        <f t="shared" si="30"/>
        <v>72.757142857142853</v>
      </c>
      <c r="M59" s="28">
        <f t="shared" si="31"/>
        <v>0</v>
      </c>
      <c r="N59" s="28">
        <f t="array" ref="N59">-SUM((Trades!T$2:T$9999=Blotter!C59)*(Trades!U$2:U$9999=Blotter!B59)*(Trades!V$2:V$9999)*(Trades!W$2:W$9999))*J59+SUM((Trades!T$2:T$9999=Blotter!C59)*(Trades!U$2:U$9999=Blotter!B59)*(Trades!X$2:X$9999))+(L59*I59)*J59</f>
        <v>-7633.1799999999803</v>
      </c>
      <c r="O59" s="29">
        <f>VLOOKUP(D59,Multiplier!B:H,3,0)</f>
        <v>2.41</v>
      </c>
      <c r="P59" s="27">
        <v>2.6</v>
      </c>
      <c r="Q59" s="27"/>
      <c r="R59" s="28">
        <f t="shared" si="4"/>
        <v>10400</v>
      </c>
      <c r="S59" s="29">
        <f t="shared" si="5"/>
        <v>0</v>
      </c>
      <c r="T59" s="3">
        <f t="shared" si="6"/>
        <v>0</v>
      </c>
      <c r="U59" s="29">
        <f t="shared" si="7"/>
        <v>0</v>
      </c>
      <c r="V59" s="3">
        <f t="shared" si="8"/>
        <v>0</v>
      </c>
      <c r="X59" s="41">
        <f t="array" ref="X59">IF(ISNUMBER(SUM((Trades!T$2:T$9999=Blotter!C59)*(Trades!U$2:U$9999=Blotter!B59)*(Trades!W$2:W$9999)*(Trades!V$2:V$9999)*(Trades!V$2:V$9999&lt;0))/SUM((Trades!T$2:T$9999=Blotter!C59)*(Trades!U$2:U$9999=Blotter!B59)*(Trades!V$2:V$9999)*(Trades!V$2:V$9999&lt;0))),SUM((Trades!T$2:T$9999=Blotter!C59)*(Trades!U$2:U$9999=Blotter!B59)*(Trades!W$2:W$9999)*(Trades!V$2:V$9999)*(Trades!V$2:V$9999&lt;0))/SUM((Trades!T$2:T$9999=Blotter!C59)*(Trades!U$2:U$9999=Blotter!B59)*(Trades!V$2:V$9999)*(Trades!V$2:V$9999&lt;0)),0)</f>
        <v>72.757142857142853</v>
      </c>
      <c r="Y59" s="41">
        <f t="array" ref="Y59">IF(ISNUMBER(SUM((Trades!T$2:T$9999=Blotter!C59)*(Trades!U$2:U$9999=Blotter!B59)*(Trades!W$2:W$9999)*(Trades!V$2:V$9999)*(Trades!V$2:V$9999&gt;0))/SUM((Trades!T$2:T$9999=Blotter!C59)*(Trades!U$2:U$9999=Blotter!B59)*(Trades!V$2:V$9999)*(Trades!V$2:V$9999&gt;0))),SUM((Trades!T$2:T$9999=Blotter!C59)*(Trades!U$2:U$9999=Blotter!B59)*(Trades!W$2:W$9999)*(Trades!V$2:V$9999)*(Trades!V$2:V$9999&gt;0))/SUM((Trades!T$2:T$9999=Blotter!C59)*(Trades!U$2:U$9999=Blotter!B59)*(Trades!V$2:V$9999)*(Trades!V$2:V$9999&gt;0)),0)</f>
        <v>73.842857142857142</v>
      </c>
      <c r="Z59" s="42">
        <f>IF(C$2="Last",IF(ISNUMBER(VLOOKUP(B59,Data_IB!B:O,14,0)),VLOOKUP(B59,Data_IB!B:O,14,0),0),IF(ISNUMBER(VLOOKUP(B59,Data_IB!B:O,13,0)),VLOOKUP(B59,Data_IB!B:O,13,0),0))</f>
        <v>0</v>
      </c>
    </row>
    <row r="60" spans="2:28" x14ac:dyDescent="0.4">
      <c r="B60" s="9" t="s">
        <v>356</v>
      </c>
      <c r="C60" s="10">
        <v>34</v>
      </c>
      <c r="D60" s="10" t="s">
        <v>9</v>
      </c>
      <c r="E60" s="10" t="s">
        <v>200</v>
      </c>
      <c r="F60" s="10" t="s">
        <v>6</v>
      </c>
      <c r="G60" s="28">
        <f>IF(F60="Futures",VLOOKUP(D60,Multiplier!B:I,8,0),0)</f>
        <v>3</v>
      </c>
      <c r="H60" s="11">
        <v>3</v>
      </c>
      <c r="I60" s="29">
        <f t="array" ref="I60">SUM((Trades!V$2:V$9999)*(Trades!U$2:U$9999=Blotter!B60)*(Trades!$T$2:T$9999=Blotter!C60))</f>
        <v>0</v>
      </c>
      <c r="J60" s="28">
        <f>VLOOKUP(D60,Multiplier!B:D,2,0)</f>
        <v>42000</v>
      </c>
      <c r="K60" s="29">
        <f t="shared" ref="K60:K61" si="32">L60-N60/(H60*J60)</f>
        <v>2.2501128571428572</v>
      </c>
      <c r="L60" s="29">
        <f t="shared" ref="L60:L61" si="33">IF(I60=0,IF(H60&gt;0,X60,Y60),Z60)</f>
        <v>2.1800000000000002</v>
      </c>
      <c r="M60" s="28">
        <f t="shared" ref="M60:M61" si="34">I60*J60*L60</f>
        <v>0</v>
      </c>
      <c r="N60" s="28">
        <f t="array" ref="N60">-SUM((Trades!T$2:T$9999=Blotter!C60)*(Trades!U$2:U$9999=Blotter!B60)*(Trades!V$2:V$9999)*(Trades!W$2:W$9999))*J60+SUM((Trades!T$2:T$9999=Blotter!C60)*(Trades!U$2:U$9999=Blotter!B60)*(Trades!X$2:X$9999))+(L60*I60)*J60</f>
        <v>-8834.2199999999975</v>
      </c>
      <c r="O60" s="29">
        <f>VLOOKUP(D60,Multiplier!B:H,3,0)</f>
        <v>7.2499999999999995E-2</v>
      </c>
      <c r="P60" s="27">
        <v>7.2999999999999995E-2</v>
      </c>
      <c r="Q60" s="27"/>
      <c r="R60" s="28">
        <f t="shared" si="4"/>
        <v>9198</v>
      </c>
      <c r="S60" s="29">
        <f t="shared" si="5"/>
        <v>0</v>
      </c>
      <c r="T60" s="3">
        <f t="shared" si="6"/>
        <v>0</v>
      </c>
      <c r="U60" s="29">
        <f t="shared" si="7"/>
        <v>0</v>
      </c>
      <c r="V60" s="3">
        <f t="shared" si="8"/>
        <v>0</v>
      </c>
      <c r="X60" s="41">
        <f t="array" ref="X60">IF(ISNUMBER(SUM((Trades!T$2:T$9999=Blotter!C60)*(Trades!U$2:U$9999=Blotter!B60)*(Trades!W$2:W$9999)*(Trades!V$2:V$9999)*(Trades!V$2:V$9999&lt;0))/SUM((Trades!T$2:T$9999=Blotter!C60)*(Trades!U$2:U$9999=Blotter!B60)*(Trades!V$2:V$9999)*(Trades!V$2:V$9999&lt;0))),SUM((Trades!T$2:T$9999=Blotter!C60)*(Trades!U$2:U$9999=Blotter!B60)*(Trades!W$2:W$9999)*(Trades!V$2:V$9999)*(Trades!V$2:V$9999&lt;0))/SUM((Trades!T$2:T$9999=Blotter!C60)*(Trades!U$2:U$9999=Blotter!B60)*(Trades!V$2:V$9999)*(Trades!V$2:V$9999&lt;0)),0)</f>
        <v>2.1800000000000002</v>
      </c>
      <c r="Y60" s="41">
        <f t="array" ref="Y60">IF(ISNUMBER(SUM((Trades!T$2:T$9999=Blotter!C60)*(Trades!U$2:U$9999=Blotter!B60)*(Trades!W$2:W$9999)*(Trades!V$2:V$9999)*(Trades!V$2:V$9999&gt;0))/SUM((Trades!T$2:T$9999=Blotter!C60)*(Trades!U$2:U$9999=Blotter!B60)*(Trades!V$2:V$9999)*(Trades!V$2:V$9999&gt;0))),SUM((Trades!T$2:T$9999=Blotter!C60)*(Trades!U$2:U$9999=Blotter!B60)*(Trades!W$2:W$9999)*(Trades!V$2:V$9999)*(Trades!V$2:V$9999&gt;0))/SUM((Trades!T$2:T$9999=Blotter!C60)*(Trades!U$2:U$9999=Blotter!B60)*(Trades!V$2:V$9999)*(Trades!V$2:V$9999&gt;0)),0)</f>
        <v>2.25</v>
      </c>
      <c r="Z60" s="42">
        <f>IF(C$2="Last",IF(ISNUMBER(VLOOKUP(B60,Data_IB!B:O,14,0)),VLOOKUP(B60,Data_IB!B:O,14,0),0),IF(ISNUMBER(VLOOKUP(B60,Data_IB!B:O,13,0)),VLOOKUP(B60,Data_IB!B:O,13,0),0))</f>
        <v>0</v>
      </c>
    </row>
    <row r="61" spans="2:28" x14ac:dyDescent="0.4">
      <c r="B61" s="9" t="s">
        <v>364</v>
      </c>
      <c r="C61" s="10">
        <v>35</v>
      </c>
      <c r="D61" s="10" t="s">
        <v>362</v>
      </c>
      <c r="E61" s="10" t="s">
        <v>199</v>
      </c>
      <c r="F61" s="10" t="s">
        <v>132</v>
      </c>
      <c r="G61" s="28">
        <f>IF(F61="Futures",VLOOKUP(D61,Multiplier!B:I,8,0),0)</f>
        <v>0</v>
      </c>
      <c r="H61" s="11">
        <v>80</v>
      </c>
      <c r="I61" s="29">
        <f t="array" ref="I61">SUM((Trades!V$2:V$9999)*(Trades!U$2:U$9999=Blotter!B61)*(Trades!$T$2:T$9999=Blotter!C61))</f>
        <v>0</v>
      </c>
      <c r="J61" s="28">
        <f>VLOOKUP(D61,Multiplier!B:D,2,0)</f>
        <v>100</v>
      </c>
      <c r="K61" s="29">
        <f t="shared" si="32"/>
        <v>2.7681199999999997</v>
      </c>
      <c r="L61" s="29">
        <f t="shared" si="33"/>
        <v>0</v>
      </c>
      <c r="M61" s="28">
        <f t="shared" si="34"/>
        <v>0</v>
      </c>
      <c r="N61" s="28">
        <f t="array" ref="N61">-SUM((Trades!T$2:T$9999=Blotter!C61)*(Trades!U$2:U$9999=Blotter!B61)*(Trades!V$2:V$9999)*(Trades!W$2:W$9999))*J61+SUM((Trades!T$2:T$9999=Blotter!C61)*(Trades!U$2:U$9999=Blotter!B61)*(Trades!X$2:X$9999))+(L61*I61)*J61</f>
        <v>-22144.959999999999</v>
      </c>
      <c r="O61" s="29">
        <f>VLOOKUP(D61,Multiplier!B:H,3,0)</f>
        <v>1.06</v>
      </c>
      <c r="P61" s="27">
        <v>2.7681199999999997</v>
      </c>
      <c r="Q61" s="27"/>
      <c r="R61" s="28">
        <f t="shared" ref="R61" si="35">(1-Q61)*P61*J61*H61</f>
        <v>22144.959999999995</v>
      </c>
      <c r="S61" s="29">
        <f t="shared" ref="S61:S67" si="36">IF(OR(F61="Futures",F61="Stocks"),IF(I61=0,0,IF(I61&gt;0,L61-O61,L61+O61)),0)</f>
        <v>0</v>
      </c>
      <c r="T61" s="3">
        <f t="shared" ref="T61" si="37">IF(S61&gt;0,IF(ISNUMBER(S61/L61-1),S61/L61-1,0),0)</f>
        <v>0</v>
      </c>
      <c r="U61" s="29">
        <f t="shared" ref="U61:U67" si="38">IF(OR(F61="Futures",F61="Stocks"),IF(I61=0,0,IF(I61&gt;0,K61-P61,K61+P61)),0)</f>
        <v>0</v>
      </c>
      <c r="V61" s="3">
        <f t="shared" ref="V61" si="39">IF(U61&gt;0,IF(ISNUMBER(U61/L61-1),U61/L61-1,0),0)</f>
        <v>0</v>
      </c>
      <c r="X61" s="41">
        <f t="array" ref="X61">IF(ISNUMBER(SUM((Trades!T$2:T$9999=Blotter!C61)*(Trades!U$2:U$9999=Blotter!B61)*(Trades!W$2:W$9999)*(Trades!V$2:V$9999)*(Trades!V$2:V$9999&lt;0))/SUM((Trades!T$2:T$9999=Blotter!C61)*(Trades!U$2:U$9999=Blotter!B61)*(Trades!V$2:V$9999)*(Trades!V$2:V$9999&lt;0))),SUM((Trades!T$2:T$9999=Blotter!C61)*(Trades!U$2:U$9999=Blotter!B61)*(Trades!W$2:W$9999)*(Trades!V$2:V$9999)*(Trades!V$2:V$9999&lt;0))/SUM((Trades!T$2:T$9999=Blotter!C61)*(Trades!U$2:U$9999=Blotter!B61)*(Trades!V$2:V$9999)*(Trades!V$2:V$9999&lt;0)),0)</f>
        <v>0</v>
      </c>
      <c r="Y61" s="41">
        <f t="array" ref="Y61">IF(ISNUMBER(SUM((Trades!T$2:T$9999=Blotter!C61)*(Trades!U$2:U$9999=Blotter!B61)*(Trades!W$2:W$9999)*(Trades!V$2:V$9999)*(Trades!V$2:V$9999&gt;0))/SUM((Trades!T$2:T$9999=Blotter!C61)*(Trades!U$2:U$9999=Blotter!B61)*(Trades!V$2:V$9999)*(Trades!V$2:V$9999&gt;0))),SUM((Trades!T$2:T$9999=Blotter!C61)*(Trades!U$2:U$9999=Blotter!B61)*(Trades!W$2:W$9999)*(Trades!V$2:V$9999)*(Trades!V$2:V$9999&gt;0))/SUM((Trades!T$2:T$9999=Blotter!C61)*(Trades!U$2:U$9999=Blotter!B61)*(Trades!V$2:V$9999)*(Trades!V$2:V$9999&gt;0)),0)</f>
        <v>2.7628750000000002</v>
      </c>
      <c r="Z61" s="42">
        <f>IF(C$2="Last",IF(ISNUMBER(VLOOKUP(B61,Data_IB!B:O,14,0)),VLOOKUP(B61,Data_IB!B:O,14,0),0),IF(ISNUMBER(VLOOKUP(B61,Data_IB!B:O,13,0)),VLOOKUP(B61,Data_IB!B:O,13,0),0))</f>
        <v>0</v>
      </c>
    </row>
    <row r="62" spans="2:28" x14ac:dyDescent="0.4">
      <c r="B62" s="9" t="s">
        <v>366</v>
      </c>
      <c r="C62" s="10">
        <v>35</v>
      </c>
      <c r="D62" s="10" t="s">
        <v>362</v>
      </c>
      <c r="E62" s="10" t="s">
        <v>199</v>
      </c>
      <c r="F62" s="10" t="s">
        <v>132</v>
      </c>
      <c r="G62" s="28">
        <f>IF(F62="Futures",VLOOKUP(D62,Multiplier!B:I,8,0),0)</f>
        <v>0</v>
      </c>
      <c r="H62" s="11">
        <v>-80</v>
      </c>
      <c r="I62" s="29">
        <f t="array" ref="I62">SUM((Trades!V$2:V$9999)*(Trades!U$2:U$9999=Blotter!B62)*(Trades!$T$2:T$9999=Blotter!C62))</f>
        <v>0</v>
      </c>
      <c r="J62" s="28">
        <f>VLOOKUP(D62,Multiplier!B:D,2,0)</f>
        <v>100</v>
      </c>
      <c r="K62" s="29">
        <f t="shared" ref="K62" si="40">L62-N62/(H62*J62)</f>
        <v>0.31040307400000006</v>
      </c>
      <c r="L62" s="29">
        <f t="shared" ref="L62" si="41">IF(I62=0,IF(H62&gt;0,X62,Y62),Z62)</f>
        <v>0</v>
      </c>
      <c r="M62" s="28">
        <f t="shared" ref="M62" si="42">I62*J62*L62</f>
        <v>0</v>
      </c>
      <c r="N62" s="28">
        <f t="array" ref="N62">-SUM((Trades!T$2:T$9999=Blotter!C62)*(Trades!U$2:U$9999=Blotter!B62)*(Trades!V$2:V$9999)*(Trades!W$2:W$9999))*J62+SUM((Trades!T$2:T$9999=Blotter!C62)*(Trades!U$2:U$9999=Blotter!B62)*(Trades!X$2:X$9999))+(L62*I62)*J62</f>
        <v>2483.2245920000005</v>
      </c>
      <c r="O62" s="29">
        <f>VLOOKUP(D62,Multiplier!B:H,3,0)</f>
        <v>1.06</v>
      </c>
      <c r="P62" s="27">
        <v>0.31040307400000006</v>
      </c>
      <c r="Q62" s="27"/>
      <c r="R62" s="28">
        <f t="shared" ref="R62" si="43">(1-Q62)*P62*J62*H62</f>
        <v>-2483.2245920000005</v>
      </c>
      <c r="S62" s="29">
        <f t="shared" si="36"/>
        <v>0</v>
      </c>
      <c r="T62" s="3">
        <f t="shared" ref="T62" si="44">IF(S62&gt;0,IF(ISNUMBER(S62/L62-1),S62/L62-1,0),0)</f>
        <v>0</v>
      </c>
      <c r="U62" s="29">
        <f t="shared" si="38"/>
        <v>0</v>
      </c>
      <c r="V62" s="3">
        <f t="shared" ref="V62" si="45">IF(U62&gt;0,IF(ISNUMBER(U62/L62-1),U62/L62-1,0),0)</f>
        <v>0</v>
      </c>
      <c r="X62" s="41">
        <f t="array" ref="X62">IF(ISNUMBER(SUM((Trades!T$2:T$9999=Blotter!C62)*(Trades!U$2:U$9999=Blotter!B62)*(Trades!W$2:W$9999)*(Trades!V$2:V$9999)*(Trades!V$2:V$9999&lt;0))/SUM((Trades!T$2:T$9999=Blotter!C62)*(Trades!U$2:U$9999=Blotter!B62)*(Trades!V$2:V$9999)*(Trades!V$2:V$9999&lt;0))),SUM((Trades!T$2:T$9999=Blotter!C62)*(Trades!U$2:U$9999=Blotter!B62)*(Trades!W$2:W$9999)*(Trades!V$2:V$9999)*(Trades!V$2:V$9999&lt;0))/SUM((Trades!T$2:T$9999=Blotter!C62)*(Trades!U$2:U$9999=Blotter!B62)*(Trades!V$2:V$9999)*(Trades!V$2:V$9999&lt;0)),0)</f>
        <v>0.31575000000000009</v>
      </c>
      <c r="Y62" s="41">
        <f t="array" ref="Y62">IF(ISNUMBER(SUM((Trades!T$2:T$9999=Blotter!C62)*(Trades!U$2:U$9999=Blotter!B62)*(Trades!W$2:W$9999)*(Trades!V$2:V$9999)*(Trades!V$2:V$9999&gt;0))/SUM((Trades!T$2:T$9999=Blotter!C62)*(Trades!U$2:U$9999=Blotter!B62)*(Trades!V$2:V$9999)*(Trades!V$2:V$9999&gt;0))),SUM((Trades!T$2:T$9999=Blotter!C62)*(Trades!U$2:U$9999=Blotter!B62)*(Trades!W$2:W$9999)*(Trades!V$2:V$9999)*(Trades!V$2:V$9999&gt;0))/SUM((Trades!T$2:T$9999=Blotter!C62)*(Trades!U$2:U$9999=Blotter!B62)*(Trades!V$2:V$9999)*(Trades!V$2:V$9999&gt;0)),0)</f>
        <v>0</v>
      </c>
      <c r="Z62" s="42">
        <f>IF(C$2="Last",IF(ISNUMBER(VLOOKUP(B62,Data_IB!B:O,14,0)),VLOOKUP(B62,Data_IB!B:O,14,0),0),IF(ISNUMBER(VLOOKUP(B62,Data_IB!B:O,13,0)),VLOOKUP(B62,Data_IB!B:O,13,0),0))</f>
        <v>0</v>
      </c>
    </row>
    <row r="63" spans="2:28" x14ac:dyDescent="0.4">
      <c r="B63" s="9" t="s">
        <v>362</v>
      </c>
      <c r="C63" s="10">
        <v>35</v>
      </c>
      <c r="D63" s="10" t="s">
        <v>381</v>
      </c>
      <c r="E63" s="10" t="s">
        <v>199</v>
      </c>
      <c r="F63" s="10" t="s">
        <v>201</v>
      </c>
      <c r="G63" s="28">
        <f>IF(F63="Futures",VLOOKUP(D63,Multiplier!B:I,8,0),0)</f>
        <v>0</v>
      </c>
      <c r="H63" s="11">
        <v>1000</v>
      </c>
      <c r="I63" s="29">
        <f t="array" ref="I63">SUM((Trades!V$2:V$9999)*(Trades!U$2:U$9999=Blotter!B63)*(Trades!$T$2:T$9999=Blotter!C63))</f>
        <v>0</v>
      </c>
      <c r="J63" s="28">
        <f>VLOOKUP(D63,Multiplier!B:D,2,0)</f>
        <v>1</v>
      </c>
      <c r="K63" s="29">
        <f t="shared" ref="K63" si="46">L63-N63/(H63*J63)</f>
        <v>16.160274999999999</v>
      </c>
      <c r="L63" s="29">
        <f t="shared" ref="L63" si="47">IF(I63=0,IF(H63&gt;0,X63,Y63),Z63)</f>
        <v>16.25</v>
      </c>
      <c r="M63" s="28">
        <f t="shared" ref="M63" si="48">I63*J63*L63</f>
        <v>0</v>
      </c>
      <c r="N63" s="28">
        <f t="array" ref="N63">-SUM((Trades!T$2:T$9999=Blotter!C63)*(Trades!U$2:U$9999=Blotter!B63)*(Trades!V$2:V$9999)*(Trades!W$2:W$9999))*J63+SUM((Trades!T$2:T$9999=Blotter!C63)*(Trades!U$2:U$9999=Blotter!B63)*(Trades!X$2:X$9999))+(L63*I63)*J63</f>
        <v>89.725000000001813</v>
      </c>
      <c r="O63" s="29">
        <f>VLOOKUP(D63,Multiplier!B:H,3,0)</f>
        <v>1.06</v>
      </c>
      <c r="P63" s="27">
        <v>1.06</v>
      </c>
      <c r="Q63" s="27"/>
      <c r="R63" s="28">
        <f t="shared" ref="R63" si="49">(1-Q63)*P63*J63*H63</f>
        <v>1060</v>
      </c>
      <c r="S63" s="53">
        <f t="shared" si="36"/>
        <v>0</v>
      </c>
      <c r="T63" s="3">
        <f t="shared" ref="T63" si="50">IF(S63&gt;0,IF(ISNUMBER(S63/L63-1),S63/L63-1,0),0)</f>
        <v>0</v>
      </c>
      <c r="U63" s="53">
        <f t="shared" si="38"/>
        <v>0</v>
      </c>
      <c r="V63" s="3">
        <f t="shared" ref="V63" si="51">IF(U63&gt;0,IF(ISNUMBER(U63/L63-1),U63/L63-1,0),0)</f>
        <v>0</v>
      </c>
      <c r="X63" s="41">
        <f t="array" ref="X63">IF(ISNUMBER(SUM((Trades!T$2:T$9999=Blotter!C63)*(Trades!U$2:U$9999=Blotter!B63)*(Trades!W$2:W$9999)*(Trades!V$2:V$9999)*(Trades!V$2:V$9999&lt;0))/SUM((Trades!T$2:T$9999=Blotter!C63)*(Trades!U$2:U$9999=Blotter!B63)*(Trades!V$2:V$9999)*(Trades!V$2:V$9999&lt;0))),SUM((Trades!T$2:T$9999=Blotter!C63)*(Trades!U$2:U$9999=Blotter!B63)*(Trades!W$2:W$9999)*(Trades!V$2:V$9999)*(Trades!V$2:V$9999&lt;0))/SUM((Trades!T$2:T$9999=Blotter!C63)*(Trades!U$2:U$9999=Blotter!B63)*(Trades!V$2:V$9999)*(Trades!V$2:V$9999&lt;0)),0)</f>
        <v>16.25</v>
      </c>
      <c r="Y63" s="41">
        <f t="array" ref="Y63">IF(ISNUMBER(SUM((Trades!T$2:T$9999=Blotter!C63)*(Trades!U$2:U$9999=Blotter!B63)*(Trades!W$2:W$9999)*(Trades!V$2:V$9999)*(Trades!V$2:V$9999&gt;0))/SUM((Trades!T$2:T$9999=Blotter!C63)*(Trades!U$2:U$9999=Blotter!B63)*(Trades!V$2:V$9999)*(Trades!V$2:V$9999&gt;0))),SUM((Trades!T$2:T$9999=Blotter!C63)*(Trades!U$2:U$9999=Blotter!B63)*(Trades!W$2:W$9999)*(Trades!V$2:V$9999)*(Trades!V$2:V$9999&gt;0))/SUM((Trades!T$2:T$9999=Blotter!C63)*(Trades!U$2:U$9999=Blotter!B63)*(Trades!V$2:V$9999)*(Trades!V$2:V$9999&gt;0)),0)</f>
        <v>16.149999999999999</v>
      </c>
      <c r="Z63" s="42">
        <f>IF(C$2="Last",IF(ISNUMBER(VLOOKUP(B63,Data_IB!B:O,14,0)),VLOOKUP(B63,Data_IB!B:O,14,0),0),IF(ISNUMBER(VLOOKUP(B63,Data_IB!B:O,13,0)),VLOOKUP(B63,Data_IB!B:O,13,0),0))</f>
        <v>0</v>
      </c>
    </row>
    <row r="64" spans="2:28" x14ac:dyDescent="0.4">
      <c r="B64" s="9" t="s">
        <v>369</v>
      </c>
      <c r="C64" s="10">
        <v>36</v>
      </c>
      <c r="D64" s="10" t="s">
        <v>5</v>
      </c>
      <c r="E64" s="10" t="s">
        <v>200</v>
      </c>
      <c r="F64" s="10" t="s">
        <v>6</v>
      </c>
      <c r="G64" s="28">
        <f>IF(F64="Futures",VLOOKUP(D64,Multiplier!B:I,8,0),0)</f>
        <v>8</v>
      </c>
      <c r="H64" s="11">
        <v>12</v>
      </c>
      <c r="I64" s="29">
        <f t="array" ref="I64">SUM((Trades!V$2:V$9999)*(Trades!U$2:U$9999=Blotter!B64)*(Trades!$T$2:T$9999=Blotter!C64))</f>
        <v>0</v>
      </c>
      <c r="J64" s="28">
        <f>VLOOKUP(D64,Multiplier!B:D,2,0)</f>
        <v>10000</v>
      </c>
      <c r="K64" s="53">
        <f t="shared" ref="K64" si="52">L64-N64/(H64*J64)</f>
        <v>2.3849740000000001</v>
      </c>
      <c r="L64" s="53">
        <f t="shared" ref="L64" si="53">IF(I64=0,IF(H64&gt;0,X64,Y64),Z64)</f>
        <v>2.7475000000000001</v>
      </c>
      <c r="M64" s="28">
        <f t="shared" ref="M64" si="54">I64*J64*L64</f>
        <v>0</v>
      </c>
      <c r="N64" s="28">
        <f t="array" ref="N64">-SUM((Trades!T$2:T$9999=Blotter!C64)*(Trades!U$2:U$9999=Blotter!B64)*(Trades!V$2:V$9999)*(Trades!W$2:W$9999))*J64+SUM((Trades!T$2:T$9999=Blotter!C64)*(Trades!U$2:U$9999=Blotter!B64)*(Trades!X$2:X$9999))+(L64*I64)*J64</f>
        <v>43503.119999999966</v>
      </c>
      <c r="O64" s="29">
        <f>VLOOKUP(D64,Multiplier!B:H,3,0)</f>
        <v>0.13200000000000001</v>
      </c>
      <c r="P64" s="27">
        <v>0.156</v>
      </c>
      <c r="Q64" s="27">
        <v>1</v>
      </c>
      <c r="R64" s="28">
        <f t="shared" ref="R64" si="55">(1-Q64)*P64*J64*H64</f>
        <v>0</v>
      </c>
      <c r="S64" s="53">
        <f t="shared" si="36"/>
        <v>0</v>
      </c>
      <c r="T64" s="3">
        <f t="shared" ref="T64" si="56">IF(S64&gt;0,IF(ISNUMBER(S64/L64-1),S64/L64-1,0),0)</f>
        <v>0</v>
      </c>
      <c r="U64" s="53">
        <f t="shared" si="38"/>
        <v>0</v>
      </c>
      <c r="V64" s="3">
        <f t="shared" ref="V64" si="57">IF(U64&gt;0,IF(ISNUMBER(U64/L64-1),U64/L64-1,0),0)</f>
        <v>0</v>
      </c>
      <c r="X64" s="41">
        <f t="array" ref="X64">IF(ISNUMBER(SUM((Trades!T$2:T$9999=Blotter!C64)*(Trades!U$2:U$9999=Blotter!B64)*(Trades!W$2:W$9999)*(Trades!V$2:V$9999)*(Trades!V$2:V$9999&lt;0))/SUM((Trades!T$2:T$9999=Blotter!C64)*(Trades!U$2:U$9999=Blotter!B64)*(Trades!V$2:V$9999)*(Trades!V$2:V$9999&lt;0))),SUM((Trades!T$2:T$9999=Blotter!C64)*(Trades!U$2:U$9999=Blotter!B64)*(Trades!W$2:W$9999)*(Trades!V$2:V$9999)*(Trades!V$2:V$9999&lt;0))/SUM((Trades!T$2:T$9999=Blotter!C64)*(Trades!U$2:U$9999=Blotter!B64)*(Trades!V$2:V$9999)*(Trades!V$2:V$9999&lt;0)),0)</f>
        <v>2.7475000000000001</v>
      </c>
      <c r="Y64" s="41">
        <f t="array" ref="Y64">IF(ISNUMBER(SUM((Trades!T$2:T$9999=Blotter!C64)*(Trades!U$2:U$9999=Blotter!B64)*(Trades!W$2:W$9999)*(Trades!V$2:V$9999)*(Trades!V$2:V$9999&gt;0))/SUM((Trades!T$2:T$9999=Blotter!C64)*(Trades!U$2:U$9999=Blotter!B64)*(Trades!V$2:V$9999)*(Trades!V$2:V$9999&gt;0))),SUM((Trades!T$2:T$9999=Blotter!C64)*(Trades!U$2:U$9999=Blotter!B64)*(Trades!W$2:W$9999)*(Trades!V$2:V$9999)*(Trades!V$2:V$9999&gt;0))/SUM((Trades!T$2:T$9999=Blotter!C64)*(Trades!U$2:U$9999=Blotter!B64)*(Trades!V$2:V$9999)*(Trades!V$2:V$9999&gt;0)),0)</f>
        <v>2.3845000000000001</v>
      </c>
      <c r="Z64" s="42">
        <f>IF(C$2="Last",IF(ISNUMBER(VLOOKUP(B64,Data_IB!B:O,14,0)),VLOOKUP(B64,Data_IB!B:O,14,0),0),IF(ISNUMBER(VLOOKUP(B64,Data_IB!B:O,13,0)),VLOOKUP(B64,Data_IB!B:O,13,0),0))</f>
        <v>0</v>
      </c>
      <c r="AB64" s="87"/>
    </row>
    <row r="65" spans="2:28" x14ac:dyDescent="0.4">
      <c r="B65" s="9" t="s">
        <v>424</v>
      </c>
      <c r="C65" s="10">
        <v>36</v>
      </c>
      <c r="D65" s="10" t="s">
        <v>5</v>
      </c>
      <c r="E65" s="10" t="s">
        <v>200</v>
      </c>
      <c r="F65" s="10" t="s">
        <v>6</v>
      </c>
      <c r="G65" s="28">
        <f>IF(F65="Futures",VLOOKUP(D65,Multiplier!B:I,8,0),0)</f>
        <v>8</v>
      </c>
      <c r="H65" s="11">
        <v>12</v>
      </c>
      <c r="I65" s="29">
        <f t="array" ref="I65">SUM((Trades!V$2:V$9999)*(Trades!U$2:U$9999=Blotter!B65)*(Trades!$T$2:T$9999=Blotter!C65))</f>
        <v>0</v>
      </c>
      <c r="J65" s="28">
        <f>VLOOKUP(D65,Multiplier!B:D,2,0)</f>
        <v>10000</v>
      </c>
      <c r="K65" s="53">
        <f t="shared" ref="K65" si="58">L65-N65/(H65*J65)</f>
        <v>2.0934980000000003</v>
      </c>
      <c r="L65" s="53">
        <f t="shared" ref="L65:L67" si="59">IF(I65=0,IF(H65&gt;0,X65,Y65),Z65)</f>
        <v>2.1150000000000002</v>
      </c>
      <c r="M65" s="28">
        <f t="shared" ref="M65" si="60">I65*J65*L65</f>
        <v>0</v>
      </c>
      <c r="N65" s="28">
        <f t="array" ref="N65">-SUM((Trades!T$2:T$9999=Blotter!C65)*(Trades!U$2:U$9999=Blotter!B65)*(Trades!V$2:V$9999)*(Trades!W$2:W$9999))*J65+SUM((Trades!T$2:T$9999=Blotter!C65)*(Trades!U$2:U$9999=Blotter!B65)*(Trades!X$2:X$9999))+(L65*I65)*J65</f>
        <v>2580.2400000000152</v>
      </c>
      <c r="O65" s="29">
        <f>VLOOKUP(D65,Multiplier!B:H,3,0)</f>
        <v>0.13200000000000001</v>
      </c>
      <c r="P65" s="27">
        <v>0.156</v>
      </c>
      <c r="Q65" s="27"/>
      <c r="R65" s="28">
        <f t="shared" ref="R65" si="61">(1-Q65)*P65*J65*H65</f>
        <v>18720</v>
      </c>
      <c r="S65" s="53">
        <f t="shared" si="36"/>
        <v>0</v>
      </c>
      <c r="T65" s="3">
        <f t="shared" ref="T65" si="62">IF(S65&gt;0,IF(ISNUMBER(S65/L65-1),S65/L65-1,0),0)</f>
        <v>0</v>
      </c>
      <c r="U65" s="53">
        <f t="shared" si="38"/>
        <v>0</v>
      </c>
      <c r="V65" s="3">
        <f t="shared" ref="V65" si="63">IF(U65&gt;0,IF(ISNUMBER(U65/L65-1),U65/L65-1,0),0)</f>
        <v>0</v>
      </c>
      <c r="X65" s="41">
        <f t="array" ref="X65">IF(ISNUMBER(SUM((Trades!T$2:T$9999=Blotter!C65)*(Trades!U$2:U$9999=Blotter!B65)*(Trades!W$2:W$9999)*(Trades!V$2:V$9999)*(Trades!V$2:V$9999&lt;0))/SUM((Trades!T$2:T$9999=Blotter!C65)*(Trades!U$2:U$9999=Blotter!B65)*(Trades!V$2:V$9999)*(Trades!V$2:V$9999&lt;0))),SUM((Trades!T$2:T$9999=Blotter!C65)*(Trades!U$2:U$9999=Blotter!B65)*(Trades!W$2:W$9999)*(Trades!V$2:V$9999)*(Trades!V$2:V$9999&lt;0))/SUM((Trades!T$2:T$9999=Blotter!C65)*(Trades!U$2:U$9999=Blotter!B65)*(Trades!V$2:V$9999)*(Trades!V$2:V$9999&lt;0)),0)</f>
        <v>2.1150000000000002</v>
      </c>
      <c r="Y65" s="41">
        <f t="array" ref="Y65">IF(ISNUMBER(SUM((Trades!T$2:T$9999=Blotter!C65)*(Trades!U$2:U$9999=Blotter!B65)*(Trades!W$2:W$9999)*(Trades!V$2:V$9999)*(Trades!V$2:V$9999&gt;0))/SUM((Trades!T$2:T$9999=Blotter!C65)*(Trades!U$2:U$9999=Blotter!B65)*(Trades!V$2:V$9999)*(Trades!V$2:V$9999&gt;0))),SUM((Trades!T$2:T$9999=Blotter!C65)*(Trades!U$2:U$9999=Blotter!B65)*(Trades!W$2:W$9999)*(Trades!V$2:V$9999)*(Trades!V$2:V$9999&gt;0))/SUM((Trades!T$2:T$9999=Blotter!C65)*(Trades!U$2:U$9999=Blotter!B65)*(Trades!V$2:V$9999)*(Trades!V$2:V$9999&gt;0)),0)</f>
        <v>2.0499999999999998</v>
      </c>
      <c r="Z65" s="42">
        <f>IF(C$2="Last",IF(ISNUMBER(VLOOKUP(B65,Data_IB!B:O,14,0)),VLOOKUP(B65,Data_IB!B:O,14,0),0),IF(ISNUMBER(VLOOKUP(B65,Data_IB!B:O,13,0)),VLOOKUP(B65,Data_IB!B:O,13,0),0))</f>
        <v>0</v>
      </c>
      <c r="AB65" s="87"/>
    </row>
    <row r="66" spans="2:28" x14ac:dyDescent="0.4">
      <c r="B66" s="9" t="s">
        <v>384</v>
      </c>
      <c r="C66" s="10">
        <v>37</v>
      </c>
      <c r="D66" s="10" t="s">
        <v>25</v>
      </c>
      <c r="E66" s="10" t="s">
        <v>200</v>
      </c>
      <c r="F66" s="10" t="s">
        <v>6</v>
      </c>
      <c r="G66" s="28">
        <f>IF(F66="Futures",VLOOKUP(D66,Multiplier!B:I,8,0),0)</f>
        <v>6</v>
      </c>
      <c r="H66" s="11">
        <v>5</v>
      </c>
      <c r="I66" s="29">
        <f t="array" ref="I66">SUM((Trades!V$2:V$9999)*(Trades!U$2:U$9999=Blotter!B66)*(Trades!$T$2:T$9999=Blotter!C66))</f>
        <v>0</v>
      </c>
      <c r="J66" s="28">
        <f>VLOOKUP(D66,Multiplier!B:D,2,0)</f>
        <v>25000</v>
      </c>
      <c r="K66" s="53">
        <f t="shared" ref="K66:K67" si="64">L66-N66/(H66*J66)</f>
        <v>3.5887602529032265</v>
      </c>
      <c r="L66" s="53">
        <f t="shared" si="59"/>
        <v>3.8314516129032259</v>
      </c>
      <c r="M66" s="28">
        <f t="shared" ref="M66:M67" si="65">I66*J66*L66</f>
        <v>0</v>
      </c>
      <c r="N66" s="28">
        <f t="array" ref="N66">-SUM((Trades!T$2:T$9999=Blotter!C66)*(Trades!U$2:U$9999=Blotter!B66)*(Trades!V$2:V$9999)*(Trades!W$2:W$9999))*J66+SUM((Trades!T$2:T$9999=Blotter!C66)*(Trades!U$2:U$9999=Blotter!B66)*(Trades!X$2:X$9999))+(L66*I66)*J66</f>
        <v>30336.419999999918</v>
      </c>
      <c r="O66" s="29">
        <f>VLOOKUP(D66,Multiplier!B:H,3,0)</f>
        <v>7.0800000000000002E-2</v>
      </c>
      <c r="P66" s="27">
        <v>7.0800000000000002E-2</v>
      </c>
      <c r="Q66" s="27"/>
      <c r="R66" s="28">
        <f t="shared" ref="R66:R67" si="66">(1-Q66)*P66*J66*H66</f>
        <v>8850</v>
      </c>
      <c r="S66" s="53">
        <f t="shared" si="36"/>
        <v>0</v>
      </c>
      <c r="T66" s="3">
        <f t="shared" ref="T66:T67" si="67">IF(S66&gt;0,IF(ISNUMBER(S66/L66-1),S66/L66-1,0),0)</f>
        <v>0</v>
      </c>
      <c r="U66" s="53">
        <f t="shared" si="38"/>
        <v>0</v>
      </c>
      <c r="V66" s="3">
        <f t="shared" ref="V66:V67" si="68">IF(U66&gt;0,IF(ISNUMBER(U66/L66-1),U66/L66-1,0),0)</f>
        <v>0</v>
      </c>
      <c r="X66" s="41">
        <f t="array" ref="X66">IF(ISNUMBER(SUM((Trades!T$2:T$9999=Blotter!C66)*(Trades!U$2:U$9999=Blotter!B66)*(Trades!W$2:W$9999)*(Trades!V$2:V$9999)*(Trades!V$2:V$9999&lt;0))/SUM((Trades!T$2:T$9999=Blotter!C66)*(Trades!U$2:U$9999=Blotter!B66)*(Trades!V$2:V$9999)*(Trades!V$2:V$9999&lt;0))),SUM((Trades!T$2:T$9999=Blotter!C66)*(Trades!U$2:U$9999=Blotter!B66)*(Trades!W$2:W$9999)*(Trades!V$2:V$9999)*(Trades!V$2:V$9999&lt;0))/SUM((Trades!T$2:T$9999=Blotter!C66)*(Trades!U$2:U$9999=Blotter!B66)*(Trades!V$2:V$9999)*(Trades!V$2:V$9999&lt;0)),0)</f>
        <v>3.8314516129032259</v>
      </c>
      <c r="Y66" s="41">
        <f t="array" ref="Y66">IF(ISNUMBER(SUM((Trades!T$2:T$9999=Blotter!C66)*(Trades!U$2:U$9999=Blotter!B66)*(Trades!W$2:W$9999)*(Trades!V$2:V$9999)*(Trades!V$2:V$9999&gt;0))/SUM((Trades!T$2:T$9999=Blotter!C66)*(Trades!U$2:U$9999=Blotter!B66)*(Trades!V$2:V$9999)*(Trades!V$2:V$9999&gt;0))),SUM((Trades!T$2:T$9999=Blotter!C66)*(Trades!U$2:U$9999=Blotter!B66)*(Trades!W$2:W$9999)*(Trades!V$2:V$9999)*(Trades!V$2:V$9999&gt;0))/SUM((Trades!T$2:T$9999=Blotter!C66)*(Trades!U$2:U$9999=Blotter!B66)*(Trades!V$2:V$9999)*(Trades!V$2:V$9999&gt;0)),0)</f>
        <v>3.8116854838709666</v>
      </c>
      <c r="Z66" s="42">
        <f>IF(C$2="Last",IF(ISNUMBER(VLOOKUP(B66,Data_IB!B:O,14,0)),VLOOKUP(B66,Data_IB!B:O,14,0),0),IF(ISNUMBER(VLOOKUP(B66,Data_IB!B:O,13,0)),VLOOKUP(B66,Data_IB!B:O,13,0),0))</f>
        <v>0</v>
      </c>
      <c r="AB66" s="87"/>
    </row>
    <row r="67" spans="2:28" x14ac:dyDescent="0.4">
      <c r="B67" s="9" t="s">
        <v>431</v>
      </c>
      <c r="C67" s="10">
        <v>37</v>
      </c>
      <c r="D67" s="10" t="s">
        <v>25</v>
      </c>
      <c r="E67" s="10" t="s">
        <v>200</v>
      </c>
      <c r="F67" s="10" t="s">
        <v>6</v>
      </c>
      <c r="G67" s="28">
        <f>IF(F67="Futures",VLOOKUP(D67,Multiplier!B:I,8,0),0)</f>
        <v>6</v>
      </c>
      <c r="H67" s="11">
        <v>5</v>
      </c>
      <c r="I67" s="29">
        <f t="array" ref="I67">SUM((Trades!V$2:V$9999)*(Trades!U$2:U$9999=Blotter!B67)*(Trades!$T$2:T$9999=Blotter!C67))</f>
        <v>0</v>
      </c>
      <c r="J67" s="28">
        <f>VLOOKUP(D67,Multiplier!B:D,2,0)</f>
        <v>25000</v>
      </c>
      <c r="K67" s="53">
        <f t="shared" si="64"/>
        <v>3.8846975999999995</v>
      </c>
      <c r="L67" s="53">
        <f t="shared" si="59"/>
        <v>3.8899999999999997</v>
      </c>
      <c r="M67" s="28">
        <f t="shared" si="65"/>
        <v>0</v>
      </c>
      <c r="N67" s="28">
        <f t="array" ref="N67">-SUM((Trades!T$2:T$9999=Blotter!C67)*(Trades!U$2:U$9999=Blotter!B67)*(Trades!V$2:V$9999)*(Trades!W$2:W$9999))*J67+SUM((Trades!T$2:T$9999=Blotter!C67)*(Trades!U$2:U$9999=Blotter!B67)*(Trades!X$2:X$9999))+(L67*I67)*J67</f>
        <v>662.80000000004077</v>
      </c>
      <c r="O67" s="29">
        <f>VLOOKUP(D67,Multiplier!B:H,3,0)</f>
        <v>7.0800000000000002E-2</v>
      </c>
      <c r="P67" s="27">
        <v>7.0800000000000002E-2</v>
      </c>
      <c r="Q67" s="27"/>
      <c r="R67" s="28">
        <f t="shared" si="66"/>
        <v>8850</v>
      </c>
      <c r="S67" s="29">
        <f t="shared" si="36"/>
        <v>0</v>
      </c>
      <c r="T67" s="3">
        <f t="shared" si="67"/>
        <v>0</v>
      </c>
      <c r="U67" s="53">
        <f t="shared" si="38"/>
        <v>0</v>
      </c>
      <c r="V67" s="3">
        <f t="shared" si="68"/>
        <v>0</v>
      </c>
      <c r="X67" s="41">
        <f t="array" ref="X67">IF(ISNUMBER(SUM((Trades!T$2:T$9999=Blotter!C67)*(Trades!U$2:U$9999=Blotter!B67)*(Trades!W$2:W$9999)*(Trades!V$2:V$9999)*(Trades!V$2:V$9999&lt;0))/SUM((Trades!T$2:T$9999=Blotter!C67)*(Trades!U$2:U$9999=Blotter!B67)*(Trades!V$2:V$9999)*(Trades!V$2:V$9999&lt;0))),SUM((Trades!T$2:T$9999=Blotter!C67)*(Trades!U$2:U$9999=Blotter!B67)*(Trades!W$2:W$9999)*(Trades!V$2:V$9999)*(Trades!V$2:V$9999&lt;0))/SUM((Trades!T$2:T$9999=Blotter!C67)*(Trades!U$2:U$9999=Blotter!B67)*(Trades!V$2:V$9999)*(Trades!V$2:V$9999&lt;0)),0)</f>
        <v>3.8899999999999997</v>
      </c>
      <c r="Y67" s="41">
        <f t="array" ref="Y67">IF(ISNUMBER(SUM((Trades!T$2:T$9999=Blotter!C67)*(Trades!U$2:U$9999=Blotter!B67)*(Trades!W$2:W$9999)*(Trades!V$2:V$9999)*(Trades!V$2:V$9999&gt;0))/SUM((Trades!T$2:T$9999=Blotter!C67)*(Trades!U$2:U$9999=Blotter!B67)*(Trades!V$2:V$9999)*(Trades!V$2:V$9999&gt;0))),SUM((Trades!T$2:T$9999=Blotter!C67)*(Trades!U$2:U$9999=Blotter!B67)*(Trades!W$2:W$9999)*(Trades!V$2:V$9999)*(Trades!V$2:V$9999&gt;0))/SUM((Trades!T$2:T$9999=Blotter!C67)*(Trades!U$2:U$9999=Blotter!B67)*(Trades!V$2:V$9999)*(Trades!V$2:V$9999&gt;0)),0)</f>
        <v>3.8845000000000001</v>
      </c>
      <c r="Z67" s="42">
        <f>IF(C$2="Last",IF(ISNUMBER(VLOOKUP(B67,Data_IB!B:O,14,0)),VLOOKUP(B67,Data_IB!B:O,14,0),0),IF(ISNUMBER(VLOOKUP(B67,Data_IB!B:O,13,0)),VLOOKUP(B67,Data_IB!B:O,13,0),0))</f>
        <v>0</v>
      </c>
    </row>
    <row r="68" spans="2:28" x14ac:dyDescent="0.4">
      <c r="B68" s="9" t="s">
        <v>407</v>
      </c>
      <c r="C68" s="10">
        <v>40</v>
      </c>
      <c r="D68" s="10" t="s">
        <v>406</v>
      </c>
      <c r="E68" s="10" t="s">
        <v>199</v>
      </c>
      <c r="F68" s="10" t="s">
        <v>201</v>
      </c>
      <c r="G68" s="28">
        <f>IF(F68="Futures",VLOOKUP(D68,Multiplier!B:I,8,0),0)</f>
        <v>0</v>
      </c>
      <c r="H68" s="11">
        <v>3000</v>
      </c>
      <c r="I68" s="28">
        <f t="array" ref="I68">SUM((Trades!V$2:V$9999)*(Trades!U$2:U$9999=Blotter!B68)*(Trades!$T$2:T$9999=Blotter!C68))</f>
        <v>4000</v>
      </c>
      <c r="J68" s="28">
        <f>VLOOKUP(D68,Multiplier!B:D,2,0)</f>
        <v>1</v>
      </c>
      <c r="K68" s="29">
        <f t="shared" ref="K68" si="69">L68-N68/(H68*J68)</f>
        <v>101.43422426666669</v>
      </c>
      <c r="L68" s="29">
        <f t="shared" ref="L68" si="70">IF(I68=0,IF(H68&gt;0,X68,Y68),Z68)</f>
        <v>0</v>
      </c>
      <c r="M68" s="28">
        <f t="shared" ref="M68" si="71">I68*J68*L68</f>
        <v>0</v>
      </c>
      <c r="N68" s="28">
        <f t="array" ref="N68">-SUM((Trades!T$2:T$9999=Blotter!C68)*(Trades!U$2:U$9999=Blotter!B68)*(Trades!V$2:V$9999)*(Trades!W$2:W$9999))*J68+SUM((Trades!T$2:T$9999=Blotter!C68)*(Trades!U$2:U$9999=Blotter!B68)*(Trades!X$2:X$9999))+(L68*I68)*J68</f>
        <v>-304302.67280000006</v>
      </c>
      <c r="O68" s="29">
        <f>VLOOKUP(D68,Multiplier!B:H,3,0)</f>
        <v>7.23</v>
      </c>
      <c r="P68" s="27">
        <v>7.23</v>
      </c>
      <c r="Q68" s="27"/>
      <c r="R68" s="28">
        <f t="shared" ref="R68" si="72">(1-Q68)*P68*J68*H68</f>
        <v>21690</v>
      </c>
      <c r="S68" s="29">
        <f t="shared" ref="S68" si="73">IF(OR(F68="Futures",F68="Stocks"),IF(I68=0,0,IF(I68&gt;0,L68-O68,L68+O68)),0)</f>
        <v>-7.23</v>
      </c>
      <c r="T68" s="3">
        <f t="shared" ref="T68" si="74">IF(S68&gt;0,IF(ISNUMBER(S68/L68-1),S68/L68-1,0),0)</f>
        <v>0</v>
      </c>
      <c r="U68" s="29">
        <f t="shared" ref="U68" si="75">IF(OR(F68="Futures",F68="Stocks"),IF(I68=0,0,IF(I68&gt;0,K68-P68,K68+P68)),0)</f>
        <v>94.204224266666685</v>
      </c>
      <c r="V68" s="3">
        <f t="shared" ref="V68" si="76">IF(U68&gt;0,IF(ISNUMBER(U68/L68-1),U68/L68-1,0),0)</f>
        <v>0</v>
      </c>
      <c r="X68" s="41">
        <f t="array" ref="X68">IF(ISNUMBER(SUM((Trades!T$2:T$9999=Blotter!C68)*(Trades!U$2:U$9999=Blotter!B68)*(Trades!W$2:W$9999)*(Trades!V$2:V$9999)*(Trades!V$2:V$9999&lt;0))/SUM((Trades!T$2:T$9999=Blotter!C68)*(Trades!U$2:U$9999=Blotter!B68)*(Trades!V$2:V$9999)*(Trades!V$2:V$9999&lt;0))),SUM((Trades!T$2:T$9999=Blotter!C68)*(Trades!U$2:U$9999=Blotter!B68)*(Trades!W$2:W$9999)*(Trades!V$2:V$9999)*(Trades!V$2:V$9999&lt;0))/SUM((Trades!T$2:T$9999=Blotter!C68)*(Trades!U$2:U$9999=Blotter!B68)*(Trades!V$2:V$9999)*(Trades!V$2:V$9999&lt;0)),0)</f>
        <v>70.14</v>
      </c>
      <c r="Y68" s="41">
        <f t="array" ref="Y68">IF(ISNUMBER(SUM((Trades!T$2:T$9999=Blotter!C68)*(Trades!U$2:U$9999=Blotter!B68)*(Trades!W$2:W$9999)*(Trades!V$2:V$9999)*(Trades!V$2:V$9999&gt;0))/SUM((Trades!T$2:T$9999=Blotter!C68)*(Trades!U$2:U$9999=Blotter!B68)*(Trades!V$2:V$9999)*(Trades!V$2:V$9999&gt;0))),SUM((Trades!T$2:T$9999=Blotter!C68)*(Trades!U$2:U$9999=Blotter!B68)*(Trades!W$2:W$9999)*(Trades!V$2:V$9999)*(Trades!V$2:V$9999&gt;0))/SUM((Trades!T$2:T$9999=Blotter!C68)*(Trades!U$2:U$9999=Blotter!B68)*(Trades!V$2:V$9999)*(Trades!V$2:V$9999&gt;0)),0)</f>
        <v>73.785515384615394</v>
      </c>
      <c r="Z68" s="42">
        <f>IF(C$2="Last",IF(ISNUMBER(VLOOKUP(B68,Data_IB!B:O,14,0)),VLOOKUP(B68,Data_IB!B:O,14,0),0),IF(ISNUMBER(VLOOKUP(B68,Data_IB!B:O,13,0)),VLOOKUP(B68,Data_IB!B:O,13,0),0))</f>
        <v>0</v>
      </c>
    </row>
    <row r="69" spans="2:28" x14ac:dyDescent="0.4">
      <c r="B69" s="9" t="s">
        <v>414</v>
      </c>
      <c r="C69" s="10">
        <v>41</v>
      </c>
      <c r="D69" s="10" t="s">
        <v>24</v>
      </c>
      <c r="E69" s="10" t="s">
        <v>200</v>
      </c>
      <c r="F69" s="10" t="s">
        <v>6</v>
      </c>
      <c r="G69" s="28">
        <f>IF(F69="Futures",VLOOKUP(D69,Multiplier!B:I,8,0),0)</f>
        <v>4</v>
      </c>
      <c r="H69" s="11">
        <v>4</v>
      </c>
      <c r="I69" s="28">
        <f t="array" ref="I69">SUM((Trades!V$2:V$9999)*(Trades!U$2:U$9999=Blotter!B69)*(Trades!$T$2:T$9999=Blotter!C69))</f>
        <v>0</v>
      </c>
      <c r="J69" s="28">
        <f>VLOOKUP(D69,Multiplier!B:D,2,0)</f>
        <v>1000</v>
      </c>
      <c r="K69" s="29">
        <f t="shared" ref="K69" si="77">L69-N69/(H69*J69)</f>
        <v>71.944739999999996</v>
      </c>
      <c r="L69" s="29">
        <f t="shared" ref="L69" si="78">IF(I69=0,IF(H69&gt;0,X69,Y69),Z69)</f>
        <v>72</v>
      </c>
      <c r="M69" s="28">
        <f t="shared" ref="M69" si="79">I69*J69*L69</f>
        <v>0</v>
      </c>
      <c r="N69" s="28">
        <f t="array" ref="N69">-SUM((Trades!T$2:T$9999=Blotter!C69)*(Trades!U$2:U$9999=Blotter!B69)*(Trades!V$2:V$9999)*(Trades!W$2:W$9999))*J69+SUM((Trades!T$2:T$9999=Blotter!C69)*(Trades!U$2:U$9999=Blotter!B69)*(Trades!X$2:X$9999))+(L69*I69)*J69</f>
        <v>221.04000000000909</v>
      </c>
      <c r="O69" s="29">
        <f>VLOOKUP(D69,Multiplier!B:H,3,0)</f>
        <v>2.41</v>
      </c>
      <c r="P69" s="27">
        <v>2.6</v>
      </c>
      <c r="Q69" s="27">
        <v>1</v>
      </c>
      <c r="R69" s="28">
        <f t="shared" ref="R69" si="80">(1-Q69)*P69*J69*H69</f>
        <v>0</v>
      </c>
      <c r="S69" s="29">
        <f t="shared" ref="S69" si="81">IF(OR(F69="Futures",F69="Stocks"),IF(I69=0,0,IF(I69&gt;0,L69-O69,L69+O69)),0)</f>
        <v>0</v>
      </c>
      <c r="T69" s="3">
        <f t="shared" ref="T69" si="82">IF(S69&gt;0,IF(ISNUMBER(S69/L69-1),S69/L69-1,0),0)</f>
        <v>0</v>
      </c>
      <c r="U69" s="29">
        <f t="shared" ref="U69" si="83">IF(OR(F69="Futures",F69="Stocks"),IF(I69=0,0,IF(I69&gt;0,K69-P69,K69+P69)),0)</f>
        <v>0</v>
      </c>
      <c r="V69" s="3">
        <f t="shared" ref="V69" si="84">IF(U69&gt;0,IF(ISNUMBER(U69/L69-1),U69/L69-1,0),0)</f>
        <v>0</v>
      </c>
      <c r="X69" s="41">
        <f t="array" ref="X69">IF(ISNUMBER(SUM((Trades!T$2:T$9999=Blotter!C69)*(Trades!U$2:U$9999=Blotter!B69)*(Trades!W$2:W$9999)*(Trades!V$2:V$9999)*(Trades!V$2:V$9999&lt;0))/SUM((Trades!T$2:T$9999=Blotter!C69)*(Trades!U$2:U$9999=Blotter!B69)*(Trades!V$2:V$9999)*(Trades!V$2:V$9999&lt;0))),SUM((Trades!T$2:T$9999=Blotter!C69)*(Trades!U$2:U$9999=Blotter!B69)*(Trades!W$2:W$9999)*(Trades!V$2:V$9999)*(Trades!V$2:V$9999&lt;0))/SUM((Trades!T$2:T$9999=Blotter!C69)*(Trades!U$2:U$9999=Blotter!B69)*(Trades!V$2:V$9999)*(Trades!V$2:V$9999&lt;0)),0)</f>
        <v>72</v>
      </c>
      <c r="Y69" s="41">
        <f t="array" ref="Y69">IF(ISNUMBER(SUM((Trades!T$2:T$9999=Blotter!C69)*(Trades!U$2:U$9999=Blotter!B69)*(Trades!W$2:W$9999)*(Trades!V$2:V$9999)*(Trades!V$2:V$9999&gt;0))/SUM((Trades!T$2:T$9999=Blotter!C69)*(Trades!U$2:U$9999=Blotter!B69)*(Trades!V$2:V$9999)*(Trades!V$2:V$9999&gt;0))),SUM((Trades!T$2:T$9999=Blotter!C69)*(Trades!U$2:U$9999=Blotter!B69)*(Trades!W$2:W$9999)*(Trades!V$2:V$9999)*(Trades!V$2:V$9999&gt;0))/SUM((Trades!T$2:T$9999=Blotter!C69)*(Trades!U$2:U$9999=Blotter!B69)*(Trades!V$2:V$9999)*(Trades!V$2:V$9999&gt;0)),0)</f>
        <v>71.94</v>
      </c>
      <c r="Z69" s="42">
        <f>IF(C$2="Last",IF(ISNUMBER(VLOOKUP(B69,Data_IB!B:O,14,0)),VLOOKUP(B69,Data_IB!B:O,14,0),0),IF(ISNUMBER(VLOOKUP(B69,Data_IB!B:O,13,0)),VLOOKUP(B69,Data_IB!B:O,13,0),0))</f>
        <v>0</v>
      </c>
    </row>
    <row r="70" spans="2:28" x14ac:dyDescent="0.4">
      <c r="B70" s="9" t="s">
        <v>423</v>
      </c>
      <c r="C70" s="10">
        <v>41</v>
      </c>
      <c r="D70" s="10" t="s">
        <v>24</v>
      </c>
      <c r="E70" s="10" t="s">
        <v>200</v>
      </c>
      <c r="F70" s="10" t="s">
        <v>6</v>
      </c>
      <c r="G70" s="28">
        <f>IF(F70="Futures",VLOOKUP(D70,Multiplier!B:I,8,0),0)</f>
        <v>4</v>
      </c>
      <c r="H70" s="11">
        <v>5</v>
      </c>
      <c r="I70" s="28">
        <f t="array" ref="I70">SUM((Trades!V$2:V$9999)*(Trades!U$2:U$9999=Blotter!B70)*(Trades!$T$2:T$9999=Blotter!C70))</f>
        <v>0</v>
      </c>
      <c r="J70" s="28">
        <f>VLOOKUP(D70,Multiplier!B:D,2,0)</f>
        <v>1000</v>
      </c>
      <c r="K70" s="29">
        <f t="shared" ref="K70" si="85">L70-N70/(H70*J70)</f>
        <v>73.970740000000006</v>
      </c>
      <c r="L70" s="29">
        <f t="shared" ref="L70" si="86">IF(I70=0,IF(H70&gt;0,X70,Y70),Z70)</f>
        <v>73.996000000000009</v>
      </c>
      <c r="M70" s="28">
        <f t="shared" ref="M70" si="87">I70*J70*L70</f>
        <v>0</v>
      </c>
      <c r="N70" s="28">
        <f t="array" ref="N70">-SUM((Trades!T$2:T$9999=Blotter!C70)*(Trades!U$2:U$9999=Blotter!B70)*(Trades!V$2:V$9999)*(Trades!W$2:W$9999))*J70+SUM((Trades!T$2:T$9999=Blotter!C70)*(Trades!U$2:U$9999=Blotter!B70)*(Trades!X$2:X$9999))+(L70*I70)*J70</f>
        <v>126.30000000000568</v>
      </c>
      <c r="O70" s="29">
        <f>VLOOKUP(D70,Multiplier!B:H,3,0)</f>
        <v>2.41</v>
      </c>
      <c r="P70" s="27">
        <v>2.6</v>
      </c>
      <c r="Q70" s="27"/>
      <c r="R70" s="28">
        <f t="shared" ref="R70" si="88">(1-Q70)*P70*J70*H70</f>
        <v>13000</v>
      </c>
      <c r="S70" s="29">
        <f t="shared" ref="S70" si="89">IF(OR(F70="Futures",F70="Stocks"),IF(I70=0,0,IF(I70&gt;0,L70-O70,L70+O70)),0)</f>
        <v>0</v>
      </c>
      <c r="T70" s="3">
        <f t="shared" ref="T70" si="90">IF(S70&gt;0,IF(ISNUMBER(S70/L70-1),S70/L70-1,0),0)</f>
        <v>0</v>
      </c>
      <c r="U70" s="29">
        <f t="shared" ref="U70" si="91">IF(OR(F70="Futures",F70="Stocks"),IF(I70=0,0,IF(I70&gt;0,K70-P70,K70+P70)),0)</f>
        <v>0</v>
      </c>
      <c r="V70" s="3">
        <f t="shared" ref="V70" si="92">IF(U70&gt;0,IF(ISNUMBER(U70/L70-1),U70/L70-1,0),0)</f>
        <v>0</v>
      </c>
      <c r="X70" s="41">
        <f t="array" ref="X70">IF(ISNUMBER(SUM((Trades!T$2:T$9999=Blotter!C70)*(Trades!U$2:U$9999=Blotter!B70)*(Trades!W$2:W$9999)*(Trades!V$2:V$9999)*(Trades!V$2:V$9999&lt;0))/SUM((Trades!T$2:T$9999=Blotter!C70)*(Trades!U$2:U$9999=Blotter!B70)*(Trades!V$2:V$9999)*(Trades!V$2:V$9999&lt;0))),SUM((Trades!T$2:T$9999=Blotter!C70)*(Trades!U$2:U$9999=Blotter!B70)*(Trades!W$2:W$9999)*(Trades!V$2:V$9999)*(Trades!V$2:V$9999&lt;0))/SUM((Trades!T$2:T$9999=Blotter!C70)*(Trades!U$2:U$9999=Blotter!B70)*(Trades!V$2:V$9999)*(Trades!V$2:V$9999&lt;0)),0)</f>
        <v>73.996000000000009</v>
      </c>
      <c r="Y70" s="41">
        <f t="array" ref="Y70">IF(ISNUMBER(SUM((Trades!T$2:T$9999=Blotter!C70)*(Trades!U$2:U$9999=Blotter!B70)*(Trades!W$2:W$9999)*(Trades!V$2:V$9999)*(Trades!V$2:V$9999&gt;0))/SUM((Trades!T$2:T$9999=Blotter!C70)*(Trades!U$2:U$9999=Blotter!B70)*(Trades!V$2:V$9999)*(Trades!V$2:V$9999&gt;0))),SUM((Trades!T$2:T$9999=Blotter!C70)*(Trades!U$2:U$9999=Blotter!B70)*(Trades!W$2:W$9999)*(Trades!V$2:V$9999)*(Trades!V$2:V$9999&gt;0))/SUM((Trades!T$2:T$9999=Blotter!C70)*(Trades!U$2:U$9999=Blotter!B70)*(Trades!V$2:V$9999)*(Trades!V$2:V$9999&gt;0)),0)</f>
        <v>73.965999999999994</v>
      </c>
      <c r="Z70" s="42">
        <f>IF(C$2="Last",IF(ISNUMBER(VLOOKUP(B70,Data_IB!B:O,14,0)),VLOOKUP(B70,Data_IB!B:O,14,0),0),IF(ISNUMBER(VLOOKUP(B70,Data_IB!B:O,13,0)),VLOOKUP(B70,Data_IB!B:O,13,0),0))</f>
        <v>0</v>
      </c>
    </row>
    <row r="71" spans="2:28" x14ac:dyDescent="0.4">
      <c r="B71" s="9" t="s">
        <v>419</v>
      </c>
      <c r="C71" s="10">
        <v>43</v>
      </c>
      <c r="D71" s="10" t="s">
        <v>29</v>
      </c>
      <c r="E71" s="10" t="s">
        <v>200</v>
      </c>
      <c r="F71" s="10" t="s">
        <v>6</v>
      </c>
      <c r="G71" s="28">
        <f>IF(F71="Futures",VLOOKUP(D71,Multiplier!B:I,8,0),0)</f>
        <v>12</v>
      </c>
      <c r="H71" s="11">
        <v>20</v>
      </c>
      <c r="I71" s="28">
        <f t="array" ref="I71">SUM((Trades!V$2:V$9999)*(Trades!U$2:U$9999=Blotter!B71)*(Trades!$T$2:T$9999=Blotter!C71))</f>
        <v>0</v>
      </c>
      <c r="J71" s="28">
        <f>VLOOKUP(D71,Multiplier!B:D,2,0)</f>
        <v>50</v>
      </c>
      <c r="K71" s="29">
        <f t="shared" ref="K71" si="93">L71-N71/(H71*J71)</f>
        <v>595.63424769230778</v>
      </c>
      <c r="L71" s="29">
        <f t="shared" ref="L71:L72" si="94">IF(I71=0,IF(H71&gt;0,X71,Y71),Z71)</f>
        <v>592.69230769230774</v>
      </c>
      <c r="M71" s="28">
        <f t="shared" ref="M71" si="95">I71*J71*L71</f>
        <v>0</v>
      </c>
      <c r="N71" s="28">
        <f t="array" ref="N71">-SUM((Trades!T$2:T$9999=Blotter!C71)*(Trades!U$2:U$9999=Blotter!B71)*(Trades!V$2:V$9999)*(Trades!W$2:W$9999))*J71+SUM((Trades!T$2:T$9999=Blotter!C71)*(Trades!U$2:U$9999=Blotter!B71)*(Trades!X$2:X$9999))+(L71*I71)*J71</f>
        <v>-2941.94</v>
      </c>
      <c r="O71" s="29">
        <f>VLOOKUP(D71,Multiplier!B:H,3,0)</f>
        <v>17.25</v>
      </c>
      <c r="P71" s="27">
        <v>18</v>
      </c>
      <c r="Q71" s="27">
        <v>1</v>
      </c>
      <c r="R71" s="28">
        <f t="shared" ref="R71" si="96">(1-Q71)*P71*J71*H71</f>
        <v>0</v>
      </c>
      <c r="S71" s="29">
        <f t="shared" ref="S71" si="97">IF(OR(F71="Futures",F71="Stocks"),IF(I71=0,0,IF(I71&gt;0,L71-O71,L71+O71)),0)</f>
        <v>0</v>
      </c>
      <c r="T71" s="3">
        <f t="shared" ref="T71" si="98">IF(S71&gt;0,IF(ISNUMBER(S71/L71-1),S71/L71-1,0),0)</f>
        <v>0</v>
      </c>
      <c r="U71" s="29">
        <f t="shared" ref="U71" si="99">IF(OR(F71="Futures",F71="Stocks"),IF(I71=0,0,IF(I71&gt;0,K71-P71,K71+P71)),0)</f>
        <v>0</v>
      </c>
      <c r="V71" s="3">
        <f t="shared" ref="V71" si="100">IF(U71&gt;0,IF(ISNUMBER(U71/L71-1),U71/L71-1,0),0)</f>
        <v>0</v>
      </c>
      <c r="X71" s="41">
        <f t="array" ref="X71">IF(ISNUMBER(SUM((Trades!T$2:T$9999=Blotter!C71)*(Trades!U$2:U$9999=Blotter!B71)*(Trades!W$2:W$9999)*(Trades!V$2:V$9999)*(Trades!V$2:V$9999&lt;0))/SUM((Trades!T$2:T$9999=Blotter!C71)*(Trades!U$2:U$9999=Blotter!B71)*(Trades!V$2:V$9999)*(Trades!V$2:V$9999&lt;0))),SUM((Trades!T$2:T$9999=Blotter!C71)*(Trades!U$2:U$9999=Blotter!B71)*(Trades!W$2:W$9999)*(Trades!V$2:V$9999)*(Trades!V$2:V$9999&lt;0))/SUM((Trades!T$2:T$9999=Blotter!C71)*(Trades!U$2:U$9999=Blotter!B71)*(Trades!V$2:V$9999)*(Trades!V$2:V$9999&lt;0)),0)</f>
        <v>592.69230769230774</v>
      </c>
      <c r="Y71" s="41">
        <f t="array" ref="Y71">IF(ISNUMBER(SUM((Trades!T$2:T$9999=Blotter!C71)*(Trades!U$2:U$9999=Blotter!B71)*(Trades!W$2:W$9999)*(Trades!V$2:V$9999)*(Trades!V$2:V$9999&gt;0))/SUM((Trades!T$2:T$9999=Blotter!C71)*(Trades!U$2:U$9999=Blotter!B71)*(Trades!V$2:V$9999)*(Trades!V$2:V$9999&gt;0))),SUM((Trades!T$2:T$9999=Blotter!C71)*(Trades!U$2:U$9999=Blotter!B71)*(Trades!W$2:W$9999)*(Trades!V$2:V$9999)*(Trades!V$2:V$9999&gt;0))/SUM((Trades!T$2:T$9999=Blotter!C71)*(Trades!U$2:U$9999=Blotter!B71)*(Trades!V$2:V$9999)*(Trades!V$2:V$9999&gt;0)),0)</f>
        <v>594.83653846153845</v>
      </c>
      <c r="Z71" s="42">
        <f>IF(C$2="Last",IF(ISNUMBER(VLOOKUP(B71,Data_IB!B:O,14,0)),VLOOKUP(B71,Data_IB!B:O,14,0),0),IF(ISNUMBER(VLOOKUP(B71,Data_IB!B:O,13,0)),VLOOKUP(B71,Data_IB!B:O,13,0),0))</f>
        <v>0</v>
      </c>
    </row>
    <row r="72" spans="2:28" x14ac:dyDescent="0.4">
      <c r="B72" s="9" t="s">
        <v>433</v>
      </c>
      <c r="C72" s="10">
        <v>43</v>
      </c>
      <c r="D72" s="10" t="s">
        <v>29</v>
      </c>
      <c r="E72" s="10" t="s">
        <v>200</v>
      </c>
      <c r="F72" s="10" t="s">
        <v>6</v>
      </c>
      <c r="G72" s="28">
        <f>IF(F72="Futures",VLOOKUP(D72,Multiplier!B:I,8,0),0)</f>
        <v>12</v>
      </c>
      <c r="H72" s="11">
        <v>20</v>
      </c>
      <c r="I72" s="28">
        <f t="array" ref="I72">SUM((Trades!V$2:V$9999)*(Trades!U$2:U$9999=Blotter!B72)*(Trades!$T$2:T$9999=Blotter!C72))</f>
        <v>0</v>
      </c>
      <c r="J72" s="28">
        <f>VLOOKUP(D72,Multiplier!B:D,2,0)</f>
        <v>50</v>
      </c>
      <c r="K72" s="29">
        <f t="shared" ref="K72" si="101">L72-N72/(H72*J72)</f>
        <v>566.37723333333338</v>
      </c>
      <c r="L72" s="29">
        <f t="shared" si="94"/>
        <v>570.33333333333337</v>
      </c>
      <c r="M72" s="28">
        <f t="shared" ref="M72" si="102">I72*J72*L72</f>
        <v>0</v>
      </c>
      <c r="N72" s="28">
        <f t="array" ref="N72">-SUM((Trades!T$2:T$9999=Blotter!C72)*(Trades!U$2:U$9999=Blotter!B72)*(Trades!V$2:V$9999)*(Trades!W$2:W$9999))*J72+SUM((Trades!T$2:T$9999=Blotter!C72)*(Trades!U$2:U$9999=Blotter!B72)*(Trades!X$2:X$9999))+(L72*I72)*J72</f>
        <v>3956.1</v>
      </c>
      <c r="O72" s="29">
        <f>VLOOKUP(D72,Multiplier!B:H,3,0)</f>
        <v>17.25</v>
      </c>
      <c r="P72" s="27">
        <v>18</v>
      </c>
      <c r="Q72" s="27"/>
      <c r="R72" s="28">
        <f t="shared" ref="R72" si="103">(1-Q72)*P72*J72*H72</f>
        <v>18000</v>
      </c>
      <c r="S72" s="29">
        <f t="shared" ref="S72" si="104">IF(OR(F72="Futures",F72="Stocks"),IF(I72=0,0,IF(I72&gt;0,L72-O72,L72+O72)),0)</f>
        <v>0</v>
      </c>
      <c r="T72" s="3">
        <f t="shared" ref="T72" si="105">IF(S72&gt;0,IF(ISNUMBER(S72/L72-1),S72/L72-1,0),0)</f>
        <v>0</v>
      </c>
      <c r="U72" s="29">
        <f t="shared" ref="U72" si="106">IF(OR(F72="Futures",F72="Stocks"),IF(I72=0,0,IF(I72&gt;0,K72-P72,K72+P72)),0)</f>
        <v>0</v>
      </c>
      <c r="V72" s="3">
        <f t="shared" ref="V72" si="107">IF(U72&gt;0,IF(ISNUMBER(U72/L72-1),U72/L72-1,0),0)</f>
        <v>0</v>
      </c>
      <c r="X72" s="41">
        <f t="array" ref="X72">IF(ISNUMBER(SUM((Trades!T$2:T$9999=Blotter!C72)*(Trades!U$2:U$9999=Blotter!B72)*(Trades!W$2:W$9999)*(Trades!V$2:V$9999)*(Trades!V$2:V$9999&lt;0))/SUM((Trades!T$2:T$9999=Blotter!C72)*(Trades!U$2:U$9999=Blotter!B72)*(Trades!V$2:V$9999)*(Trades!V$2:V$9999&lt;0))),SUM((Trades!T$2:T$9999=Blotter!C72)*(Trades!U$2:U$9999=Blotter!B72)*(Trades!W$2:W$9999)*(Trades!V$2:V$9999)*(Trades!V$2:V$9999&lt;0))/SUM((Trades!T$2:T$9999=Blotter!C72)*(Trades!U$2:U$9999=Blotter!B72)*(Trades!V$2:V$9999)*(Trades!V$2:V$9999&lt;0)),0)</f>
        <v>570.33333333333337</v>
      </c>
      <c r="Y72" s="41">
        <f t="array" ref="Y72">IF(ISNUMBER(SUM((Trades!T$2:T$9999=Blotter!C72)*(Trades!U$2:U$9999=Blotter!B72)*(Trades!W$2:W$9999)*(Trades!V$2:V$9999)*(Trades!V$2:V$9999&gt;0))/SUM((Trades!T$2:T$9999=Blotter!C72)*(Trades!U$2:U$9999=Blotter!B72)*(Trades!V$2:V$9999)*(Trades!V$2:V$9999&gt;0))),SUM((Trades!T$2:T$9999=Blotter!C72)*(Trades!U$2:U$9999=Blotter!B72)*(Trades!W$2:W$9999)*(Trades!V$2:V$9999)*(Trades!V$2:V$9999&gt;0))/SUM((Trades!T$2:T$9999=Blotter!C72)*(Trades!U$2:U$9999=Blotter!B72)*(Trades!V$2:V$9999)*(Trades!V$2:V$9999&gt;0)),0)</f>
        <v>568.89583333333337</v>
      </c>
      <c r="Z72" s="42">
        <f>IF(C$2="Last",IF(ISNUMBER(VLOOKUP(B72,Data_IB!B:O,14,0)),VLOOKUP(B72,Data_IB!B:O,14,0),0),IF(ISNUMBER(VLOOKUP(B72,Data_IB!B:O,13,0)),VLOOKUP(B72,Data_IB!B:O,13,0),0))</f>
        <v>0</v>
      </c>
    </row>
    <row r="73" spans="2:28" x14ac:dyDescent="0.4">
      <c r="B73" s="9" t="s">
        <v>428</v>
      </c>
      <c r="C73" s="10">
        <v>46</v>
      </c>
      <c r="D73" s="10" t="s">
        <v>101</v>
      </c>
      <c r="E73" s="10" t="s">
        <v>200</v>
      </c>
      <c r="F73" s="10" t="s">
        <v>6</v>
      </c>
      <c r="G73" s="28">
        <f>IF(F73="Futures",VLOOKUP(D73,Multiplier!B:I,8,0),0)</f>
        <v>7</v>
      </c>
      <c r="H73" s="11">
        <v>20</v>
      </c>
      <c r="I73" s="28">
        <f t="array" ref="I73">SUM((Trades!V$2:V$9999)*(Trades!U$2:U$9999=Blotter!B73)*(Trades!$T$2:T$9999=Blotter!C73))</f>
        <v>0</v>
      </c>
      <c r="J73" s="28">
        <f>VLOOKUP(D73,Multiplier!B:D,2,0)</f>
        <v>500</v>
      </c>
      <c r="K73" s="29">
        <f t="shared" ref="K73" si="108">L73-N73/(H73*J73)</f>
        <v>94.14647335593223</v>
      </c>
      <c r="L73" s="29">
        <f t="shared" ref="L73" si="109">IF(I73=0,IF(H73&gt;0,X73,Y73),Z73)</f>
        <v>93.737881355932188</v>
      </c>
      <c r="M73" s="28">
        <f t="shared" ref="M73" si="110">I73*J73*L73</f>
        <v>0</v>
      </c>
      <c r="N73" s="28">
        <f t="array" ref="N73">-SUM((Trades!T$2:T$9999=Blotter!C73)*(Trades!U$2:U$9999=Blotter!B73)*(Trades!V$2:V$9999)*(Trades!W$2:W$9999))*J73+SUM((Trades!T$2:T$9999=Blotter!C73)*(Trades!U$2:U$9999=Blotter!B73)*(Trades!X$2:X$9999))+(L73*I73)*J73</f>
        <v>-4085.9200000004471</v>
      </c>
      <c r="O73" s="29">
        <f>VLOOKUP(D73,Multiplier!B:H,3,0)</f>
        <v>3.01</v>
      </c>
      <c r="P73" s="27">
        <v>1.87</v>
      </c>
      <c r="Q73" s="27">
        <v>1</v>
      </c>
      <c r="R73" s="28">
        <f t="shared" ref="R73" si="111">(1-Q73)*P73*J73*H73</f>
        <v>0</v>
      </c>
      <c r="S73" s="29">
        <f t="shared" ref="S73" si="112">IF(OR(F73="Futures",F73="Stocks"),IF(I73=0,0,IF(I73&gt;0,L73-O73,L73+O73)),0)</f>
        <v>0</v>
      </c>
      <c r="T73" s="3">
        <f t="shared" ref="T73" si="113">IF(S73&gt;0,IF(ISNUMBER(S73/L73-1),S73/L73-1,0),0)</f>
        <v>0</v>
      </c>
      <c r="U73" s="29">
        <f t="shared" ref="U73" si="114">IF(OR(F73="Futures",F73="Stocks"),IF(I73=0,0,IF(I73&gt;0,K73-P73,K73+P73)),0)</f>
        <v>0</v>
      </c>
      <c r="V73" s="3">
        <f t="shared" ref="V73" si="115">IF(U73&gt;0,IF(ISNUMBER(U73/L73-1),U73/L73-1,0),0)</f>
        <v>0</v>
      </c>
      <c r="X73" s="41">
        <f t="array" ref="X73">IF(ISNUMBER(SUM((Trades!T$2:T$9999=Blotter!C73)*(Trades!U$2:U$9999=Blotter!B73)*(Trades!W$2:W$9999)*(Trades!V$2:V$9999)*(Trades!V$2:V$9999&lt;0))/SUM((Trades!T$2:T$9999=Blotter!C73)*(Trades!U$2:U$9999=Blotter!B73)*(Trades!V$2:V$9999)*(Trades!V$2:V$9999&lt;0))),SUM((Trades!T$2:T$9999=Blotter!C73)*(Trades!U$2:U$9999=Blotter!B73)*(Trades!W$2:W$9999)*(Trades!V$2:V$9999)*(Trades!V$2:V$9999&lt;0))/SUM((Trades!T$2:T$9999=Blotter!C73)*(Trades!U$2:U$9999=Blotter!B73)*(Trades!V$2:V$9999)*(Trades!V$2:V$9999&lt;0)),0)</f>
        <v>93.737881355932188</v>
      </c>
      <c r="Y73" s="41">
        <f t="array" ref="Y73">IF(ISNUMBER(SUM((Trades!T$2:T$9999=Blotter!C73)*(Trades!U$2:U$9999=Blotter!B73)*(Trades!W$2:W$9999)*(Trades!V$2:V$9999)*(Trades!V$2:V$9999&gt;0))/SUM((Trades!T$2:T$9999=Blotter!C73)*(Trades!U$2:U$9999=Blotter!B73)*(Trades!V$2:V$9999)*(Trades!V$2:V$9999&gt;0))),SUM((Trades!T$2:T$9999=Blotter!C73)*(Trades!U$2:U$9999=Blotter!B73)*(Trades!W$2:W$9999)*(Trades!V$2:V$9999)*(Trades!V$2:V$9999&gt;0))/SUM((Trades!T$2:T$9999=Blotter!C73)*(Trades!U$2:U$9999=Blotter!B73)*(Trades!V$2:V$9999)*(Trades!V$2:V$9999&gt;0)),0)</f>
        <v>93.795254237288134</v>
      </c>
      <c r="Z73" s="42">
        <f>IF(C$2="Last",IF(ISNUMBER(VLOOKUP(B73,Data_IB!B:O,14,0)),VLOOKUP(B73,Data_IB!B:O,14,0),0),IF(ISNUMBER(VLOOKUP(B73,Data_IB!B:O,13,0)),VLOOKUP(B73,Data_IB!B:O,13,0),0))</f>
        <v>0</v>
      </c>
      <c r="AB73" s="87"/>
    </row>
    <row r="74" spans="2:28" x14ac:dyDescent="0.4">
      <c r="B74" s="9" t="s">
        <v>471</v>
      </c>
      <c r="C74" s="10">
        <v>46</v>
      </c>
      <c r="D74" s="10" t="s">
        <v>101</v>
      </c>
      <c r="E74" s="10" t="s">
        <v>200</v>
      </c>
      <c r="F74" s="10" t="s">
        <v>6</v>
      </c>
      <c r="G74" s="28">
        <f>IF(F74="Futures",VLOOKUP(D74,Multiplier!B:I,8,0),0)</f>
        <v>7</v>
      </c>
      <c r="H74" s="11">
        <v>16</v>
      </c>
      <c r="I74" s="28">
        <f t="array" ref="I74">SUM((Trades!V$2:V$9999)*(Trades!U$2:U$9999=Blotter!B74)*(Trades!$T$2:T$9999=Blotter!C74))</f>
        <v>10</v>
      </c>
      <c r="J74" s="28">
        <f>VLOOKUP(D74,Multiplier!B:D,2,0)</f>
        <v>500</v>
      </c>
      <c r="K74" s="29">
        <f t="shared" ref="K74" si="116">L74-N74/(H74*J74)</f>
        <v>50.077899999999985</v>
      </c>
      <c r="L74" s="29">
        <f t="shared" ref="L74" si="117">IF(I74=0,IF(H74&gt;0,X74,Y74),Z74)</f>
        <v>0</v>
      </c>
      <c r="M74" s="28">
        <f t="shared" ref="M74" si="118">I74*J74*L74</f>
        <v>0</v>
      </c>
      <c r="N74" s="28">
        <f t="array" ref="N74">-SUM((Trades!T$2:T$9999=Blotter!C74)*(Trades!U$2:U$9999=Blotter!B74)*(Trades!V$2:V$9999)*(Trades!W$2:W$9999))*J74+SUM((Trades!T$2:T$9999=Blotter!C74)*(Trades!U$2:U$9999=Blotter!B74)*(Trades!X$2:X$9999))+(L74*I74)*J74</f>
        <v>-400623.1999999999</v>
      </c>
      <c r="O74" s="29">
        <f>VLOOKUP(D74,Multiplier!B:H,3,0)</f>
        <v>3.01</v>
      </c>
      <c r="P74" s="27">
        <v>1.87</v>
      </c>
      <c r="Q74" s="27"/>
      <c r="R74" s="28">
        <f t="shared" ref="R74" si="119">(1-Q74)*P74*J74*H74</f>
        <v>14960</v>
      </c>
      <c r="S74" s="29">
        <f t="shared" ref="S74" si="120">IF(OR(F74="Futures",F74="Stocks"),IF(I74=0,0,IF(I74&gt;0,L74-O74,L74+O74)),0)</f>
        <v>-3.01</v>
      </c>
      <c r="T74" s="3">
        <f t="shared" ref="T74" si="121">IF(S74&gt;0,IF(ISNUMBER(S74/L74-1),S74/L74-1,0),0)</f>
        <v>0</v>
      </c>
      <c r="U74" s="29">
        <f t="shared" ref="U74" si="122">IF(OR(F74="Futures",F74="Stocks"),IF(I74=0,0,IF(I74&gt;0,K74-P74,K74+P74)),0)</f>
        <v>48.207899999999988</v>
      </c>
      <c r="V74" s="3">
        <f t="shared" ref="V74" si="123">IF(U74&gt;0,IF(ISNUMBER(U74/L74-1),U74/L74-1,0),0)</f>
        <v>0</v>
      </c>
      <c r="X74" s="41">
        <f t="array" ref="X74">IF(ISNUMBER(SUM((Trades!T$2:T$9999=Blotter!C74)*(Trades!U$2:U$9999=Blotter!B74)*(Trades!W$2:W$9999)*(Trades!V$2:V$9999)*(Trades!V$2:V$9999&lt;0))/SUM((Trades!T$2:T$9999=Blotter!C74)*(Trades!U$2:U$9999=Blotter!B74)*(Trades!V$2:V$9999)*(Trades!V$2:V$9999&lt;0))),SUM((Trades!T$2:T$9999=Blotter!C74)*(Trades!U$2:U$9999=Blotter!B74)*(Trades!W$2:W$9999)*(Trades!V$2:V$9999)*(Trades!V$2:V$9999&lt;0))/SUM((Trades!T$2:T$9999=Blotter!C74)*(Trades!U$2:U$9999=Blotter!B74)*(Trades!V$2:V$9999)*(Trades!V$2:V$9999&lt;0)),0)</f>
        <v>80.004000000000005</v>
      </c>
      <c r="Y74" s="41">
        <f t="array" ref="Y74">IF(ISNUMBER(SUM((Trades!T$2:T$9999=Blotter!C74)*(Trades!U$2:U$9999=Blotter!B74)*(Trades!W$2:W$9999)*(Trades!V$2:V$9999)*(Trades!V$2:V$9999&gt;0))/SUM((Trades!T$2:T$9999=Blotter!C74)*(Trades!U$2:U$9999=Blotter!B74)*(Trades!V$2:V$9999)*(Trades!V$2:V$9999&gt;0))),SUM((Trades!T$2:T$9999=Blotter!C74)*(Trades!U$2:U$9999=Blotter!B74)*(Trades!W$2:W$9999)*(Trades!V$2:V$9999)*(Trades!V$2:V$9999&gt;0))/SUM((Trades!T$2:T$9999=Blotter!C74)*(Trades!U$2:U$9999=Blotter!B74)*(Trades!V$2:V$9999)*(Trades!V$2:V$9999&gt;0)),0)</f>
        <v>80.028285714285701</v>
      </c>
      <c r="Z74" s="42">
        <f>IF(C$2="Last",IF(ISNUMBER(VLOOKUP(B74,Data_IB!B:O,14,0)),VLOOKUP(B74,Data_IB!B:O,14,0),0),IF(ISNUMBER(VLOOKUP(B74,Data_IB!B:O,13,0)),VLOOKUP(B74,Data_IB!B:O,13,0),0))</f>
        <v>0</v>
      </c>
    </row>
    <row r="75" spans="2:28" x14ac:dyDescent="0.4">
      <c r="B75" s="9" t="s">
        <v>438</v>
      </c>
      <c r="C75" s="10">
        <v>47</v>
      </c>
      <c r="D75" s="10" t="s">
        <v>24</v>
      </c>
      <c r="E75" s="10" t="s">
        <v>200</v>
      </c>
      <c r="F75" s="10" t="s">
        <v>6</v>
      </c>
      <c r="G75" s="28">
        <f>IF(F75="Futures",VLOOKUP(D75,Multiplier!B:I,8,0),0)</f>
        <v>4</v>
      </c>
      <c r="H75" s="11">
        <v>4</v>
      </c>
      <c r="I75" s="28">
        <f t="array" ref="I75">SUM((Trades!V$2:V$9999)*(Trades!U$2:U$9999=Blotter!B75)*(Trades!$T$2:T$9999=Blotter!C75))</f>
        <v>0</v>
      </c>
      <c r="J75" s="28">
        <f>VLOOKUP(D75,Multiplier!B:D,2,0)</f>
        <v>1000</v>
      </c>
      <c r="K75" s="29">
        <f t="shared" ref="K75:K77" si="124">L75-N75/(H75*J75)</f>
        <v>79.504739999999998</v>
      </c>
      <c r="L75" s="29">
        <f t="shared" ref="L75:L77" si="125">IF(I75=0,IF(H75&gt;0,X75,Y75),Z75)</f>
        <v>79.55</v>
      </c>
      <c r="M75" s="28">
        <f t="shared" ref="M75:M77" si="126">I75*J75*L75</f>
        <v>0</v>
      </c>
      <c r="N75" s="28">
        <f t="array" ref="N75">-SUM((Trades!T$2:T$9999=Blotter!C75)*(Trades!U$2:U$9999=Blotter!B75)*(Trades!V$2:V$9999)*(Trades!W$2:W$9999))*J75+SUM((Trades!T$2:T$9999=Blotter!C75)*(Trades!U$2:U$9999=Blotter!B75)*(Trades!X$2:X$9999))+(L75*I75)*J75</f>
        <v>181.03999999998862</v>
      </c>
      <c r="O75" s="29">
        <f>VLOOKUP(D75,Multiplier!B:H,3,0)</f>
        <v>2.41</v>
      </c>
      <c r="P75" s="27">
        <v>2.41</v>
      </c>
      <c r="Q75" s="27">
        <v>1</v>
      </c>
      <c r="R75" s="28">
        <f t="shared" ref="R75:R77" si="127">(1-Q75)*P75*J75*H75</f>
        <v>0</v>
      </c>
      <c r="S75" s="29">
        <f t="shared" ref="S75:S77" si="128">IF(OR(F75="Futures",F75="Stocks"),IF(I75=0,0,IF(I75&gt;0,L75-O75,L75+O75)),0)</f>
        <v>0</v>
      </c>
      <c r="T75" s="3">
        <f t="shared" ref="T75:T77" si="129">IF(S75&gt;0,IF(ISNUMBER(S75/L75-1),S75/L75-1,0),0)</f>
        <v>0</v>
      </c>
      <c r="U75" s="29">
        <f t="shared" ref="U75:U77" si="130">IF(OR(F75="Futures",F75="Stocks"),IF(I75=0,0,IF(I75&gt;0,K75-P75,K75+P75)),0)</f>
        <v>0</v>
      </c>
      <c r="V75" s="3">
        <f t="shared" ref="V75:V77" si="131">IF(U75&gt;0,IF(ISNUMBER(U75/L75-1),U75/L75-1,0),0)</f>
        <v>0</v>
      </c>
      <c r="X75" s="41">
        <f t="array" ref="X75">IF(ISNUMBER(SUM((Trades!T$2:T$9999=Blotter!C75)*(Trades!U$2:U$9999=Blotter!B75)*(Trades!W$2:W$9999)*(Trades!V$2:V$9999)*(Trades!V$2:V$9999&lt;0))/SUM((Trades!T$2:T$9999=Blotter!C75)*(Trades!U$2:U$9999=Blotter!B75)*(Trades!V$2:V$9999)*(Trades!V$2:V$9999&lt;0))),SUM((Trades!T$2:T$9999=Blotter!C75)*(Trades!U$2:U$9999=Blotter!B75)*(Trades!W$2:W$9999)*(Trades!V$2:V$9999)*(Trades!V$2:V$9999&lt;0))/SUM((Trades!T$2:T$9999=Blotter!C75)*(Trades!U$2:U$9999=Blotter!B75)*(Trades!V$2:V$9999)*(Trades!V$2:V$9999&lt;0)),0)</f>
        <v>79.55</v>
      </c>
      <c r="Y75" s="41">
        <f t="array" ref="Y75">IF(ISNUMBER(SUM((Trades!T$2:T$9999=Blotter!C75)*(Trades!U$2:U$9999=Blotter!B75)*(Trades!W$2:W$9999)*(Trades!V$2:V$9999)*(Trades!V$2:V$9999&gt;0))/SUM((Trades!T$2:T$9999=Blotter!C75)*(Trades!U$2:U$9999=Blotter!B75)*(Trades!V$2:V$9999)*(Trades!V$2:V$9999&gt;0))),SUM((Trades!T$2:T$9999=Blotter!C75)*(Trades!U$2:U$9999=Blotter!B75)*(Trades!W$2:W$9999)*(Trades!V$2:V$9999)*(Trades!V$2:V$9999&gt;0))/SUM((Trades!T$2:T$9999=Blotter!C75)*(Trades!U$2:U$9999=Blotter!B75)*(Trades!V$2:V$9999)*(Trades!V$2:V$9999&gt;0)),0)</f>
        <v>79.5</v>
      </c>
      <c r="Z75" s="42">
        <f>IF(C$2="Last",IF(ISNUMBER(VLOOKUP(B75,Data_IB!B:O,14,0)),VLOOKUP(B75,Data_IB!B:O,14,0),0),IF(ISNUMBER(VLOOKUP(B75,Data_IB!B:O,13,0)),VLOOKUP(B75,Data_IB!B:O,13,0),0))</f>
        <v>0</v>
      </c>
    </row>
    <row r="76" spans="2:28" x14ac:dyDescent="0.4">
      <c r="B76" s="9" t="s">
        <v>442</v>
      </c>
      <c r="C76" s="10">
        <v>48</v>
      </c>
      <c r="D76" s="10" t="s">
        <v>21</v>
      </c>
      <c r="E76" s="10" t="s">
        <v>199</v>
      </c>
      <c r="F76" s="10" t="s">
        <v>53</v>
      </c>
      <c r="G76" s="28">
        <f>IF(F76="Futures",VLOOKUP(D76,Multiplier!B:I,8,0),0)</f>
        <v>0</v>
      </c>
      <c r="H76" s="11">
        <v>-20</v>
      </c>
      <c r="I76" s="28">
        <f t="array" ref="I76">SUM((Trades!V$2:V$9999)*(Trades!U$2:U$9999=Blotter!B76)*(Trades!$T$2:T$9999=Blotter!C76))</f>
        <v>0</v>
      </c>
      <c r="J76" s="28">
        <f>VLOOKUP(D76,Multiplier!B:D,2,0)</f>
        <v>50</v>
      </c>
      <c r="K76" s="29">
        <f t="shared" si="124"/>
        <v>27.443199999999997</v>
      </c>
      <c r="L76" s="29">
        <f t="shared" si="125"/>
        <v>11.45</v>
      </c>
      <c r="M76" s="28">
        <f t="shared" si="126"/>
        <v>0</v>
      </c>
      <c r="N76" s="28">
        <f t="array" ref="N76">-SUM((Trades!T$2:T$9999=Blotter!C76)*(Trades!U$2:U$9999=Blotter!B76)*(Trades!V$2:V$9999)*(Trades!W$2:W$9999))*J76+SUM((Trades!T$2:T$9999=Blotter!C76)*(Trades!U$2:U$9999=Blotter!B76)*(Trades!X$2:X$9999))+(L76*I76)*J76</f>
        <v>15993.2</v>
      </c>
      <c r="O76" s="29">
        <f>VLOOKUP(D76,Multiplier!B:H,3,0)</f>
        <v>50.57</v>
      </c>
      <c r="P76" s="27">
        <v>28.971599999999999</v>
      </c>
      <c r="Q76" s="27">
        <v>1</v>
      </c>
      <c r="R76" s="28">
        <f t="shared" si="127"/>
        <v>0</v>
      </c>
      <c r="S76" s="29">
        <f t="shared" si="128"/>
        <v>0</v>
      </c>
      <c r="T76" s="3">
        <f t="shared" si="129"/>
        <v>0</v>
      </c>
      <c r="U76" s="29">
        <f t="shared" si="130"/>
        <v>0</v>
      </c>
      <c r="V76" s="3">
        <f t="shared" si="131"/>
        <v>0</v>
      </c>
      <c r="X76" s="41">
        <f t="array" ref="X76">IF(ISNUMBER(SUM((Trades!T$2:T$9999=Blotter!C76)*(Trades!U$2:U$9999=Blotter!B76)*(Trades!W$2:W$9999)*(Trades!V$2:V$9999)*(Trades!V$2:V$9999&lt;0))/SUM((Trades!T$2:T$9999=Blotter!C76)*(Trades!U$2:U$9999=Blotter!B76)*(Trades!V$2:V$9999)*(Trades!V$2:V$9999&lt;0))),SUM((Trades!T$2:T$9999=Blotter!C76)*(Trades!U$2:U$9999=Blotter!B76)*(Trades!W$2:W$9999)*(Trades!V$2:V$9999)*(Trades!V$2:V$9999&lt;0))/SUM((Trades!T$2:T$9999=Blotter!C76)*(Trades!U$2:U$9999=Blotter!B76)*(Trades!V$2:V$9999)*(Trades!V$2:V$9999&lt;0)),0)</f>
        <v>27.5</v>
      </c>
      <c r="Y76" s="41">
        <f t="array" ref="Y76">IF(ISNUMBER(SUM((Trades!T$2:T$9999=Blotter!C76)*(Trades!U$2:U$9999=Blotter!B76)*(Trades!W$2:W$9999)*(Trades!V$2:V$9999)*(Trades!V$2:V$9999&gt;0))/SUM((Trades!T$2:T$9999=Blotter!C76)*(Trades!U$2:U$9999=Blotter!B76)*(Trades!V$2:V$9999)*(Trades!V$2:V$9999&gt;0))),SUM((Trades!T$2:T$9999=Blotter!C76)*(Trades!U$2:U$9999=Blotter!B76)*(Trades!W$2:W$9999)*(Trades!V$2:V$9999)*(Trades!V$2:V$9999&gt;0))/SUM((Trades!T$2:T$9999=Blotter!C76)*(Trades!U$2:U$9999=Blotter!B76)*(Trades!V$2:V$9999)*(Trades!V$2:V$9999&gt;0)),0)</f>
        <v>11.45</v>
      </c>
      <c r="Z76" s="42">
        <f>IF(C$2="Last",IF(ISNUMBER(VLOOKUP(B76,Data_IB!B:O,14,0)),VLOOKUP(B76,Data_IB!B:O,14,0),0),IF(ISNUMBER(VLOOKUP(B76,Data_IB!B:O,13,0)),VLOOKUP(B76,Data_IB!B:O,13,0),0))</f>
        <v>0</v>
      </c>
    </row>
    <row r="77" spans="2:28" x14ac:dyDescent="0.4">
      <c r="B77" s="9" t="s">
        <v>445</v>
      </c>
      <c r="C77" s="10">
        <v>48</v>
      </c>
      <c r="D77" s="10" t="s">
        <v>21</v>
      </c>
      <c r="E77" s="10" t="s">
        <v>199</v>
      </c>
      <c r="F77" s="10" t="s">
        <v>53</v>
      </c>
      <c r="G77" s="28">
        <f>IF(F77="Futures",VLOOKUP(D77,Multiplier!B:I,8,0),0)</f>
        <v>0</v>
      </c>
      <c r="H77" s="11">
        <v>20</v>
      </c>
      <c r="I77" s="28">
        <f t="array" ref="I77">SUM((Trades!V$2:V$9999)*(Trades!U$2:U$9999=Blotter!B77)*(Trades!$T$2:T$9999=Blotter!C77))</f>
        <v>0</v>
      </c>
      <c r="J77" s="28">
        <f>VLOOKUP(D77,Multiplier!B:D,2,0)</f>
        <v>50</v>
      </c>
      <c r="K77" s="29">
        <f t="shared" si="124"/>
        <v>42.431800000000003</v>
      </c>
      <c r="L77" s="29">
        <f t="shared" si="125"/>
        <v>34.25</v>
      </c>
      <c r="M77" s="28">
        <f t="shared" si="126"/>
        <v>0</v>
      </c>
      <c r="N77" s="28">
        <f t="array" ref="N77">-SUM((Trades!T$2:T$9999=Blotter!C77)*(Trades!U$2:U$9999=Blotter!B77)*(Trades!V$2:V$9999)*(Trades!W$2:W$9999))*J77+SUM((Trades!T$2:T$9999=Blotter!C77)*(Trades!U$2:U$9999=Blotter!B77)*(Trades!X$2:X$9999))+(L77*I77)*J77</f>
        <v>-8181.8</v>
      </c>
      <c r="O77" s="29">
        <f>VLOOKUP(D77,Multiplier!B:H,3,0)</f>
        <v>50.57</v>
      </c>
      <c r="P77" s="27">
        <v>44.778400000000005</v>
      </c>
      <c r="Q77" s="27"/>
      <c r="R77" s="28">
        <f t="shared" si="127"/>
        <v>44778.400000000001</v>
      </c>
      <c r="S77" s="29">
        <f t="shared" si="128"/>
        <v>0</v>
      </c>
      <c r="T77" s="3">
        <f t="shared" si="129"/>
        <v>0</v>
      </c>
      <c r="U77" s="29">
        <f t="shared" si="130"/>
        <v>0</v>
      </c>
      <c r="V77" s="3">
        <f t="shared" si="131"/>
        <v>0</v>
      </c>
      <c r="X77" s="41">
        <f t="array" ref="X77">IF(ISNUMBER(SUM((Trades!T$2:T$9999=Blotter!C77)*(Trades!U$2:U$9999=Blotter!B77)*(Trades!W$2:W$9999)*(Trades!V$2:V$9999)*(Trades!V$2:V$9999&lt;0))/SUM((Trades!T$2:T$9999=Blotter!C77)*(Trades!U$2:U$9999=Blotter!B77)*(Trades!V$2:V$9999)*(Trades!V$2:V$9999&lt;0))),SUM((Trades!T$2:T$9999=Blotter!C77)*(Trades!U$2:U$9999=Blotter!B77)*(Trades!W$2:W$9999)*(Trades!V$2:V$9999)*(Trades!V$2:V$9999&lt;0))/SUM((Trades!T$2:T$9999=Blotter!C77)*(Trades!U$2:U$9999=Blotter!B77)*(Trades!V$2:V$9999)*(Trades!V$2:V$9999&lt;0)),0)</f>
        <v>34.25</v>
      </c>
      <c r="Y77" s="41">
        <f t="array" ref="Y77">IF(ISNUMBER(SUM((Trades!T$2:T$9999=Blotter!C77)*(Trades!U$2:U$9999=Blotter!B77)*(Trades!W$2:W$9999)*(Trades!V$2:V$9999)*(Trades!V$2:V$9999&gt;0))/SUM((Trades!T$2:T$9999=Blotter!C77)*(Trades!U$2:U$9999=Blotter!B77)*(Trades!V$2:V$9999)*(Trades!V$2:V$9999&gt;0))),SUM((Trades!T$2:T$9999=Blotter!C77)*(Trades!U$2:U$9999=Blotter!B77)*(Trades!W$2:W$9999)*(Trades!V$2:V$9999)*(Trades!V$2:V$9999&gt;0))/SUM((Trades!T$2:T$9999=Blotter!C77)*(Trades!U$2:U$9999=Blotter!B77)*(Trades!V$2:V$9999)*(Trades!V$2:V$9999&gt;0)),0)</f>
        <v>42.375</v>
      </c>
      <c r="Z77" s="42">
        <f>IF(C$2="Last",IF(ISNUMBER(VLOOKUP(B77,Data_IB!B:O,14,0)),VLOOKUP(B77,Data_IB!B:O,14,0),0),IF(ISNUMBER(VLOOKUP(B77,Data_IB!B:O,13,0)),VLOOKUP(B77,Data_IB!B:O,13,0),0))</f>
        <v>0</v>
      </c>
    </row>
    <row r="78" spans="2:28" x14ac:dyDescent="0.4">
      <c r="B78" s="9" t="s">
        <v>450</v>
      </c>
      <c r="C78" s="10">
        <v>48</v>
      </c>
      <c r="D78" s="10" t="s">
        <v>33</v>
      </c>
      <c r="E78" s="10" t="s">
        <v>200</v>
      </c>
      <c r="F78" s="10" t="s">
        <v>6</v>
      </c>
      <c r="G78" s="28">
        <f>IF(F78="Futures",VLOOKUP(D78,Multiplier!B:I,8,0),0)</f>
        <v>5</v>
      </c>
      <c r="H78" s="11">
        <v>10</v>
      </c>
      <c r="I78" s="28">
        <f t="array" ref="I78">SUM((Trades!V$2:V$9999)*(Trades!U$2:U$9999=Blotter!B78)*(Trades!$T$2:T$9999=Blotter!C78))</f>
        <v>0</v>
      </c>
      <c r="J78" s="28">
        <f>VLOOKUP(D78,Multiplier!B:D,2,0)</f>
        <v>375</v>
      </c>
      <c r="K78" s="29">
        <f t="shared" ref="K78" si="132">L78-N78/(H78*J78)</f>
        <v>180.35668000000004</v>
      </c>
      <c r="L78" s="29">
        <f t="shared" ref="L78" si="133">IF(I78=0,IF(H78&gt;0,X78,Y78),Z78)</f>
        <v>190.875</v>
      </c>
      <c r="M78" s="28">
        <f t="shared" ref="M78" si="134">I78*J78*L78</f>
        <v>0</v>
      </c>
      <c r="N78" s="28">
        <f t="array" ref="N78">-SUM((Trades!T$2:T$9999=Blotter!C78)*(Trades!U$2:U$9999=Blotter!B78)*(Trades!V$2:V$9999)*(Trades!W$2:W$9999))*J78+SUM((Trades!T$2:T$9999=Blotter!C78)*(Trades!U$2:U$9999=Blotter!B78)*(Trades!X$2:X$9999))+(L78*I78)*J78</f>
        <v>39443.69999999983</v>
      </c>
      <c r="O78" s="29">
        <f>VLOOKUP(D78,Multiplier!B:H,3,0)</f>
        <v>5.38</v>
      </c>
      <c r="P78" s="27">
        <v>3.5</v>
      </c>
      <c r="Q78" s="27"/>
      <c r="R78" s="28">
        <f t="shared" ref="R78" si="135">(1-Q78)*P78*J78*H78</f>
        <v>13125</v>
      </c>
      <c r="S78" s="29">
        <f t="shared" ref="S78" si="136">IF(OR(F78="Futures",F78="Stocks"),IF(I78=0,0,IF(I78&gt;0,L78-O78,L78+O78)),0)</f>
        <v>0</v>
      </c>
      <c r="T78" s="3">
        <f t="shared" ref="T78" si="137">IF(S78&gt;0,IF(ISNUMBER(S78/L78-1),S78/L78-1,0),0)</f>
        <v>0</v>
      </c>
      <c r="U78" s="29">
        <f t="shared" ref="U78" si="138">IF(OR(F78="Futures",F78="Stocks"),IF(I78=0,0,IF(I78&gt;0,K78-P78,K78+P78)),0)</f>
        <v>0</v>
      </c>
      <c r="V78" s="3">
        <f t="shared" ref="V78" si="139">IF(U78&gt;0,IF(ISNUMBER(U78/L78-1),U78/L78-1,0),0)</f>
        <v>0</v>
      </c>
      <c r="X78" s="41">
        <f t="array" ref="X78">IF(ISNUMBER(SUM((Trades!T$2:T$9999=Blotter!C78)*(Trades!U$2:U$9999=Blotter!B78)*(Trades!W$2:W$9999)*(Trades!V$2:V$9999)*(Trades!V$2:V$9999&lt;0))/SUM((Trades!T$2:T$9999=Blotter!C78)*(Trades!U$2:U$9999=Blotter!B78)*(Trades!V$2:V$9999)*(Trades!V$2:V$9999&lt;0))),SUM((Trades!T$2:T$9999=Blotter!C78)*(Trades!U$2:U$9999=Blotter!B78)*(Trades!W$2:W$9999)*(Trades!V$2:V$9999)*(Trades!V$2:V$9999&lt;0))/SUM((Trades!T$2:T$9999=Blotter!C78)*(Trades!U$2:U$9999=Blotter!B78)*(Trades!V$2:V$9999)*(Trades!V$2:V$9999&lt;0)),0)</f>
        <v>190.875</v>
      </c>
      <c r="Y78" s="41">
        <f t="array" ref="Y78">IF(ISNUMBER(SUM((Trades!T$2:T$9999=Blotter!C78)*(Trades!U$2:U$9999=Blotter!B78)*(Trades!W$2:W$9999)*(Trades!V$2:V$9999)*(Trades!V$2:V$9999&gt;0))/SUM((Trades!T$2:T$9999=Blotter!C78)*(Trades!U$2:U$9999=Blotter!B78)*(Trades!V$2:V$9999)*(Trades!V$2:V$9999&gt;0))),SUM((Trades!T$2:T$9999=Blotter!C78)*(Trades!U$2:U$9999=Blotter!B78)*(Trades!W$2:W$9999)*(Trades!V$2:V$9999)*(Trades!V$2:V$9999&gt;0))/SUM((Trades!T$2:T$9999=Blotter!C78)*(Trades!U$2:U$9999=Blotter!B78)*(Trades!V$2:V$9999)*(Trades!V$2:V$9999&gt;0)),0)</f>
        <v>185.60000000000005</v>
      </c>
      <c r="Z78" s="42">
        <f>IF(C$2="Last",IF(ISNUMBER(VLOOKUP(B78,Data_IB!B:O,14,0)),VLOOKUP(B78,Data_IB!B:O,14,0),0),IF(ISNUMBER(VLOOKUP(B78,Data_IB!B:O,13,0)),VLOOKUP(B78,Data_IB!B:O,13,0),0))</f>
        <v>0</v>
      </c>
    </row>
    <row r="79" spans="2:28" x14ac:dyDescent="0.4">
      <c r="B79" s="9" t="s">
        <v>456</v>
      </c>
      <c r="C79" s="10">
        <v>49</v>
      </c>
      <c r="D79" s="10" t="s">
        <v>31</v>
      </c>
      <c r="E79" s="10" t="s">
        <v>200</v>
      </c>
      <c r="F79" s="10" t="s">
        <v>6</v>
      </c>
      <c r="G79" s="28">
        <f>IF(F79="Futures",VLOOKUP(D79,Multiplier!B:I,8,0),0)</f>
        <v>10</v>
      </c>
      <c r="H79" s="11">
        <v>20</v>
      </c>
      <c r="I79" s="28">
        <f t="array" ref="I79">SUM((Trades!V$2:V$9999)*(Trades!U$2:U$9999=Blotter!B79)*(Trades!$T$2:T$9999=Blotter!C79))</f>
        <v>0</v>
      </c>
      <c r="J79" s="28">
        <f>VLOOKUP(D79,Multiplier!B:D,2,0)</f>
        <v>50</v>
      </c>
      <c r="K79" s="29">
        <f t="shared" ref="K79" si="140">L79-N79/(H79*J79)</f>
        <v>1182.7235000000001</v>
      </c>
      <c r="L79" s="29">
        <f t="shared" ref="L79" si="141">IF(I79=0,IF(H79&gt;0,X79,Y79),Z79)</f>
        <v>1179.2</v>
      </c>
      <c r="M79" s="28">
        <f t="shared" ref="M79" si="142">I79*J79*L79</f>
        <v>0</v>
      </c>
      <c r="N79" s="28">
        <f t="array" ref="N79">-SUM((Trades!T$2:T$9999=Blotter!C79)*(Trades!U$2:U$9999=Blotter!B79)*(Trades!V$2:V$9999)*(Trades!W$2:W$9999))*J79+SUM((Trades!T$2:T$9999=Blotter!C79)*(Trades!U$2:U$9999=Blotter!B79)*(Trades!X$2:X$9999))+(L79*I79)*J79</f>
        <v>-3523.5</v>
      </c>
      <c r="O79" s="29">
        <f>VLOOKUP(D79,Multiplier!B:H,3,0)</f>
        <v>19.75</v>
      </c>
      <c r="P79" s="27">
        <v>20.5</v>
      </c>
      <c r="Q79" s="27"/>
      <c r="R79" s="28">
        <f t="shared" ref="R79" si="143">(1-Q79)*P79*J79*H79</f>
        <v>20500</v>
      </c>
      <c r="S79" s="29">
        <f t="shared" ref="S79" si="144">IF(OR(F79="Futures",F79="Stocks"),IF(I79=0,0,IF(I79&gt;0,L79-O79,L79+O79)),0)</f>
        <v>0</v>
      </c>
      <c r="T79" s="3">
        <f t="shared" ref="T79" si="145">IF(S79&gt;0,IF(ISNUMBER(S79/L79-1),S79/L79-1,0),0)</f>
        <v>0</v>
      </c>
      <c r="U79" s="29">
        <f t="shared" ref="U79" si="146">IF(OR(F79="Futures",F79="Stocks"),IF(I79=0,0,IF(I79&gt;0,K79-P79,K79+P79)),0)</f>
        <v>0</v>
      </c>
      <c r="V79" s="3">
        <f t="shared" ref="V79" si="147">IF(U79&gt;0,IF(ISNUMBER(U79/L79-1),U79/L79-1,0),0)</f>
        <v>0</v>
      </c>
      <c r="X79" s="41">
        <f t="array" ref="X79">IF(ISNUMBER(SUM((Trades!T$2:T$9999=Blotter!C79)*(Trades!U$2:U$9999=Blotter!B79)*(Trades!W$2:W$9999)*(Trades!V$2:V$9999)*(Trades!V$2:V$9999&lt;0))/SUM((Trades!T$2:T$9999=Blotter!C79)*(Trades!U$2:U$9999=Blotter!B79)*(Trades!V$2:V$9999)*(Trades!V$2:V$9999&lt;0))),SUM((Trades!T$2:T$9999=Blotter!C79)*(Trades!U$2:U$9999=Blotter!B79)*(Trades!W$2:W$9999)*(Trades!V$2:V$9999)*(Trades!V$2:V$9999&lt;0))/SUM((Trades!T$2:T$9999=Blotter!C79)*(Trades!U$2:U$9999=Blotter!B79)*(Trades!V$2:V$9999)*(Trades!V$2:V$9999&lt;0)),0)</f>
        <v>1179.2</v>
      </c>
      <c r="Y79" s="41">
        <f t="array" ref="Y79">IF(ISNUMBER(SUM((Trades!T$2:T$9999=Blotter!C79)*(Trades!U$2:U$9999=Blotter!B79)*(Trades!W$2:W$9999)*(Trades!V$2:V$9999)*(Trades!V$2:V$9999&gt;0))/SUM((Trades!T$2:T$9999=Blotter!C79)*(Trades!U$2:U$9999=Blotter!B79)*(Trades!V$2:V$9999)*(Trades!V$2:V$9999&gt;0))),SUM((Trades!T$2:T$9999=Blotter!C79)*(Trades!U$2:U$9999=Blotter!B79)*(Trades!W$2:W$9999)*(Trades!V$2:V$9999)*(Trades!V$2:V$9999&gt;0))/SUM((Trades!T$2:T$9999=Blotter!C79)*(Trades!U$2:U$9999=Blotter!B79)*(Trades!V$2:V$9999)*(Trades!V$2:V$9999&gt;0)),0)</f>
        <v>1181.9000000000001</v>
      </c>
      <c r="Z79" s="42">
        <f>IF(C$2="Last",IF(ISNUMBER(VLOOKUP(B79,Data_IB!B:O,14,0)),VLOOKUP(B79,Data_IB!B:O,14,0),0),IF(ISNUMBER(VLOOKUP(B79,Data_IB!B:O,13,0)),VLOOKUP(B79,Data_IB!B:O,13,0),0))</f>
        <v>0</v>
      </c>
    </row>
    <row r="80" spans="2:28" x14ac:dyDescent="0.4">
      <c r="B80" s="9" t="s">
        <v>462</v>
      </c>
      <c r="C80" s="10">
        <v>53</v>
      </c>
      <c r="D80" s="10" t="s">
        <v>22</v>
      </c>
      <c r="E80" s="10" t="s">
        <v>199</v>
      </c>
      <c r="F80" s="10" t="s">
        <v>6</v>
      </c>
      <c r="G80" s="28">
        <f>IF(F80="Futures",VLOOKUP(D80,Multiplier!B:I,8,0),0)</f>
        <v>2</v>
      </c>
      <c r="H80" s="11">
        <v>-3</v>
      </c>
      <c r="I80" s="28">
        <f t="array" ref="I80">SUM((Trades!V$2:V$9999)*(Trades!U$2:U$9999=Blotter!B80)*(Trades!$T$2:T$9999=Blotter!C80))</f>
        <v>0</v>
      </c>
      <c r="J80" s="28">
        <f>VLOOKUP(D80,Multiplier!B:D,2,0)</f>
        <v>20</v>
      </c>
      <c r="K80" s="29">
        <f t="shared" ref="K80:K81" si="148">L80-N80/(H80*J80)</f>
        <v>17589.769722222223</v>
      </c>
      <c r="L80" s="29">
        <f t="shared" ref="L80:L81" si="149">IF(I80=0,IF(H80&gt;0,X80,Y80),Z80)</f>
        <v>17515.659722222223</v>
      </c>
      <c r="M80" s="28">
        <f t="shared" ref="M80:M81" si="150">I80*J80*L80</f>
        <v>0</v>
      </c>
      <c r="N80" s="28">
        <f t="array" ref="N80">-SUM((Trades!T$2:T$9999=Blotter!C80)*(Trades!U$2:U$9999=Blotter!B80)*(Trades!V$2:V$9999)*(Trades!W$2:W$9999))*J80+SUM((Trades!T$2:T$9999=Blotter!C80)*(Trades!U$2:U$9999=Blotter!B80)*(Trades!X$2:X$9999))+(L80*I80)*J80</f>
        <v>4446.6000000000004</v>
      </c>
      <c r="O80" s="29">
        <f>VLOOKUP(D80,Multiplier!B:H,3,0)</f>
        <v>248</v>
      </c>
      <c r="P80" s="27">
        <v>248</v>
      </c>
      <c r="R80" s="28">
        <f t="shared" ref="R80:R81" si="151">(1-Q80)*P80*J80*H80</f>
        <v>-14880</v>
      </c>
      <c r="S80" s="29">
        <f t="shared" ref="S80:S81" si="152">IF(OR(F80="Futures",F80="Stocks"),IF(I80=0,0,IF(I80&gt;0,L80-O80,L80+O80)),0)</f>
        <v>0</v>
      </c>
      <c r="T80" s="3">
        <f t="shared" ref="T80:T81" si="153">IF(S80&gt;0,IF(ISNUMBER(S80/L80-1),S80/L80-1,0),0)</f>
        <v>0</v>
      </c>
      <c r="U80" s="29">
        <f t="shared" ref="U80:U81" si="154">IF(OR(F80="Futures",F80="Stocks"),IF(I80=0,0,IF(I80&gt;0,K80-P80,K80+P80)),0)</f>
        <v>0</v>
      </c>
      <c r="V80" s="3">
        <f t="shared" ref="V80:V81" si="155">IF(U80&gt;0,IF(ISNUMBER(U80/L80-1),U80/L80-1,0),0)</f>
        <v>0</v>
      </c>
      <c r="X80" s="41">
        <f t="array" ref="X80">IF(ISNUMBER(SUM((Trades!T$2:T$9999=Blotter!C80)*(Trades!U$2:U$9999=Blotter!B80)*(Trades!W$2:W$9999)*(Trades!V$2:V$9999)*(Trades!V$2:V$9999&lt;0))/SUM((Trades!T$2:T$9999=Blotter!C80)*(Trades!U$2:U$9999=Blotter!B80)*(Trades!V$2:V$9999)*(Trades!V$2:V$9999&lt;0))),SUM((Trades!T$2:T$9999=Blotter!C80)*(Trades!U$2:U$9999=Blotter!B80)*(Trades!W$2:W$9999)*(Trades!V$2:V$9999)*(Trades!V$2:V$9999&lt;0))/SUM((Trades!T$2:T$9999=Blotter!C80)*(Trades!U$2:U$9999=Blotter!B80)*(Trades!V$2:V$9999)*(Trades!V$2:V$9999&lt;0)),0)</f>
        <v>17522.055555555555</v>
      </c>
      <c r="Y80" s="41">
        <f t="array" ref="Y80">IF(ISNUMBER(SUM((Trades!T$2:T$9999=Blotter!C80)*(Trades!U$2:U$9999=Blotter!B80)*(Trades!W$2:W$9999)*(Trades!V$2:V$9999)*(Trades!V$2:V$9999&gt;0))/SUM((Trades!T$2:T$9999=Blotter!C80)*(Trades!U$2:U$9999=Blotter!B80)*(Trades!V$2:V$9999)*(Trades!V$2:V$9999&gt;0))),SUM((Trades!T$2:T$9999=Blotter!C80)*(Trades!U$2:U$9999=Blotter!B80)*(Trades!W$2:W$9999)*(Trades!V$2:V$9999)*(Trades!V$2:V$9999&gt;0))/SUM((Trades!T$2:T$9999=Blotter!C80)*(Trades!U$2:U$9999=Blotter!B80)*(Trades!V$2:V$9999)*(Trades!V$2:V$9999&gt;0)),0)</f>
        <v>17515.659722222223</v>
      </c>
      <c r="Z80" s="42">
        <f>IF(C$2="Last",IF(ISNUMBER(VLOOKUP(B80,Data_IB!B:O,14,0)),VLOOKUP(B80,Data_IB!B:O,14,0),0),IF(ISNUMBER(VLOOKUP(B80,Data_IB!B:O,13,0)),VLOOKUP(B80,Data_IB!B:O,13,0),0))</f>
        <v>0</v>
      </c>
    </row>
    <row r="81" spans="2:26" x14ac:dyDescent="0.4">
      <c r="B81" s="9" t="s">
        <v>474</v>
      </c>
      <c r="C81" s="10">
        <v>56</v>
      </c>
      <c r="D81" s="10" t="s">
        <v>34</v>
      </c>
      <c r="E81" s="10" t="s">
        <v>200</v>
      </c>
      <c r="F81" s="10" t="s">
        <v>6</v>
      </c>
      <c r="G81" s="28">
        <f>IF(F81="Futures",VLOOKUP(D81,Multiplier!B:I,8,0),0)</f>
        <v>3</v>
      </c>
      <c r="H81" s="11">
        <v>5</v>
      </c>
      <c r="I81" s="28">
        <f t="array" ref="I81">SUM((Trades!V$2:V$9999)*(Trades!U$2:U$9999=Blotter!B81)*(Trades!$T$2:T$9999=Blotter!C81))</f>
        <v>0</v>
      </c>
      <c r="J81" s="28">
        <f>VLOOKUP(D81,Multiplier!B:D,2,0)</f>
        <v>10</v>
      </c>
      <c r="K81" s="29">
        <f t="shared" si="148"/>
        <v>9269.4571111111109</v>
      </c>
      <c r="L81" s="29">
        <f t="shared" si="149"/>
        <v>8100.1111111111113</v>
      </c>
      <c r="M81" s="28">
        <f t="shared" si="150"/>
        <v>0</v>
      </c>
      <c r="N81" s="28">
        <f t="array" ref="N81">-SUM((Trades!T$2:T$9999=Blotter!C81)*(Trades!U$2:U$9999=Blotter!B81)*(Trades!V$2:V$9999)*(Trades!W$2:W$9999))*J81+SUM((Trades!T$2:T$9999=Blotter!C81)*(Trades!U$2:U$9999=Blotter!B81)*(Trades!X$2:X$9999))+(L81*I81)*J81</f>
        <v>-58467.3</v>
      </c>
      <c r="O81" s="29">
        <f>VLOOKUP(D81,Multiplier!B:H,3,0)</f>
        <v>400</v>
      </c>
      <c r="P81" s="27">
        <v>400</v>
      </c>
      <c r="Q81" s="27"/>
      <c r="R81" s="28">
        <f t="shared" si="151"/>
        <v>20000</v>
      </c>
      <c r="S81" s="29">
        <f t="shared" si="152"/>
        <v>0</v>
      </c>
      <c r="T81" s="3">
        <f t="shared" si="153"/>
        <v>0</v>
      </c>
      <c r="U81" s="29">
        <f t="shared" si="154"/>
        <v>0</v>
      </c>
      <c r="V81" s="3">
        <f t="shared" si="155"/>
        <v>0</v>
      </c>
      <c r="X81" s="41">
        <f t="array" ref="X81">IF(ISNUMBER(SUM((Trades!T$2:T$9999=Blotter!C81)*(Trades!U$2:U$9999=Blotter!B81)*(Trades!W$2:W$9999)*(Trades!V$2:V$9999)*(Trades!V$2:V$9999&lt;0))/SUM((Trades!T$2:T$9999=Blotter!C81)*(Trades!U$2:U$9999=Blotter!B81)*(Trades!V$2:V$9999)*(Trades!V$2:V$9999&lt;0))),SUM((Trades!T$2:T$9999=Blotter!C81)*(Trades!U$2:U$9999=Blotter!B81)*(Trades!W$2:W$9999)*(Trades!V$2:V$9999)*(Trades!V$2:V$9999&lt;0))/SUM((Trades!T$2:T$9999=Blotter!C81)*(Trades!U$2:U$9999=Blotter!B81)*(Trades!V$2:V$9999)*(Trades!V$2:V$9999&lt;0)),0)</f>
        <v>8100.1111111111113</v>
      </c>
      <c r="Y81" s="41">
        <f t="array" ref="Y81">IF(ISNUMBER(SUM((Trades!T$2:T$9999=Blotter!C81)*(Trades!U$2:U$9999=Blotter!B81)*(Trades!W$2:W$9999)*(Trades!V$2:V$9999)*(Trades!V$2:V$9999&gt;0))/SUM((Trades!T$2:T$9999=Blotter!C81)*(Trades!U$2:U$9999=Blotter!B81)*(Trades!V$2:V$9999)*(Trades!V$2:V$9999&gt;0))),SUM((Trades!T$2:T$9999=Blotter!C81)*(Trades!U$2:U$9999=Blotter!B81)*(Trades!W$2:W$9999)*(Trades!V$2:V$9999)*(Trades!V$2:V$9999&gt;0))/SUM((Trades!T$2:T$9999=Blotter!C81)*(Trades!U$2:U$9999=Blotter!B81)*(Trades!V$2:V$9999)*(Trades!V$2:V$9999&gt;0)),0)</f>
        <v>8229.4444444444453</v>
      </c>
      <c r="Z81" s="42">
        <f>IF(C$2="Last",IF(ISNUMBER(VLOOKUP(B81,Data_IB!B:O,14,0)),VLOOKUP(B81,Data_IB!B:O,14,0),0),IF(ISNUMBER(VLOOKUP(B81,Data_IB!B:O,13,0)),VLOOKUP(B81,Data_IB!B:O,13,0),0))</f>
        <v>0</v>
      </c>
    </row>
  </sheetData>
  <conditionalFormatting sqref="I19:I81">
    <cfRule type="expression" dxfId="12" priority="3">
      <formula>$I19&lt;0</formula>
    </cfRule>
    <cfRule type="expression" dxfId="11" priority="4">
      <formula>$I19&gt;0</formula>
    </cfRule>
  </conditionalFormatting>
  <conditionalFormatting sqref="L19:L81">
    <cfRule type="expression" dxfId="10" priority="11">
      <formula>$I19&lt;0</formula>
    </cfRule>
    <cfRule type="expression" dxfId="9" priority="12">
      <formula>$I19&gt;0</formula>
    </cfRule>
  </conditionalFormatting>
  <conditionalFormatting sqref="R19:R81">
    <cfRule type="expression" dxfId="8" priority="5">
      <formula>$I19&lt;0</formula>
    </cfRule>
    <cfRule type="expression" dxfId="7" priority="6">
      <formula>$I19&gt;0</formula>
    </cfRule>
  </conditionalFormatting>
  <conditionalFormatting sqref="U19:U81">
    <cfRule type="expression" dxfId="6" priority="1">
      <formula>$I19&lt;0</formula>
    </cfRule>
    <cfRule type="expression" dxfId="5" priority="2">
      <formula>$I19&gt;0</formula>
    </cfRule>
  </conditionalFormatting>
  <dataValidations count="2">
    <dataValidation type="list" allowBlank="1" showInputMessage="1" showErrorMessage="1" sqref="E18:E81" xr:uid="{AC88AEA5-902E-420C-9C45-273DF27D0711}">
      <formula1>$E$2:$E$9</formula1>
    </dataValidation>
    <dataValidation type="list" allowBlank="1" showInputMessage="1" showErrorMessage="1" sqref="F19:F81" xr:uid="{E3A4A9BD-B1D5-49ED-8995-40642753B7C9}">
      <formula1>$F$2:$F$9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8962-D2B9-445E-A455-77BA6B09F720}">
  <dimension ref="B2:H13"/>
  <sheetViews>
    <sheetView showGridLines="0" zoomScale="90" zoomScaleNormal="90" workbookViewId="0">
      <selection activeCell="C9" sqref="C9:H12"/>
    </sheetView>
  </sheetViews>
  <sheetFormatPr defaultRowHeight="13.15" x14ac:dyDescent="0.4"/>
  <cols>
    <col min="1" max="1" width="3.33203125" style="1" customWidth="1"/>
    <col min="2" max="2" width="15.73046875" style="1" bestFit="1" customWidth="1"/>
    <col min="3" max="6" width="12.9296875" style="1" customWidth="1"/>
    <col min="7" max="7" width="9.59765625" style="1" bestFit="1" customWidth="1"/>
    <col min="8" max="8" width="11.1328125" style="1" bestFit="1" customWidth="1"/>
    <col min="9" max="16384" width="9.06640625" style="1"/>
  </cols>
  <sheetData>
    <row r="2" spans="2:8" x14ac:dyDescent="0.4">
      <c r="B2" s="65"/>
      <c r="C2" s="4" t="s">
        <v>275</v>
      </c>
      <c r="D2" s="4" t="s">
        <v>51</v>
      </c>
      <c r="E2" s="4" t="s">
        <v>10</v>
      </c>
      <c r="F2" s="4" t="s">
        <v>52</v>
      </c>
      <c r="G2" s="4" t="s">
        <v>250</v>
      </c>
      <c r="H2" s="2" t="s">
        <v>274</v>
      </c>
    </row>
    <row r="3" spans="2:8" x14ac:dyDescent="0.4">
      <c r="B3" s="17" t="s">
        <v>251</v>
      </c>
      <c r="C3" s="17"/>
      <c r="D3" s="10"/>
      <c r="E3" s="10"/>
      <c r="F3" s="10"/>
      <c r="G3" s="15">
        <f>2060.74+768.64+6750</f>
        <v>9579.3799999999992</v>
      </c>
      <c r="H3" s="60"/>
    </row>
    <row r="4" spans="2:8" x14ac:dyDescent="0.4">
      <c r="B4" s="17" t="s">
        <v>252</v>
      </c>
      <c r="C4" s="17"/>
      <c r="D4" s="10"/>
      <c r="E4" s="10"/>
      <c r="F4" s="10"/>
      <c r="G4" s="15">
        <v>3376</v>
      </c>
      <c r="H4" s="6">
        <f>-G4</f>
        <v>-3376</v>
      </c>
    </row>
    <row r="5" spans="2:8" x14ac:dyDescent="0.4">
      <c r="B5" s="17" t="s">
        <v>468</v>
      </c>
      <c r="C5" s="17"/>
      <c r="D5" s="10"/>
      <c r="E5" s="10"/>
      <c r="F5" s="10"/>
      <c r="G5" s="15"/>
      <c r="H5" s="6">
        <f>(C9*E9*100)</f>
        <v>0</v>
      </c>
    </row>
    <row r="6" spans="2:8" x14ac:dyDescent="0.4">
      <c r="B6" s="17" t="s">
        <v>348</v>
      </c>
      <c r="C6" s="17"/>
      <c r="D6" s="10"/>
      <c r="E6" s="10"/>
      <c r="F6" s="10"/>
      <c r="G6" s="15"/>
      <c r="H6" s="6">
        <f>(C10*E10*100)</f>
        <v>0</v>
      </c>
    </row>
    <row r="7" spans="2:8" x14ac:dyDescent="0.4">
      <c r="B7" s="17" t="s">
        <v>327</v>
      </c>
      <c r="C7" s="17"/>
      <c r="D7" s="10"/>
      <c r="E7" s="10"/>
      <c r="F7" s="10"/>
      <c r="G7" s="15"/>
      <c r="H7" s="6">
        <f>(C11*E11*100)</f>
        <v>0</v>
      </c>
    </row>
    <row r="8" spans="2:8" x14ac:dyDescent="0.4">
      <c r="B8" s="17" t="s">
        <v>328</v>
      </c>
      <c r="C8" s="17"/>
      <c r="D8" s="10"/>
      <c r="E8" s="10"/>
      <c r="F8" s="10"/>
      <c r="G8" s="15"/>
      <c r="H8" s="6"/>
    </row>
    <row r="9" spans="2:8" x14ac:dyDescent="0.4">
      <c r="B9" s="17" t="s">
        <v>467</v>
      </c>
      <c r="C9" s="71"/>
      <c r="D9" s="27"/>
      <c r="E9" s="11"/>
      <c r="F9" s="29"/>
      <c r="G9" s="6"/>
      <c r="H9" s="6"/>
    </row>
    <row r="10" spans="2:8" x14ac:dyDescent="0.4">
      <c r="B10" s="17" t="s">
        <v>347</v>
      </c>
      <c r="C10" s="71"/>
      <c r="D10" s="27"/>
      <c r="E10" s="10"/>
      <c r="F10" s="29"/>
      <c r="G10" s="6"/>
      <c r="H10" s="6"/>
    </row>
    <row r="11" spans="2:8" x14ac:dyDescent="0.4">
      <c r="B11" s="17" t="s">
        <v>325</v>
      </c>
      <c r="C11" s="71"/>
      <c r="D11" s="27"/>
      <c r="E11" s="11"/>
      <c r="F11" s="29"/>
      <c r="G11" s="6"/>
      <c r="H11" s="6"/>
    </row>
    <row r="12" spans="2:8" x14ac:dyDescent="0.4">
      <c r="B12" s="61" t="s">
        <v>249</v>
      </c>
      <c r="C12" s="67"/>
      <c r="D12" s="63"/>
      <c r="E12" s="64"/>
      <c r="F12" s="63"/>
      <c r="G12" s="74"/>
      <c r="H12" s="74"/>
    </row>
    <row r="13" spans="2:8" x14ac:dyDescent="0.4">
      <c r="B13" s="17" t="s">
        <v>247</v>
      </c>
      <c r="C13" s="17"/>
      <c r="D13" s="10"/>
      <c r="E13" s="10"/>
      <c r="F13" s="10"/>
      <c r="G13" s="6">
        <f>SUM(G3:G12)</f>
        <v>12955.38</v>
      </c>
      <c r="H13" s="6">
        <f>SUM(H3:H12)</f>
        <v>-3376</v>
      </c>
    </row>
  </sheetData>
  <conditionalFormatting sqref="G13:H13">
    <cfRule type="expression" dxfId="4" priority="3">
      <formula>$L13&lt;0</formula>
    </cfRule>
    <cfRule type="expression" dxfId="3" priority="4">
      <formula>$L13&gt;0</formula>
    </cfRule>
  </conditionalFormatting>
  <conditionalFormatting sqref="H4:H12">
    <cfRule type="expression" dxfId="2" priority="1">
      <formula>$L4&lt;0</formula>
    </cfRule>
    <cfRule type="expression" dxfId="1" priority="2">
      <formula>$L4&gt;0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287B-BC01-44DF-9EC0-2DAB8E756613}">
  <sheetPr>
    <pageSetUpPr fitToPage="1"/>
  </sheetPr>
  <dimension ref="B2:R24"/>
  <sheetViews>
    <sheetView showGridLines="0" zoomScale="90" zoomScaleNormal="90" workbookViewId="0">
      <selection activeCell="B3" sqref="B3:B24"/>
    </sheetView>
  </sheetViews>
  <sheetFormatPr defaultRowHeight="13.15" x14ac:dyDescent="0.4"/>
  <cols>
    <col min="1" max="1" width="4.53125" style="1" customWidth="1"/>
    <col min="2" max="2" width="9.53125" style="1" bestFit="1" customWidth="1"/>
    <col min="3" max="3" width="7.59765625" style="1" bestFit="1" customWidth="1"/>
    <col min="4" max="4" width="8.73046875" style="1" bestFit="1" customWidth="1"/>
    <col min="5" max="5" width="14.73046875" style="1" bestFit="1" customWidth="1"/>
    <col min="6" max="6" width="15.19921875" style="1" bestFit="1" customWidth="1"/>
    <col min="7" max="7" width="14.9296875" style="1" bestFit="1" customWidth="1"/>
    <col min="8" max="8" width="7.86328125" style="1" bestFit="1" customWidth="1"/>
    <col min="9" max="9" width="10.06640625" style="1" bestFit="1" customWidth="1"/>
    <col min="10" max="10" width="14.59765625" style="1" bestFit="1" customWidth="1"/>
    <col min="11" max="11" width="6.1328125" style="1" bestFit="1" customWidth="1"/>
    <col min="12" max="12" width="8.19921875" style="1" customWidth="1"/>
    <col min="13" max="13" width="8.796875" style="1" customWidth="1"/>
    <col min="14" max="14" width="10.33203125" style="1" customWidth="1"/>
    <col min="15" max="15" width="8.265625" style="1" customWidth="1"/>
    <col min="16" max="16384" width="9.06640625" style="1"/>
  </cols>
  <sheetData>
    <row r="2" spans="2:18" x14ac:dyDescent="0.4">
      <c r="B2" s="45" t="s">
        <v>392</v>
      </c>
      <c r="C2" s="4" t="s">
        <v>393</v>
      </c>
      <c r="D2" s="4" t="s">
        <v>394</v>
      </c>
      <c r="E2" s="4" t="s">
        <v>399</v>
      </c>
      <c r="F2" s="4" t="s">
        <v>395</v>
      </c>
      <c r="G2" s="4" t="s">
        <v>401</v>
      </c>
      <c r="H2" s="4" t="s">
        <v>396</v>
      </c>
      <c r="I2" s="4" t="s">
        <v>55</v>
      </c>
      <c r="J2" s="4" t="s">
        <v>400</v>
      </c>
      <c r="K2" s="4" t="s">
        <v>397</v>
      </c>
      <c r="L2" s="4" t="s">
        <v>309</v>
      </c>
      <c r="M2" s="4" t="s">
        <v>404</v>
      </c>
      <c r="N2" s="4" t="s">
        <v>405</v>
      </c>
      <c r="O2" s="4" t="s">
        <v>398</v>
      </c>
    </row>
    <row r="3" spans="2:18" x14ac:dyDescent="0.4">
      <c r="B3" s="85">
        <v>45654</v>
      </c>
      <c r="C3" s="17"/>
      <c r="E3" s="75"/>
      <c r="F3" s="75"/>
      <c r="G3" s="17"/>
      <c r="H3" s="17"/>
      <c r="I3" s="17"/>
      <c r="J3" s="79">
        <f>L3*K3</f>
        <v>1000000</v>
      </c>
      <c r="K3" s="76">
        <v>1000</v>
      </c>
      <c r="L3" s="77">
        <v>1000</v>
      </c>
      <c r="M3" s="77">
        <v>0</v>
      </c>
      <c r="N3" s="77">
        <v>0</v>
      </c>
      <c r="O3" s="78"/>
    </row>
    <row r="4" spans="2:18" x14ac:dyDescent="0.4">
      <c r="B4" s="85">
        <v>45685</v>
      </c>
      <c r="C4" s="76"/>
      <c r="D4" s="79">
        <f t="shared" ref="D4:D11" si="0">C4*L3</f>
        <v>0</v>
      </c>
      <c r="E4" s="79">
        <f t="shared" ref="E4:E14" si="1">J3+D4</f>
        <v>1000000</v>
      </c>
      <c r="F4" s="76"/>
      <c r="G4" s="76"/>
      <c r="H4" s="76"/>
      <c r="I4" s="76">
        <v>-7562.1700000000401</v>
      </c>
      <c r="J4" s="79">
        <f t="shared" ref="J4:J13" si="2">E4-F4-G4-H4+I4</f>
        <v>992437.83</v>
      </c>
      <c r="K4" s="79">
        <f t="shared" ref="K4:K13" si="3">K3+C4</f>
        <v>1000</v>
      </c>
      <c r="L4" s="80">
        <f t="shared" ref="L4:L13" si="4">J4/K4</f>
        <v>992.43782999999996</v>
      </c>
      <c r="M4" s="81">
        <f t="shared" ref="M4:M14" si="5">L4/$L$3-1</f>
        <v>-7.5621700000000347E-3</v>
      </c>
      <c r="N4" s="82">
        <f>L4/L3-1</f>
        <v>-7.5621700000000347E-3</v>
      </c>
      <c r="O4" s="82"/>
    </row>
    <row r="5" spans="2:18" ht="14.25" x14ac:dyDescent="0.4">
      <c r="B5" s="85">
        <v>45716</v>
      </c>
      <c r="C5" s="76"/>
      <c r="D5" s="79">
        <f t="shared" si="0"/>
        <v>0</v>
      </c>
      <c r="E5" s="79">
        <f t="shared" si="1"/>
        <v>992437.83</v>
      </c>
      <c r="F5" s="76"/>
      <c r="G5" s="76"/>
      <c r="H5" s="76"/>
      <c r="I5" s="76">
        <v>-16180.909999999916</v>
      </c>
      <c r="J5" s="79">
        <f t="shared" si="2"/>
        <v>976256.92</v>
      </c>
      <c r="K5" s="79">
        <f t="shared" si="3"/>
        <v>1000</v>
      </c>
      <c r="L5" s="80">
        <f t="shared" si="4"/>
        <v>976.25692000000004</v>
      </c>
      <c r="M5" s="81">
        <f t="shared" si="5"/>
        <v>-2.3743079999999916E-2</v>
      </c>
      <c r="N5" s="82">
        <f t="shared" ref="N5:N6" si="6">L5/L4-1</f>
        <v>-1.6304205171219555E-2</v>
      </c>
      <c r="O5" s="84">
        <f>STDEVP(N$4:N5)*SQRT(12)</f>
        <v>1.5141649078106298E-2</v>
      </c>
    </row>
    <row r="6" spans="2:18" ht="14.25" x14ac:dyDescent="0.4">
      <c r="B6" s="85">
        <v>45744</v>
      </c>
      <c r="C6" s="76"/>
      <c r="D6" s="79">
        <f t="shared" si="0"/>
        <v>0</v>
      </c>
      <c r="E6" s="79">
        <f t="shared" si="1"/>
        <v>976256.92</v>
      </c>
      <c r="F6" s="76"/>
      <c r="G6" s="76"/>
      <c r="H6" s="76"/>
      <c r="I6" s="76">
        <v>46816.419999999925</v>
      </c>
      <c r="J6" s="79">
        <f t="shared" si="2"/>
        <v>1023073.34</v>
      </c>
      <c r="K6" s="79">
        <f t="shared" si="3"/>
        <v>1000</v>
      </c>
      <c r="L6" s="80">
        <f t="shared" si="4"/>
        <v>1023.0733399999999</v>
      </c>
      <c r="M6" s="81">
        <f t="shared" si="5"/>
        <v>2.3073339999999831E-2</v>
      </c>
      <c r="N6" s="82">
        <f t="shared" si="6"/>
        <v>4.7955019873252125E-2</v>
      </c>
      <c r="O6" s="84">
        <f>STDEVP(N$4:N6)*SQRT(12)</f>
        <v>9.8575382685358301E-2</v>
      </c>
    </row>
    <row r="7" spans="2:18" ht="14.25" x14ac:dyDescent="0.4">
      <c r="B7" s="85">
        <v>45775</v>
      </c>
      <c r="C7" s="76"/>
      <c r="D7" s="79">
        <f t="shared" si="0"/>
        <v>0</v>
      </c>
      <c r="E7" s="79">
        <f t="shared" si="1"/>
        <v>1023073.34</v>
      </c>
      <c r="F7" s="76"/>
      <c r="G7" s="76"/>
      <c r="H7" s="76"/>
      <c r="I7" s="76">
        <v>33940.010000000126</v>
      </c>
      <c r="J7" s="79">
        <f t="shared" si="2"/>
        <v>1057013.3500000001</v>
      </c>
      <c r="K7" s="79">
        <f t="shared" si="3"/>
        <v>1000</v>
      </c>
      <c r="L7" s="80">
        <f t="shared" si="4"/>
        <v>1057.0133500000002</v>
      </c>
      <c r="M7" s="81">
        <f t="shared" si="5"/>
        <v>5.7013350000000074E-2</v>
      </c>
      <c r="N7" s="82">
        <f t="shared" ref="N7" si="7">L7/L6-1</f>
        <v>3.3174562050458878E-2</v>
      </c>
      <c r="O7" s="84">
        <f>STDEVP(N$4:N7)*SQRT(12)</f>
        <v>9.332974297237559E-2</v>
      </c>
    </row>
    <row r="8" spans="2:18" ht="14.25" x14ac:dyDescent="0.4">
      <c r="B8" s="85">
        <v>45805</v>
      </c>
      <c r="C8" s="76"/>
      <c r="D8" s="79">
        <f t="shared" si="0"/>
        <v>0</v>
      </c>
      <c r="E8" s="79">
        <f t="shared" si="1"/>
        <v>1057013.3500000001</v>
      </c>
      <c r="F8" s="76"/>
      <c r="G8" s="76"/>
      <c r="H8" s="76"/>
      <c r="I8" s="76">
        <v>28411.059999999823</v>
      </c>
      <c r="J8" s="79">
        <f t="shared" si="2"/>
        <v>1085424.4099999999</v>
      </c>
      <c r="K8" s="79">
        <f t="shared" si="3"/>
        <v>1000</v>
      </c>
      <c r="L8" s="80">
        <f t="shared" si="4"/>
        <v>1085.4244099999999</v>
      </c>
      <c r="M8" s="81">
        <f t="shared" si="5"/>
        <v>8.5424409999999895E-2</v>
      </c>
      <c r="N8" s="82">
        <f t="shared" ref="N8" si="8">L8/L7-1</f>
        <v>2.6878619839569406E-2</v>
      </c>
      <c r="O8" s="84">
        <f>STDEVP(N$4:N8)*SQRT(12)</f>
        <v>8.5272361210722195E-2</v>
      </c>
    </row>
    <row r="9" spans="2:18" ht="14.25" x14ac:dyDescent="0.4">
      <c r="B9" s="85">
        <v>45836</v>
      </c>
      <c r="C9" s="76"/>
      <c r="D9" s="79">
        <f t="shared" si="0"/>
        <v>0</v>
      </c>
      <c r="E9" s="79">
        <f t="shared" si="1"/>
        <v>1085424.4099999999</v>
      </c>
      <c r="F9" s="76"/>
      <c r="G9" s="76"/>
      <c r="H9" s="76"/>
      <c r="I9" s="76">
        <f>-174083.62+187500</f>
        <v>13416.380000000005</v>
      </c>
      <c r="J9" s="79">
        <f t="shared" si="2"/>
        <v>1098840.79</v>
      </c>
      <c r="K9" s="79">
        <f t="shared" si="3"/>
        <v>1000</v>
      </c>
      <c r="L9" s="80">
        <f t="shared" si="4"/>
        <v>1098.84079</v>
      </c>
      <c r="M9" s="81">
        <f t="shared" si="5"/>
        <v>9.8840789999999901E-2</v>
      </c>
      <c r="N9" s="82">
        <f t="shared" ref="N9:N11" si="9">L9/L8-1</f>
        <v>1.2360492242845522E-2</v>
      </c>
      <c r="O9" s="84">
        <f>STDEVP(N$4:N9)*SQRT(12)</f>
        <v>7.8056066207196115E-2</v>
      </c>
      <c r="Q9" s="83">
        <f>J9-$R$9</f>
        <v>911340.79</v>
      </c>
      <c r="R9" s="83">
        <v>187500</v>
      </c>
    </row>
    <row r="10" spans="2:18" ht="14.25" x14ac:dyDescent="0.4">
      <c r="B10" s="85">
        <v>45866</v>
      </c>
      <c r="C10" s="76">
        <f>1000000/L9</f>
        <v>910.04994454201142</v>
      </c>
      <c r="D10" s="79">
        <f t="shared" si="0"/>
        <v>1000000</v>
      </c>
      <c r="E10" s="79">
        <f t="shared" si="1"/>
        <v>2098840.79</v>
      </c>
      <c r="F10" s="76"/>
      <c r="G10" s="76"/>
      <c r="H10" s="76"/>
      <c r="I10" s="76">
        <v>-20156.180000000051</v>
      </c>
      <c r="J10" s="79">
        <f t="shared" si="2"/>
        <v>2078684.6099999999</v>
      </c>
      <c r="K10" s="79">
        <f t="shared" si="3"/>
        <v>1910.0499445420114</v>
      </c>
      <c r="L10" s="80">
        <f t="shared" si="4"/>
        <v>1088.288092120242</v>
      </c>
      <c r="M10" s="81">
        <f t="shared" si="5"/>
        <v>8.8288092120242023E-2</v>
      </c>
      <c r="N10" s="82">
        <f t="shared" si="9"/>
        <v>-9.6034821202423126E-3</v>
      </c>
      <c r="O10" s="84">
        <f>STDEVP(N$4:N10)*SQRT(12)</f>
        <v>7.8688666623478357E-2</v>
      </c>
      <c r="Q10" s="83">
        <f t="shared" ref="Q10:Q14" si="10">J10-$R$9</f>
        <v>1891184.6099999999</v>
      </c>
    </row>
    <row r="11" spans="2:18" ht="14.25" x14ac:dyDescent="0.4">
      <c r="B11" s="85">
        <v>45897</v>
      </c>
      <c r="C11" s="76"/>
      <c r="D11" s="79">
        <f t="shared" si="0"/>
        <v>0</v>
      </c>
      <c r="E11" s="79">
        <f t="shared" si="1"/>
        <v>2078684.6099999999</v>
      </c>
      <c r="F11" s="76"/>
      <c r="G11" s="76"/>
      <c r="H11" s="76"/>
      <c r="I11" s="76">
        <v>86459.620000000112</v>
      </c>
      <c r="J11" s="79">
        <f t="shared" si="2"/>
        <v>2165144.23</v>
      </c>
      <c r="K11" s="79">
        <f t="shared" si="3"/>
        <v>1910.0499445420114</v>
      </c>
      <c r="L11" s="80">
        <f t="shared" si="4"/>
        <v>1133.5537252242661</v>
      </c>
      <c r="M11" s="81">
        <f t="shared" si="5"/>
        <v>0.13355372522426623</v>
      </c>
      <c r="N11" s="82">
        <f t="shared" si="9"/>
        <v>4.1593428644281172E-2</v>
      </c>
      <c r="O11" s="84">
        <f>STDEVP(N$4:N11)*SQRT(12)</f>
        <v>8.0841960506688029E-2</v>
      </c>
      <c r="Q11" s="83">
        <f t="shared" si="10"/>
        <v>1977644.23</v>
      </c>
    </row>
    <row r="12" spans="2:18" ht="14.25" x14ac:dyDescent="0.4">
      <c r="B12" s="85">
        <v>45928</v>
      </c>
      <c r="E12" s="79">
        <f t="shared" si="1"/>
        <v>2165144.23</v>
      </c>
      <c r="F12" s="76"/>
      <c r="G12" s="76"/>
      <c r="H12" s="76"/>
      <c r="I12" s="76">
        <v>20597.199999999953</v>
      </c>
      <c r="J12" s="79">
        <f t="shared" si="2"/>
        <v>2185741.4299999997</v>
      </c>
      <c r="K12" s="79">
        <f t="shared" si="3"/>
        <v>1910.0499445420114</v>
      </c>
      <c r="L12" s="80">
        <f t="shared" si="4"/>
        <v>1144.3373175899299</v>
      </c>
      <c r="M12" s="81">
        <f t="shared" si="5"/>
        <v>0.14433731758992985</v>
      </c>
      <c r="N12" s="82">
        <f t="shared" ref="N12" si="11">L12/L11-1</f>
        <v>9.5130844932209691E-3</v>
      </c>
      <c r="O12" s="84">
        <f>STDEVP(N$4:N12)*SQRT(12)</f>
        <v>7.6551210563962566E-2</v>
      </c>
      <c r="Q12" s="83">
        <f t="shared" si="10"/>
        <v>1998241.4299999997</v>
      </c>
    </row>
    <row r="13" spans="2:18" ht="14.25" x14ac:dyDescent="0.4">
      <c r="B13" s="85">
        <v>45958</v>
      </c>
      <c r="E13" s="79">
        <f t="shared" si="1"/>
        <v>2185741.4299999997</v>
      </c>
      <c r="F13" s="76"/>
      <c r="G13" s="76"/>
      <c r="H13" s="76"/>
      <c r="I13" s="76">
        <v>-5581.3099999995902</v>
      </c>
      <c r="J13" s="79">
        <f t="shared" si="2"/>
        <v>2180160.12</v>
      </c>
      <c r="K13" s="79">
        <f t="shared" si="3"/>
        <v>1910.0499445420114</v>
      </c>
      <c r="L13" s="80">
        <f t="shared" si="4"/>
        <v>1141.4152421667461</v>
      </c>
      <c r="M13" s="81">
        <f t="shared" si="5"/>
        <v>0.14141524216674606</v>
      </c>
      <c r="N13" s="82">
        <f t="shared" ref="N13" si="12">L13/L12-1</f>
        <v>-2.5535088109666093E-3</v>
      </c>
      <c r="O13" s="84">
        <f>STDEVP(N$4:N13)*SQRT(12)</f>
        <v>7.4964233291792762E-2</v>
      </c>
      <c r="Q13" s="83">
        <f t="shared" si="10"/>
        <v>1992660.12</v>
      </c>
    </row>
    <row r="14" spans="2:18" ht="14.25" x14ac:dyDescent="0.4">
      <c r="B14" s="85">
        <v>45989</v>
      </c>
      <c r="E14" s="79">
        <f t="shared" si="1"/>
        <v>2180160.12</v>
      </c>
      <c r="I14" s="76">
        <v>88970.839999999851</v>
      </c>
      <c r="J14" s="79">
        <f t="shared" ref="J14" si="13">E14-F14-G14-H14+I14</f>
        <v>2269130.96</v>
      </c>
      <c r="K14" s="79">
        <f t="shared" ref="K14" si="14">K13+C14</f>
        <v>1910.0499445420114</v>
      </c>
      <c r="L14" s="80">
        <f t="shared" ref="L14" si="15">J14/K14</f>
        <v>1187.9956157607639</v>
      </c>
      <c r="M14" s="81">
        <f t="shared" si="5"/>
        <v>0.18799561576076385</v>
      </c>
      <c r="N14" s="82">
        <f t="shared" ref="N14" si="16">L14/L13-1</f>
        <v>4.0809314501175198E-2</v>
      </c>
      <c r="O14" s="84">
        <f>STDEVP(N$4:N14)*SQRT(12)</f>
        <v>7.6458811187333178E-2</v>
      </c>
      <c r="Q14" s="83">
        <f t="shared" si="10"/>
        <v>2081630.96</v>
      </c>
    </row>
    <row r="15" spans="2:18" ht="14.25" x14ac:dyDescent="0.4">
      <c r="B15" s="85">
        <v>46019</v>
      </c>
      <c r="E15" s="79">
        <f t="shared" ref="E15" si="17">J14+D15</f>
        <v>2269130.96</v>
      </c>
      <c r="I15" s="76">
        <v>15498.100000000093</v>
      </c>
      <c r="J15" s="79">
        <f t="shared" ref="J15" si="18">E15-F15-G15-H15+I15</f>
        <v>2284629.06</v>
      </c>
      <c r="K15" s="79">
        <f t="shared" ref="K15" si="19">K14+C15</f>
        <v>1910.0499445420114</v>
      </c>
      <c r="L15" s="80">
        <f t="shared" ref="L15" si="20">J15/K15</f>
        <v>1196.1095920702767</v>
      </c>
      <c r="M15" s="81">
        <f t="shared" ref="M15" si="21">L15/$L$3-1</f>
        <v>0.19610959207027667</v>
      </c>
      <c r="N15" s="82">
        <f t="shared" ref="N15" si="22">L15/L14-1</f>
        <v>6.829971594059181E-3</v>
      </c>
      <c r="O15" s="84">
        <f>STDEVP(N$4:N15)*SQRT(12)</f>
        <v>7.3731058204967573E-2</v>
      </c>
      <c r="Q15" s="83">
        <f t="shared" ref="Q15:Q16" si="23">J15-$R$9</f>
        <v>2097129.06</v>
      </c>
    </row>
    <row r="16" spans="2:18" ht="14.25" x14ac:dyDescent="0.4">
      <c r="B16" s="85">
        <v>46050</v>
      </c>
      <c r="E16" s="79">
        <f t="shared" ref="E16" si="24">J15+D16</f>
        <v>2284629.06</v>
      </c>
      <c r="I16" s="76">
        <v>-89660.25</v>
      </c>
      <c r="J16" s="79">
        <f t="shared" ref="J16" si="25">E16-F16-G16-H16+I16</f>
        <v>2194968.81</v>
      </c>
      <c r="K16" s="79">
        <f t="shared" ref="K16" si="26">K15+C16</f>
        <v>1910.0499445420114</v>
      </c>
      <c r="L16" s="80">
        <f t="shared" ref="L16" si="27">J16/K16</f>
        <v>1149.168280270444</v>
      </c>
      <c r="M16" s="81">
        <f t="shared" ref="M16" si="28">L16/$L$3-1</f>
        <v>0.14916828027044393</v>
      </c>
      <c r="N16" s="82">
        <f t="shared" ref="N16" si="29">L16/L15-1</f>
        <v>-3.9244992357752695E-2</v>
      </c>
      <c r="O16" s="84">
        <f>STDEVP(N$4:N16)*SQRT(12)</f>
        <v>8.6886123886953381E-2</v>
      </c>
      <c r="Q16" s="83">
        <f t="shared" si="23"/>
        <v>2007468.81</v>
      </c>
    </row>
    <row r="17" spans="2:17" ht="14.25" x14ac:dyDescent="0.4">
      <c r="B17" s="85">
        <v>46081</v>
      </c>
      <c r="E17" s="79">
        <f t="shared" ref="E17" si="30">J16+D17</f>
        <v>2194968.81</v>
      </c>
      <c r="I17" s="79">
        <f>Blotter!C$4-SUM(NAV!I$4:I16)</f>
        <v>-711257.24370799935</v>
      </c>
      <c r="J17" s="79">
        <f t="shared" ref="J17" si="31">E17-F17-G17-H17+I17</f>
        <v>1483711.5662920007</v>
      </c>
      <c r="K17" s="79">
        <f t="shared" ref="K17" si="32">K16+C17</f>
        <v>1910.0499445420114</v>
      </c>
      <c r="L17" s="80">
        <f t="shared" ref="L17" si="33">J17/K17</f>
        <v>776.7920260576027</v>
      </c>
      <c r="M17" s="81">
        <f t="shared" ref="M17" si="34">L17/$L$3-1</f>
        <v>-0.22320797394239733</v>
      </c>
      <c r="N17" s="82">
        <f t="shared" ref="N17" si="35">L17/L16-1</f>
        <v>-0.32403979522059789</v>
      </c>
      <c r="O17" s="84">
        <f>STDEVP(N$4:N17)*SQRT(12)</f>
        <v>0.31046392349748581</v>
      </c>
      <c r="Q17" s="83">
        <f t="shared" ref="Q17" si="36">J17-$R$9</f>
        <v>1296211.5662920007</v>
      </c>
    </row>
    <row r="18" spans="2:17" x14ac:dyDescent="0.4">
      <c r="B18" s="85">
        <v>46109</v>
      </c>
    </row>
    <row r="19" spans="2:17" x14ac:dyDescent="0.4">
      <c r="B19" s="85">
        <v>46140</v>
      </c>
    </row>
    <row r="20" spans="2:17" x14ac:dyDescent="0.4">
      <c r="B20" s="85">
        <v>46170</v>
      </c>
    </row>
    <row r="21" spans="2:17" x14ac:dyDescent="0.4">
      <c r="B21" s="85">
        <v>46201</v>
      </c>
    </row>
    <row r="22" spans="2:17" x14ac:dyDescent="0.4">
      <c r="B22" s="85">
        <v>46231</v>
      </c>
    </row>
    <row r="23" spans="2:17" x14ac:dyDescent="0.4">
      <c r="B23" s="85">
        <v>46262</v>
      </c>
    </row>
    <row r="24" spans="2:17" x14ac:dyDescent="0.4">
      <c r="B24" s="86">
        <v>46293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</sheetData>
  <pageMargins left="0.25" right="0.25" top="0.75" bottom="0.75" header="0.3" footer="0.3"/>
  <pageSetup paperSize="9"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5EF5-3196-4E3B-836F-F2C66D0D0F9E}">
  <sheetPr codeName="Sheet2"/>
  <dimension ref="B1:AB60"/>
  <sheetViews>
    <sheetView showGridLines="0" topLeftCell="A21" zoomScale="90" zoomScaleNormal="90" workbookViewId="0">
      <selection activeCell="O59" sqref="O59"/>
    </sheetView>
  </sheetViews>
  <sheetFormatPr defaultRowHeight="13.15" x14ac:dyDescent="0.4"/>
  <cols>
    <col min="1" max="1" width="3.06640625" style="1" customWidth="1"/>
    <col min="2" max="2" width="8.73046875" style="1" bestFit="1" customWidth="1"/>
    <col min="3" max="3" width="5.06640625" style="1" bestFit="1" customWidth="1"/>
    <col min="4" max="4" width="7.33203125" style="1" bestFit="1" customWidth="1"/>
    <col min="5" max="5" width="6.3984375" style="1" bestFit="1" customWidth="1"/>
    <col min="6" max="6" width="10.73046875" style="1" bestFit="1" customWidth="1"/>
    <col min="7" max="7" width="10.33203125" style="1" bestFit="1" customWidth="1"/>
    <col min="8" max="8" width="8.73046875" style="1" bestFit="1" customWidth="1"/>
    <col min="9" max="10" width="8.19921875" style="1" customWidth="1"/>
    <col min="11" max="11" width="9.06640625" style="1" bestFit="1" customWidth="1"/>
    <col min="12" max="12" width="7.3984375" style="1" bestFit="1" customWidth="1"/>
    <col min="13" max="13" width="12.3984375" style="1" bestFit="1" customWidth="1"/>
    <col min="14" max="14" width="8.19921875" style="1" bestFit="1" customWidth="1"/>
    <col min="15" max="15" width="12.265625" style="1" bestFit="1" customWidth="1"/>
    <col min="16" max="16" width="8.1328125" style="1" bestFit="1" customWidth="1"/>
    <col min="17" max="17" width="6.86328125" style="1" bestFit="1" customWidth="1"/>
    <col min="18" max="18" width="9.796875" style="1" bestFit="1" customWidth="1"/>
    <col min="19" max="19" width="5.796875" style="1" customWidth="1"/>
    <col min="20" max="20" width="8.73046875" style="1" bestFit="1" customWidth="1"/>
    <col min="21" max="21" width="5.19921875" style="1" bestFit="1" customWidth="1"/>
    <col min="22" max="22" width="37.46484375" style="1" bestFit="1" customWidth="1"/>
    <col min="23" max="23" width="104.59765625" style="1" bestFit="1" customWidth="1"/>
    <col min="24" max="24" width="78" style="1" bestFit="1" customWidth="1"/>
    <col min="25" max="25" width="9.06640625" style="1"/>
    <col min="26" max="26" width="15.19921875" style="1" bestFit="1" customWidth="1"/>
    <col min="27" max="27" width="104.59765625" style="1" bestFit="1" customWidth="1"/>
    <col min="28" max="28" width="41.6640625" style="1" bestFit="1" customWidth="1"/>
    <col min="29" max="16384" width="9.06640625" style="1"/>
  </cols>
  <sheetData>
    <row r="1" spans="2:28" x14ac:dyDescent="0.4">
      <c r="D1" s="60"/>
      <c r="E1" s="60"/>
    </row>
    <row r="2" spans="2:28" x14ac:dyDescent="0.4">
      <c r="B2" s="45" t="s">
        <v>8</v>
      </c>
      <c r="C2" s="4" t="s">
        <v>0</v>
      </c>
      <c r="D2" s="7" t="s">
        <v>55</v>
      </c>
      <c r="E2" s="7" t="s">
        <v>3</v>
      </c>
      <c r="F2" s="7" t="s">
        <v>54</v>
      </c>
      <c r="G2" s="8" t="s">
        <v>7</v>
      </c>
      <c r="H2" s="8" t="s">
        <v>373</v>
      </c>
      <c r="I2" s="8" t="s">
        <v>377</v>
      </c>
      <c r="J2" s="8" t="s">
        <v>374</v>
      </c>
      <c r="K2" s="8" t="s">
        <v>378</v>
      </c>
      <c r="L2" s="8" t="s">
        <v>379</v>
      </c>
      <c r="M2" s="4" t="s">
        <v>375</v>
      </c>
      <c r="N2" s="8" t="s">
        <v>377</v>
      </c>
      <c r="O2" s="4" t="s">
        <v>376</v>
      </c>
      <c r="P2" s="4" t="s">
        <v>380</v>
      </c>
      <c r="Q2" s="4" t="s">
        <v>56</v>
      </c>
      <c r="R2" s="4" t="s">
        <v>133</v>
      </c>
      <c r="T2" s="45" t="s">
        <v>8</v>
      </c>
      <c r="U2" s="4" t="s">
        <v>0</v>
      </c>
      <c r="V2" s="45" t="s">
        <v>2</v>
      </c>
      <c r="W2" s="45" t="s">
        <v>225</v>
      </c>
      <c r="X2" s="45" t="s">
        <v>226</v>
      </c>
      <c r="Y2" s="12"/>
      <c r="Z2" s="45" t="s">
        <v>2</v>
      </c>
      <c r="AA2" s="45" t="s">
        <v>225</v>
      </c>
      <c r="AB2" s="45" t="s">
        <v>226</v>
      </c>
    </row>
    <row r="3" spans="2:28" x14ac:dyDescent="0.4">
      <c r="B3" s="46"/>
      <c r="C3" s="5">
        <v>0</v>
      </c>
      <c r="D3" s="13"/>
      <c r="E3" s="13"/>
      <c r="F3" s="13"/>
      <c r="G3" s="14"/>
      <c r="H3" s="15">
        <v>0</v>
      </c>
      <c r="I3" s="15">
        <v>1000000</v>
      </c>
      <c r="J3" s="16">
        <f>H3+I3</f>
        <v>1000000</v>
      </c>
      <c r="K3" s="16"/>
      <c r="L3" s="15"/>
      <c r="M3" s="15">
        <f>H3</f>
        <v>0</v>
      </c>
      <c r="N3" s="15">
        <v>1000000</v>
      </c>
      <c r="O3" s="6">
        <f>M3+N3</f>
        <v>1000000</v>
      </c>
      <c r="P3" s="15"/>
      <c r="R3" s="3">
        <v>0</v>
      </c>
      <c r="T3" s="46"/>
      <c r="U3" s="5"/>
    </row>
    <row r="4" spans="2:28" x14ac:dyDescent="0.4">
      <c r="B4" s="47">
        <v>45026</v>
      </c>
      <c r="C4" s="5">
        <f>C3+1</f>
        <v>1</v>
      </c>
      <c r="D4" s="6">
        <f t="array" ref="D4">SUM((Blotter!C$19:C$1013=C4)*(Blotter!N$19:N$1013)*1)</f>
        <v>6275.4921000000013</v>
      </c>
      <c r="E4" s="6">
        <f t="array" ref="E4">SUM((Blotter!B$19:C$1013=C4)*(Blotter!R$19:R$1013)*1)</f>
        <v>9900</v>
      </c>
      <c r="F4" s="30">
        <f t="shared" ref="F4:F6" si="0">IF(ISNUMBER(D4/E4),D4/E4,0)</f>
        <v>0.63388809090909104</v>
      </c>
      <c r="G4" s="43" t="str">
        <f t="array" ref="G4">IF(SUM((Blotter!C$19:C$1013=PLB!C4)*(Blotter!M$19:M$1013))=0,"C","O")</f>
        <v>C</v>
      </c>
      <c r="H4" s="16">
        <f>J3+D4</f>
        <v>1006275.4921</v>
      </c>
      <c r="I4" s="16"/>
      <c r="J4" s="16">
        <f>H4+I4</f>
        <v>1006275.4921</v>
      </c>
      <c r="K4" s="3">
        <f>H4/J3-1</f>
        <v>6.2754921000001129E-3</v>
      </c>
      <c r="L4" s="3">
        <f>(1+K4)*(1+L3)-1</f>
        <v>6.2754921000001129E-3</v>
      </c>
      <c r="M4" s="6">
        <f>O3-IF(G4="O",O3*1%,-D4)</f>
        <v>1006275.4921</v>
      </c>
      <c r="N4" s="16">
        <f>I4</f>
        <v>0</v>
      </c>
      <c r="O4" s="6">
        <f>M4+N4</f>
        <v>1006275.4921</v>
      </c>
      <c r="P4" s="3">
        <f>M4/O3-1</f>
        <v>6.2754921000001129E-3</v>
      </c>
      <c r="Q4" s="3">
        <f>(1+P4)*(1+Q3)-1</f>
        <v>6.2754921000001129E-3</v>
      </c>
      <c r="R4" s="3">
        <f>(1-1%)*(1+R3)-1</f>
        <v>-1.0000000000000009E-2</v>
      </c>
      <c r="T4" s="47">
        <f>B4</f>
        <v>45026</v>
      </c>
      <c r="U4" s="5">
        <f>C4</f>
        <v>1</v>
      </c>
      <c r="V4" s="1" t="s">
        <v>224</v>
      </c>
      <c r="W4" s="1" t="s">
        <v>204</v>
      </c>
    </row>
    <row r="5" spans="2:28" x14ac:dyDescent="0.4">
      <c r="B5" s="47">
        <f>B4+7</f>
        <v>45033</v>
      </c>
      <c r="C5" s="5">
        <f>C4+1</f>
        <v>2</v>
      </c>
      <c r="D5" s="6">
        <f t="array" ref="D5">SUM((Blotter!C$19:C$1013=C5)*(Blotter!N$19:N$1013)*1)</f>
        <v>4505.5999999998494</v>
      </c>
      <c r="E5" s="6">
        <f t="array" ref="E5">SUM((Blotter!B$19:C$1013=C5)*(Blotter!R$19:R$1013)*1)</f>
        <v>9000</v>
      </c>
      <c r="F5" s="30">
        <f t="shared" si="0"/>
        <v>0.50062222222220554</v>
      </c>
      <c r="G5" s="43" t="str">
        <f t="array" ref="G5">IF(SUM((Blotter!C$19:C$1013=PLB!C5)*(Blotter!M$19:M$1013))=0,"C","O")</f>
        <v>C</v>
      </c>
      <c r="H5" s="16">
        <f t="shared" ref="H5:H39" si="1">J4+D5</f>
        <v>1010781.0920999999</v>
      </c>
      <c r="I5" s="16"/>
      <c r="J5" s="16">
        <f t="shared" ref="J5:J39" si="2">H5+I5</f>
        <v>1010781.0920999999</v>
      </c>
      <c r="K5" s="3">
        <f t="shared" ref="K5:K39" si="3">H5/J4-1</f>
        <v>4.4775014748665853E-3</v>
      </c>
      <c r="L5" s="3">
        <f>(1+K5)*(1+L4)-1</f>
        <v>1.07810921E-2</v>
      </c>
      <c r="M5" s="6">
        <f t="shared" ref="M5:M55" si="4">O4-IF(G5="O",O4*1%,-D5)</f>
        <v>1010781.0920999999</v>
      </c>
      <c r="N5" s="16">
        <f t="shared" ref="N5:N55" si="5">I5</f>
        <v>0</v>
      </c>
      <c r="O5" s="6">
        <f t="shared" ref="O5:O55" si="6">M5+N5</f>
        <v>1010781.0920999999</v>
      </c>
      <c r="P5" s="3">
        <f t="shared" ref="P5:P55" si="7">M5/O4-1</f>
        <v>4.4775014748665853E-3</v>
      </c>
      <c r="Q5" s="3">
        <f t="shared" ref="Q5:Q55" si="8">(1+P5)*(1+Q4)-1</f>
        <v>1.07810921E-2</v>
      </c>
      <c r="R5" s="3">
        <f t="shared" ref="R5:R59" si="9">(1-1%)*(1+R4)-1</f>
        <v>-1.9900000000000029E-2</v>
      </c>
      <c r="T5" s="47">
        <f t="shared" ref="T5:T55" si="10">B5</f>
        <v>45033</v>
      </c>
      <c r="U5" s="5">
        <f t="shared" ref="U5:U55" si="11">C5</f>
        <v>2</v>
      </c>
      <c r="V5" s="1" t="s">
        <v>205</v>
      </c>
      <c r="W5" s="1" t="s">
        <v>206</v>
      </c>
      <c r="X5" s="1" t="s">
        <v>207</v>
      </c>
    </row>
    <row r="6" spans="2:28" x14ac:dyDescent="0.4">
      <c r="B6" s="47">
        <f>B5+7</f>
        <v>45040</v>
      </c>
      <c r="C6" s="5">
        <f t="shared" ref="C6:C7" si="12">C5+1</f>
        <v>3</v>
      </c>
      <c r="D6" s="6">
        <f t="array" ref="D6">SUM((Blotter!C$19:C$1013=C6)*(Blotter!N$19:N$1013)*1)</f>
        <v>-1753.5600000000049</v>
      </c>
      <c r="E6" s="6">
        <f t="array" ref="E6">SUM((Blotter!B$19:C$1013=C6)*(Blotter!R$19:R$1013)*1)</f>
        <v>8400</v>
      </c>
      <c r="F6" s="30">
        <f t="shared" si="0"/>
        <v>-0.20875714285714345</v>
      </c>
      <c r="G6" s="43" t="str">
        <f t="array" ref="G6">IF(SUM((Blotter!C$19:C$1013=PLB!C6)*(Blotter!M$19:M$1013))=0,"C","O")</f>
        <v>C</v>
      </c>
      <c r="H6" s="16">
        <f t="shared" si="1"/>
        <v>1009027.5320999998</v>
      </c>
      <c r="I6" s="16"/>
      <c r="J6" s="16">
        <f t="shared" si="2"/>
        <v>1009027.5320999998</v>
      </c>
      <c r="K6" s="3">
        <f t="shared" si="3"/>
        <v>-1.7348563538687189E-3</v>
      </c>
      <c r="L6" s="3">
        <f t="shared" ref="L6:L39" si="13">(1+K6)*(1+L5)-1</f>
        <v>9.0275320999999575E-3</v>
      </c>
      <c r="M6" s="6">
        <f t="shared" si="4"/>
        <v>1009027.5320999998</v>
      </c>
      <c r="N6" s="16">
        <f t="shared" si="5"/>
        <v>0</v>
      </c>
      <c r="O6" s="6">
        <f t="shared" si="6"/>
        <v>1009027.5320999998</v>
      </c>
      <c r="P6" s="3">
        <f t="shared" si="7"/>
        <v>-1.7348563538687189E-3</v>
      </c>
      <c r="Q6" s="3">
        <f t="shared" si="8"/>
        <v>9.0275320999999575E-3</v>
      </c>
      <c r="R6" s="3">
        <f t="shared" si="9"/>
        <v>-2.9701000000000088E-2</v>
      </c>
      <c r="T6" s="47">
        <f t="shared" si="10"/>
        <v>45040</v>
      </c>
      <c r="U6" s="5">
        <f t="shared" si="11"/>
        <v>3</v>
      </c>
      <c r="V6" s="1" t="s">
        <v>208</v>
      </c>
      <c r="W6" s="56" t="s">
        <v>209</v>
      </c>
      <c r="X6" s="1" t="s">
        <v>223</v>
      </c>
    </row>
    <row r="7" spans="2:28" x14ac:dyDescent="0.4">
      <c r="B7" s="47">
        <f>B6+7</f>
        <v>45047</v>
      </c>
      <c r="C7" s="5">
        <f t="shared" si="12"/>
        <v>4</v>
      </c>
      <c r="D7" s="6">
        <f t="array" ref="D7">SUM((Blotter!C$19:C$1013=C7)*(Blotter!N$19:N$1013)*1)</f>
        <v>0</v>
      </c>
      <c r="E7" s="6">
        <f t="array" ref="E7">SUM((Blotter!B$19:C$1013=C7)*(Blotter!R$19:R$1013)*1)</f>
        <v>0</v>
      </c>
      <c r="F7" s="30">
        <f t="shared" ref="F7:F12" si="14">IF(ISNUMBER(D7/E7),D7/E7,0)</f>
        <v>0</v>
      </c>
      <c r="G7" s="43" t="str">
        <f t="array" ref="G7">IF(SUM((Blotter!C$19:C$1013=PLB!C7)*(Blotter!M$19:M$1013))=0,"C","O")</f>
        <v>C</v>
      </c>
      <c r="H7" s="16">
        <f t="shared" si="1"/>
        <v>1009027.5320999998</v>
      </c>
      <c r="I7" s="16"/>
      <c r="J7" s="16">
        <f t="shared" si="2"/>
        <v>1009027.5320999998</v>
      </c>
      <c r="K7" s="3">
        <f t="shared" si="3"/>
        <v>0</v>
      </c>
      <c r="L7" s="3">
        <f t="shared" si="13"/>
        <v>9.0275320999999575E-3</v>
      </c>
      <c r="M7" s="6">
        <f t="shared" si="4"/>
        <v>1009027.5320999998</v>
      </c>
      <c r="N7" s="16">
        <f t="shared" si="5"/>
        <v>0</v>
      </c>
      <c r="O7" s="6">
        <f t="shared" si="6"/>
        <v>1009027.5320999998</v>
      </c>
      <c r="P7" s="3">
        <f t="shared" si="7"/>
        <v>0</v>
      </c>
      <c r="Q7" s="3">
        <f t="shared" si="8"/>
        <v>9.0275320999999575E-3</v>
      </c>
      <c r="R7" s="3">
        <f t="shared" si="9"/>
        <v>-3.9403990000000055E-2</v>
      </c>
      <c r="T7" s="47">
        <f t="shared" si="10"/>
        <v>45047</v>
      </c>
      <c r="U7" s="5">
        <f t="shared" si="11"/>
        <v>4</v>
      </c>
    </row>
    <row r="8" spans="2:28" x14ac:dyDescent="0.4">
      <c r="B8" s="47">
        <f t="shared" ref="B8:B49" si="15">B7+7</f>
        <v>45054</v>
      </c>
      <c r="C8" s="5">
        <f t="shared" ref="C8:C49" si="16">C7+1</f>
        <v>5</v>
      </c>
      <c r="D8" s="6">
        <f t="array" ref="D8">SUM((Blotter!C$19:C$1013=C8)*(Blotter!N$19:N$1013)*1)</f>
        <v>11592.76</v>
      </c>
      <c r="E8" s="6">
        <f t="array" ref="E8">SUM((Blotter!B$19:C$1013=C8)*(Blotter!R$19:R$1013)*1)</f>
        <v>9100</v>
      </c>
      <c r="F8" s="30">
        <f t="shared" si="14"/>
        <v>1.2739296703296703</v>
      </c>
      <c r="G8" s="43" t="str">
        <f t="array" ref="G8">IF(SUM((Blotter!C$19:C$1013=PLB!C8)*(Blotter!M$19:M$1013))=0,"C","O")</f>
        <v>C</v>
      </c>
      <c r="H8" s="16">
        <f t="shared" si="1"/>
        <v>1020620.2920999998</v>
      </c>
      <c r="I8" s="16"/>
      <c r="J8" s="16">
        <f t="shared" si="2"/>
        <v>1020620.2920999998</v>
      </c>
      <c r="K8" s="3">
        <f t="shared" si="3"/>
        <v>1.1489042301822128E-2</v>
      </c>
      <c r="L8" s="3">
        <f t="shared" si="13"/>
        <v>2.0620292100000048E-2</v>
      </c>
      <c r="M8" s="6">
        <f t="shared" si="4"/>
        <v>1020620.2920999998</v>
      </c>
      <c r="N8" s="16">
        <f t="shared" si="5"/>
        <v>0</v>
      </c>
      <c r="O8" s="6">
        <f t="shared" si="6"/>
        <v>1020620.2920999998</v>
      </c>
      <c r="P8" s="3">
        <f t="shared" si="7"/>
        <v>1.1489042301822128E-2</v>
      </c>
      <c r="Q8" s="3">
        <f t="shared" si="8"/>
        <v>2.0620292100000048E-2</v>
      </c>
      <c r="R8" s="3">
        <f t="shared" si="9"/>
        <v>-4.9009950100000088E-2</v>
      </c>
      <c r="T8" s="47">
        <f t="shared" si="10"/>
        <v>45054</v>
      </c>
      <c r="U8" s="5">
        <f t="shared" si="11"/>
        <v>5</v>
      </c>
      <c r="V8" s="1" t="s">
        <v>211</v>
      </c>
      <c r="W8" s="56" t="s">
        <v>210</v>
      </c>
      <c r="X8" s="1" t="s">
        <v>216</v>
      </c>
    </row>
    <row r="9" spans="2:28" x14ac:dyDescent="0.4">
      <c r="B9" s="47">
        <f t="shared" si="15"/>
        <v>45061</v>
      </c>
      <c r="C9" s="5">
        <f t="shared" si="16"/>
        <v>6</v>
      </c>
      <c r="D9" s="6">
        <f t="array" ref="D9">SUM((Blotter!C$19:C$1013=C9)*(Blotter!N$19:N$1013)*1)</f>
        <v>-16328.509999997805</v>
      </c>
      <c r="E9" s="6">
        <f t="array" ref="E9">SUM((Blotter!B$19:C$1013=C9)*(Blotter!R$19:R$1013)*1)</f>
        <v>19950</v>
      </c>
      <c r="F9" s="30">
        <f t="shared" si="14"/>
        <v>-0.81847167919788499</v>
      </c>
      <c r="G9" s="43" t="str">
        <f t="array" ref="G9">IF(SUM((Blotter!C$19:C$1013=PLB!C9)*(Blotter!M$19:M$1013))=0,"C","O")</f>
        <v>C</v>
      </c>
      <c r="H9" s="16">
        <f t="shared" si="1"/>
        <v>1004291.782100002</v>
      </c>
      <c r="I9" s="16"/>
      <c r="J9" s="16">
        <f t="shared" si="2"/>
        <v>1004291.782100002</v>
      </c>
      <c r="K9" s="3">
        <f t="shared" si="3"/>
        <v>-1.5998613908019266E-2</v>
      </c>
      <c r="L9" s="3">
        <f t="shared" si="13"/>
        <v>4.2917821000023615E-3</v>
      </c>
      <c r="M9" s="6">
        <f t="shared" si="4"/>
        <v>1004291.782100002</v>
      </c>
      <c r="N9" s="16">
        <f t="shared" si="5"/>
        <v>0</v>
      </c>
      <c r="O9" s="6">
        <f t="shared" si="6"/>
        <v>1004291.782100002</v>
      </c>
      <c r="P9" s="3">
        <f t="shared" si="7"/>
        <v>-1.5998613908019266E-2</v>
      </c>
      <c r="Q9" s="3">
        <f t="shared" si="8"/>
        <v>4.2917821000023615E-3</v>
      </c>
      <c r="R9" s="3">
        <f t="shared" si="9"/>
        <v>-5.8519850599000112E-2</v>
      </c>
      <c r="T9" s="47">
        <f t="shared" si="10"/>
        <v>45061</v>
      </c>
      <c r="U9" s="5">
        <f t="shared" si="11"/>
        <v>6</v>
      </c>
      <c r="V9" s="1" t="s">
        <v>212</v>
      </c>
      <c r="W9" s="56" t="s">
        <v>213</v>
      </c>
      <c r="X9" s="1" t="s">
        <v>214</v>
      </c>
    </row>
    <row r="10" spans="2:28" x14ac:dyDescent="0.4">
      <c r="B10" s="47">
        <f t="shared" si="15"/>
        <v>45068</v>
      </c>
      <c r="C10" s="5">
        <f t="shared" si="16"/>
        <v>7</v>
      </c>
      <c r="D10" s="6">
        <f t="array" ref="D10">SUM((Blotter!C$19:C$1013=C10)*(Blotter!N$19:N$1013)*1)</f>
        <v>0</v>
      </c>
      <c r="E10" s="6">
        <f t="array" ref="E10">SUM((Blotter!B$19:C$1013=C10)*(Blotter!R$19:R$1013)*1)</f>
        <v>0</v>
      </c>
      <c r="F10" s="30">
        <f t="shared" si="14"/>
        <v>0</v>
      </c>
      <c r="G10" s="43" t="str">
        <f t="array" ref="G10">IF(SUM((Blotter!C$19:C$1013=PLB!C10)*(Blotter!M$19:M$1013))=0,"C","O")</f>
        <v>C</v>
      </c>
      <c r="H10" s="16">
        <f t="shared" si="1"/>
        <v>1004291.782100002</v>
      </c>
      <c r="I10" s="16"/>
      <c r="J10" s="16">
        <f t="shared" si="2"/>
        <v>1004291.782100002</v>
      </c>
      <c r="K10" s="3">
        <f t="shared" si="3"/>
        <v>0</v>
      </c>
      <c r="L10" s="3">
        <f t="shared" si="13"/>
        <v>4.2917821000023615E-3</v>
      </c>
      <c r="M10" s="6">
        <f t="shared" si="4"/>
        <v>1004291.782100002</v>
      </c>
      <c r="N10" s="16">
        <f t="shared" si="5"/>
        <v>0</v>
      </c>
      <c r="O10" s="6">
        <f t="shared" si="6"/>
        <v>1004291.782100002</v>
      </c>
      <c r="P10" s="3">
        <f t="shared" si="7"/>
        <v>0</v>
      </c>
      <c r="Q10" s="3">
        <f t="shared" si="8"/>
        <v>4.2917821000023615E-3</v>
      </c>
      <c r="R10" s="3">
        <f t="shared" si="9"/>
        <v>-6.7934652093010084E-2</v>
      </c>
      <c r="T10" s="47">
        <f t="shared" si="10"/>
        <v>45068</v>
      </c>
      <c r="U10" s="5">
        <f t="shared" si="11"/>
        <v>7</v>
      </c>
    </row>
    <row r="11" spans="2:28" x14ac:dyDescent="0.4">
      <c r="B11" s="47">
        <f t="shared" si="15"/>
        <v>45075</v>
      </c>
      <c r="C11" s="5">
        <f t="shared" si="16"/>
        <v>8</v>
      </c>
      <c r="D11" s="6">
        <f t="array" ref="D11">SUM((Blotter!C$19:C$1013=C11)*(Blotter!N$19:N$1013)*1)</f>
        <v>21910.439999999533</v>
      </c>
      <c r="E11" s="6">
        <f t="array" ref="E11">SUM((Blotter!B$19:C$1013=C11)*(Blotter!R$19:R$1013)*1)</f>
        <v>9000</v>
      </c>
      <c r="F11" s="30">
        <f t="shared" si="14"/>
        <v>2.4344933333332817</v>
      </c>
      <c r="G11" s="43" t="str">
        <f t="array" ref="G11">IF(SUM((Blotter!C$19:C$1013=PLB!C11)*(Blotter!M$19:M$1013))=0,"C","O")</f>
        <v>C</v>
      </c>
      <c r="H11" s="16">
        <f t="shared" si="1"/>
        <v>1026202.2221000015</v>
      </c>
      <c r="I11" s="16"/>
      <c r="J11" s="16">
        <f t="shared" si="2"/>
        <v>1026202.2221000015</v>
      </c>
      <c r="K11" s="3">
        <f t="shared" si="3"/>
        <v>2.181680701815969E-2</v>
      </c>
      <c r="L11" s="3">
        <f t="shared" si="13"/>
        <v>2.6202222100001782E-2</v>
      </c>
      <c r="M11" s="6">
        <f t="shared" si="4"/>
        <v>1026202.2221000015</v>
      </c>
      <c r="N11" s="16">
        <f t="shared" si="5"/>
        <v>0</v>
      </c>
      <c r="O11" s="6">
        <f t="shared" si="6"/>
        <v>1026202.2221000015</v>
      </c>
      <c r="P11" s="3">
        <f t="shared" si="7"/>
        <v>2.181680701815969E-2</v>
      </c>
      <c r="Q11" s="3">
        <f t="shared" si="8"/>
        <v>2.6202222100001782E-2</v>
      </c>
      <c r="R11" s="3">
        <f t="shared" si="9"/>
        <v>-7.7255305572080046E-2</v>
      </c>
      <c r="T11" s="47">
        <f t="shared" si="10"/>
        <v>45075</v>
      </c>
      <c r="U11" s="5">
        <f t="shared" si="11"/>
        <v>8</v>
      </c>
      <c r="V11" s="1" t="s">
        <v>215</v>
      </c>
      <c r="W11" s="56" t="s">
        <v>217</v>
      </c>
      <c r="X11" s="1" t="s">
        <v>227</v>
      </c>
    </row>
    <row r="12" spans="2:28" x14ac:dyDescent="0.4">
      <c r="B12" s="47">
        <f t="shared" si="15"/>
        <v>45082</v>
      </c>
      <c r="C12" s="5">
        <f t="shared" si="16"/>
        <v>9</v>
      </c>
      <c r="D12" s="6">
        <f t="array" ref="D12">SUM((Blotter!C$19:C$1013=C12)*(Blotter!N$19:N$1013)*1)</f>
        <v>6501.2680000000009</v>
      </c>
      <c r="E12" s="6">
        <f t="array" ref="E12">SUM((Blotter!B$19:C$1013=C12)*(Blotter!R$19:R$1013)*1)</f>
        <v>9800</v>
      </c>
      <c r="F12" s="30">
        <f t="shared" si="14"/>
        <v>0.66339469387755112</v>
      </c>
      <c r="G12" s="43" t="str">
        <f t="array" ref="G12">IF(SUM((Blotter!C$19:C$1013=PLB!C12)*(Blotter!M$19:M$1013))=0,"C","O")</f>
        <v>C</v>
      </c>
      <c r="H12" s="16">
        <f t="shared" si="1"/>
        <v>1032703.4901000016</v>
      </c>
      <c r="I12" s="16"/>
      <c r="J12" s="16">
        <f t="shared" si="2"/>
        <v>1032703.4901000016</v>
      </c>
      <c r="K12" s="3">
        <f t="shared" si="3"/>
        <v>6.3352698522674E-3</v>
      </c>
      <c r="L12" s="3">
        <f t="shared" si="13"/>
        <v>3.2703490100001842E-2</v>
      </c>
      <c r="M12" s="6">
        <f t="shared" si="4"/>
        <v>1032703.4901000016</v>
      </c>
      <c r="N12" s="16">
        <f t="shared" si="5"/>
        <v>0</v>
      </c>
      <c r="O12" s="6">
        <f t="shared" si="6"/>
        <v>1032703.4901000016</v>
      </c>
      <c r="P12" s="3">
        <f t="shared" si="7"/>
        <v>6.3352698522674E-3</v>
      </c>
      <c r="Q12" s="3">
        <f t="shared" si="8"/>
        <v>3.2703490100001842E-2</v>
      </c>
      <c r="R12" s="3">
        <f t="shared" si="9"/>
        <v>-8.6482752516359285E-2</v>
      </c>
      <c r="T12" s="47">
        <f t="shared" si="10"/>
        <v>45082</v>
      </c>
      <c r="U12" s="5">
        <f t="shared" si="11"/>
        <v>9</v>
      </c>
      <c r="V12" s="1" t="s">
        <v>218</v>
      </c>
      <c r="W12" s="56" t="s">
        <v>222</v>
      </c>
      <c r="X12" s="1" t="s">
        <v>219</v>
      </c>
    </row>
    <row r="13" spans="2:28" x14ac:dyDescent="0.4">
      <c r="B13" s="47">
        <f t="shared" si="15"/>
        <v>45089</v>
      </c>
      <c r="C13" s="5">
        <f t="shared" si="16"/>
        <v>10</v>
      </c>
      <c r="D13" s="6">
        <f t="array" ref="D13">SUM((Blotter!C$19:C$1013=C13)*(Blotter!N$19:N$1013)*1)</f>
        <v>-1375.4985999999999</v>
      </c>
      <c r="E13" s="6">
        <f t="array" ref="E13">SUM((Blotter!B$19:C$1013=C13)*(Blotter!R$19:R$1013)*1)</f>
        <v>3400</v>
      </c>
      <c r="F13" s="30">
        <f t="shared" ref="F13" si="17">IF(ISNUMBER(D13/E13),D13/E13,0)</f>
        <v>-0.40455841176470586</v>
      </c>
      <c r="G13" s="43" t="str">
        <f t="array" ref="G13">IF(SUM((Blotter!C$19:C$1013=PLB!C13)*(Blotter!M$19:M$1013))=0,"C","O")</f>
        <v>C</v>
      </c>
      <c r="H13" s="16">
        <f t="shared" si="1"/>
        <v>1031327.9915000015</v>
      </c>
      <c r="I13" s="16"/>
      <c r="J13" s="16">
        <f t="shared" si="2"/>
        <v>1031327.9915000015</v>
      </c>
      <c r="K13" s="3">
        <f t="shared" si="3"/>
        <v>-1.3319395288059477E-3</v>
      </c>
      <c r="L13" s="3">
        <f t="shared" si="13"/>
        <v>3.1327991500001762E-2</v>
      </c>
      <c r="M13" s="6">
        <f t="shared" si="4"/>
        <v>1031327.9915000015</v>
      </c>
      <c r="N13" s="16">
        <f t="shared" si="5"/>
        <v>0</v>
      </c>
      <c r="O13" s="6">
        <f t="shared" si="6"/>
        <v>1031327.9915000015</v>
      </c>
      <c r="P13" s="3">
        <f t="shared" si="7"/>
        <v>-1.3319395288059477E-3</v>
      </c>
      <c r="Q13" s="3">
        <f t="shared" si="8"/>
        <v>3.1327991500001762E-2</v>
      </c>
      <c r="R13" s="3">
        <f t="shared" si="9"/>
        <v>-9.5617924991195702E-2</v>
      </c>
      <c r="S13" s="60"/>
      <c r="T13" s="47">
        <f t="shared" si="10"/>
        <v>45089</v>
      </c>
      <c r="U13" s="5">
        <f t="shared" si="11"/>
        <v>10</v>
      </c>
      <c r="V13" s="1" t="s">
        <v>220</v>
      </c>
      <c r="W13" s="1" t="s">
        <v>221</v>
      </c>
    </row>
    <row r="14" spans="2:28" x14ac:dyDescent="0.4">
      <c r="B14" s="47">
        <f t="shared" si="15"/>
        <v>45096</v>
      </c>
      <c r="C14" s="5">
        <f t="shared" si="16"/>
        <v>11</v>
      </c>
      <c r="D14" s="6">
        <f t="array" ref="D14">SUM((Blotter!C$19:C$1013=C14)*(Blotter!N$19:N$1013)*1)</f>
        <v>2782.8600000000329</v>
      </c>
      <c r="E14" s="6">
        <f t="array" ref="E14">SUM((Blotter!B$19:C$1013=C14)*(Blotter!R$19:R$1013)*1)</f>
        <v>8400</v>
      </c>
      <c r="F14" s="30">
        <f t="shared" ref="F14" si="18">IF(ISNUMBER(D14/E14),D14/E14,0)</f>
        <v>0.33129285714286105</v>
      </c>
      <c r="G14" s="43" t="str">
        <f t="array" ref="G14">IF(SUM((Blotter!C$19:C$1013=PLB!C14)*(Blotter!M$19:M$1013))=0,"C","O")</f>
        <v>C</v>
      </c>
      <c r="H14" s="16">
        <f t="shared" si="1"/>
        <v>1034110.8515000015</v>
      </c>
      <c r="I14" s="16"/>
      <c r="J14" s="16">
        <f t="shared" si="2"/>
        <v>1034110.8515000015</v>
      </c>
      <c r="K14" s="3">
        <f t="shared" si="3"/>
        <v>2.6983268397016147E-3</v>
      </c>
      <c r="L14" s="3">
        <f t="shared" si="13"/>
        <v>3.4110851500001704E-2</v>
      </c>
      <c r="M14" s="6">
        <f t="shared" si="4"/>
        <v>1034110.8515000015</v>
      </c>
      <c r="N14" s="16">
        <f t="shared" si="5"/>
        <v>0</v>
      </c>
      <c r="O14" s="6">
        <f t="shared" si="6"/>
        <v>1034110.8515000015</v>
      </c>
      <c r="P14" s="3">
        <f t="shared" si="7"/>
        <v>2.6983268397016147E-3</v>
      </c>
      <c r="Q14" s="3">
        <f t="shared" si="8"/>
        <v>3.4110851500001704E-2</v>
      </c>
      <c r="R14" s="3">
        <f t="shared" si="9"/>
        <v>-0.10466174574128373</v>
      </c>
      <c r="T14" s="47">
        <f t="shared" si="10"/>
        <v>45096</v>
      </c>
      <c r="U14" s="5">
        <f t="shared" si="11"/>
        <v>11</v>
      </c>
      <c r="V14" s="1" t="s">
        <v>208</v>
      </c>
      <c r="W14" s="1" t="s">
        <v>230</v>
      </c>
      <c r="X14" s="1" t="s">
        <v>231</v>
      </c>
    </row>
    <row r="15" spans="2:28" x14ac:dyDescent="0.4">
      <c r="B15" s="47">
        <f t="shared" si="15"/>
        <v>45103</v>
      </c>
      <c r="C15" s="5">
        <f t="shared" si="16"/>
        <v>12</v>
      </c>
      <c r="D15" s="6">
        <f t="array" ref="D15">SUM((Blotter!C$19:C$1013=C15)*(Blotter!N$19:N$1013)*1)</f>
        <v>0</v>
      </c>
      <c r="E15" s="6">
        <f t="array" ref="E15">SUM((Blotter!B$19:C$1013=C15)*(Blotter!R$19:R$1013)*1)</f>
        <v>0</v>
      </c>
      <c r="F15" s="30">
        <f t="shared" ref="F15" si="19">IF(ISNUMBER(D15/E15),D15/E15,0)</f>
        <v>0</v>
      </c>
      <c r="G15" s="43" t="str">
        <f t="array" ref="G15">IF(SUM((Blotter!C$19:C$1013=PLB!C15)*(Blotter!M$19:M$1013))=0,"C","O")</f>
        <v>C</v>
      </c>
      <c r="H15" s="16">
        <f t="shared" si="1"/>
        <v>1034110.8515000015</v>
      </c>
      <c r="I15" s="16"/>
      <c r="J15" s="16">
        <f t="shared" si="2"/>
        <v>1034110.8515000015</v>
      </c>
      <c r="K15" s="3">
        <f t="shared" si="3"/>
        <v>0</v>
      </c>
      <c r="L15" s="3">
        <f t="shared" si="13"/>
        <v>3.4110851500001704E-2</v>
      </c>
      <c r="M15" s="6">
        <f t="shared" si="4"/>
        <v>1034110.8515000015</v>
      </c>
      <c r="N15" s="16">
        <f t="shared" si="5"/>
        <v>0</v>
      </c>
      <c r="O15" s="6">
        <f t="shared" si="6"/>
        <v>1034110.8515000015</v>
      </c>
      <c r="P15" s="3">
        <f t="shared" si="7"/>
        <v>0</v>
      </c>
      <c r="Q15" s="3">
        <f t="shared" si="8"/>
        <v>3.4110851500001704E-2</v>
      </c>
      <c r="R15" s="3">
        <f t="shared" si="9"/>
        <v>-0.11361512828387088</v>
      </c>
      <c r="T15" s="47">
        <f t="shared" si="10"/>
        <v>45103</v>
      </c>
      <c r="U15" s="5">
        <f t="shared" si="11"/>
        <v>12</v>
      </c>
    </row>
    <row r="16" spans="2:28" x14ac:dyDescent="0.4">
      <c r="B16" s="47">
        <f t="shared" si="15"/>
        <v>45110</v>
      </c>
      <c r="C16" s="5">
        <f t="shared" si="16"/>
        <v>13</v>
      </c>
      <c r="D16" s="6">
        <f t="array" ref="D16">SUM((Blotter!C$19:C$1013=C16)*(Blotter!N$19:N$1013)*1)</f>
        <v>14904.96</v>
      </c>
      <c r="E16" s="6">
        <f t="array" ref="E16">SUM((Blotter!B$19:C$1013=C16)*(Blotter!R$19:R$1013)*1)</f>
        <v>7800</v>
      </c>
      <c r="F16" s="30">
        <f t="shared" ref="F16" si="20">IF(ISNUMBER(D16/E16),D16/E16,0)</f>
        <v>1.9108923076923077</v>
      </c>
      <c r="G16" s="43" t="str">
        <f t="array" ref="G16">IF(SUM((Blotter!C$19:C$1013=PLB!C16)*(Blotter!M$19:M$1013))=0,"C","O")</f>
        <v>C</v>
      </c>
      <c r="H16" s="16">
        <f t="shared" si="1"/>
        <v>1049015.8115000015</v>
      </c>
      <c r="I16" s="16"/>
      <c r="J16" s="16">
        <f t="shared" si="2"/>
        <v>1049015.8115000015</v>
      </c>
      <c r="K16" s="3">
        <f t="shared" si="3"/>
        <v>1.441330973210464E-2</v>
      </c>
      <c r="L16" s="3">
        <f t="shared" si="13"/>
        <v>4.9015811500001671E-2</v>
      </c>
      <c r="M16" s="6">
        <f t="shared" si="4"/>
        <v>1049015.8115000015</v>
      </c>
      <c r="N16" s="16">
        <f t="shared" si="5"/>
        <v>0</v>
      </c>
      <c r="O16" s="6">
        <f t="shared" si="6"/>
        <v>1049015.8115000015</v>
      </c>
      <c r="P16" s="3">
        <f t="shared" si="7"/>
        <v>1.441330973210464E-2</v>
      </c>
      <c r="Q16" s="3">
        <f t="shared" si="8"/>
        <v>4.9015811500001671E-2</v>
      </c>
      <c r="R16" s="3">
        <f t="shared" si="9"/>
        <v>-0.12247897700103216</v>
      </c>
      <c r="T16" s="47">
        <f t="shared" si="10"/>
        <v>45110</v>
      </c>
      <c r="U16" s="5">
        <f t="shared" si="11"/>
        <v>13</v>
      </c>
      <c r="V16" s="1" t="s">
        <v>246</v>
      </c>
      <c r="W16" s="1" t="s">
        <v>240</v>
      </c>
      <c r="X16" s="1" t="s">
        <v>239</v>
      </c>
    </row>
    <row r="17" spans="2:28" x14ac:dyDescent="0.4">
      <c r="B17" s="47">
        <f t="shared" si="15"/>
        <v>45117</v>
      </c>
      <c r="C17" s="5">
        <f t="shared" si="16"/>
        <v>14</v>
      </c>
      <c r="D17" s="6">
        <f t="array" ref="D17">SUM((Blotter!C$19:C$1013=C17)*(Blotter!N$19:N$1013)*1)</f>
        <v>13867.27999999997</v>
      </c>
      <c r="E17" s="6">
        <f t="array" ref="E17">SUM((Blotter!B$19:C$1013=C17)*(Blotter!R$19:R$1013)*1)</f>
        <v>9878.4</v>
      </c>
      <c r="F17" s="30">
        <f t="shared" ref="F17" si="21">IF(ISNUMBER(D17/E17),D17/E17,0)</f>
        <v>1.40379818594104</v>
      </c>
      <c r="G17" s="43" t="str">
        <f t="array" ref="G17">IF(SUM((Blotter!C$19:C$1013=PLB!C17)*(Blotter!M$19:M$1013))=0,"C","O")</f>
        <v>C</v>
      </c>
      <c r="H17" s="16">
        <f t="shared" si="1"/>
        <v>1062883.0915000015</v>
      </c>
      <c r="I17" s="16"/>
      <c r="J17" s="16">
        <f t="shared" si="2"/>
        <v>1062883.0915000015</v>
      </c>
      <c r="K17" s="3">
        <f t="shared" si="3"/>
        <v>1.3219324101674923E-2</v>
      </c>
      <c r="L17" s="3">
        <f t="shared" si="13"/>
        <v>6.288309150000182E-2</v>
      </c>
      <c r="M17" s="6">
        <f t="shared" si="4"/>
        <v>1062883.0915000015</v>
      </c>
      <c r="N17" s="16">
        <f t="shared" si="5"/>
        <v>0</v>
      </c>
      <c r="O17" s="6">
        <f t="shared" si="6"/>
        <v>1062883.0915000015</v>
      </c>
      <c r="P17" s="3">
        <f t="shared" si="7"/>
        <v>1.3219324101674923E-2</v>
      </c>
      <c r="Q17" s="3">
        <f t="shared" si="8"/>
        <v>6.288309150000182E-2</v>
      </c>
      <c r="R17" s="3">
        <f t="shared" si="9"/>
        <v>-0.13125418723102189</v>
      </c>
      <c r="T17" s="47">
        <f t="shared" si="10"/>
        <v>45117</v>
      </c>
      <c r="U17" s="5">
        <f t="shared" si="11"/>
        <v>14</v>
      </c>
      <c r="V17" s="1" t="s">
        <v>254</v>
      </c>
      <c r="W17" s="56" t="s">
        <v>255</v>
      </c>
      <c r="X17" s="1" t="s">
        <v>256</v>
      </c>
    </row>
    <row r="18" spans="2:28" x14ac:dyDescent="0.4">
      <c r="B18" s="47">
        <f t="shared" si="15"/>
        <v>45124</v>
      </c>
      <c r="C18" s="5">
        <f t="shared" si="16"/>
        <v>15</v>
      </c>
      <c r="D18" s="6">
        <f t="array" ref="D18">SUM((Blotter!C$19:C$1013=C18)*(Blotter!N$19:N$1013)*1)</f>
        <v>0</v>
      </c>
      <c r="E18" s="6">
        <f t="array" ref="E18">SUM((Blotter!B$19:C$1013=C18)*(Blotter!R$19:R$1013)*1)</f>
        <v>0</v>
      </c>
      <c r="F18" s="30">
        <f t="shared" ref="F18" si="22">IF(ISNUMBER(D18/E18),D18/E18,0)</f>
        <v>0</v>
      </c>
      <c r="G18" s="43" t="str">
        <f t="array" ref="G18">IF(SUM((Blotter!C$19:C$1013=PLB!C18)*(Blotter!M$19:M$1013))=0,"C","O")</f>
        <v>C</v>
      </c>
      <c r="H18" s="16">
        <f t="shared" si="1"/>
        <v>1062883.0915000015</v>
      </c>
      <c r="I18" s="16"/>
      <c r="J18" s="16">
        <f t="shared" si="2"/>
        <v>1062883.0915000015</v>
      </c>
      <c r="K18" s="3">
        <f t="shared" si="3"/>
        <v>0</v>
      </c>
      <c r="L18" s="3">
        <f t="shared" si="13"/>
        <v>6.288309150000182E-2</v>
      </c>
      <c r="M18" s="6">
        <f t="shared" si="4"/>
        <v>1062883.0915000015</v>
      </c>
      <c r="N18" s="16">
        <f t="shared" si="5"/>
        <v>0</v>
      </c>
      <c r="O18" s="6">
        <f t="shared" si="6"/>
        <v>1062883.0915000015</v>
      </c>
      <c r="P18" s="3">
        <f t="shared" si="7"/>
        <v>0</v>
      </c>
      <c r="Q18" s="3">
        <f t="shared" si="8"/>
        <v>6.288309150000182E-2</v>
      </c>
      <c r="R18" s="3">
        <f t="shared" si="9"/>
        <v>-0.13994164535871167</v>
      </c>
      <c r="T18" s="47">
        <f t="shared" si="10"/>
        <v>45124</v>
      </c>
      <c r="U18" s="5">
        <f t="shared" si="11"/>
        <v>15</v>
      </c>
    </row>
    <row r="19" spans="2:28" ht="13.25" customHeight="1" x14ac:dyDescent="0.4">
      <c r="B19" s="47">
        <f t="shared" si="15"/>
        <v>45131</v>
      </c>
      <c r="C19" s="5">
        <f t="shared" si="16"/>
        <v>16</v>
      </c>
      <c r="D19" s="6">
        <f t="array" ref="D19">SUM((Blotter!C$19:C$1013=C19)*(Blotter!N$19:N$1013)*1)</f>
        <v>301.85999999997017</v>
      </c>
      <c r="E19" s="6">
        <f t="array" ref="E19">SUM((Blotter!B$19:C$1013=C19)*(Blotter!R$19:R$1013)*1)</f>
        <v>9900.0000000000018</v>
      </c>
      <c r="F19" s="30">
        <f t="shared" ref="F19" si="23">IF(ISNUMBER(D19/E19),D19/E19,0)</f>
        <v>3.0490909090906071E-2</v>
      </c>
      <c r="G19" s="43" t="str">
        <f t="array" ref="G19">IF(SUM((Blotter!C$19:C$1013=PLB!C19)*(Blotter!M$19:M$1013))=0,"C","O")</f>
        <v>C</v>
      </c>
      <c r="H19" s="16">
        <f t="shared" si="1"/>
        <v>1063184.9515000014</v>
      </c>
      <c r="I19" s="16"/>
      <c r="J19" s="16">
        <f t="shared" si="2"/>
        <v>1063184.9515000014</v>
      </c>
      <c r="K19" s="3">
        <f t="shared" si="3"/>
        <v>2.840011308993251E-4</v>
      </c>
      <c r="L19" s="3">
        <f t="shared" si="13"/>
        <v>6.3184951500001585E-2</v>
      </c>
      <c r="M19" s="6">
        <f t="shared" si="4"/>
        <v>1063184.9515000014</v>
      </c>
      <c r="N19" s="16">
        <f t="shared" si="5"/>
        <v>0</v>
      </c>
      <c r="O19" s="6">
        <f t="shared" si="6"/>
        <v>1063184.9515000014</v>
      </c>
      <c r="P19" s="3">
        <f t="shared" si="7"/>
        <v>2.840011308993251E-4</v>
      </c>
      <c r="Q19" s="3">
        <f t="shared" si="8"/>
        <v>6.3184951500001585E-2</v>
      </c>
      <c r="R19" s="3">
        <f t="shared" si="9"/>
        <v>-0.14854222890512458</v>
      </c>
      <c r="T19" s="47">
        <f t="shared" si="10"/>
        <v>45131</v>
      </c>
      <c r="U19" s="5">
        <f t="shared" si="11"/>
        <v>16</v>
      </c>
      <c r="V19" s="1" t="s">
        <v>264</v>
      </c>
      <c r="W19" s="66" t="s">
        <v>265</v>
      </c>
      <c r="X19" s="1" t="s">
        <v>266</v>
      </c>
    </row>
    <row r="20" spans="2:28" ht="14.25" x14ac:dyDescent="0.45">
      <c r="B20" s="47">
        <f t="shared" si="15"/>
        <v>45138</v>
      </c>
      <c r="C20" s="5">
        <f t="shared" si="16"/>
        <v>17</v>
      </c>
      <c r="D20" s="6">
        <f t="array" ref="D20">SUM((Blotter!C$19:C$1013=C20)*(Blotter!N$19:N$1013)*1)</f>
        <v>39435.613499999999</v>
      </c>
      <c r="E20" s="6">
        <f t="array" ref="E20">SUM((Blotter!B$19:C$1013=C20)*(Blotter!R$19:R$1013)*1)</f>
        <v>8700</v>
      </c>
      <c r="F20" s="30">
        <f t="shared" ref="F20" si="24">IF(ISNUMBER(D20/E20),D20/E20,0)</f>
        <v>4.5328291379310341</v>
      </c>
      <c r="G20" s="43" t="str">
        <f t="array" ref="G20">IF(SUM((Blotter!C$19:C$1013=PLB!C20)*(Blotter!M$19:M$1013))=0,"C","O")</f>
        <v>C</v>
      </c>
      <c r="H20" s="16">
        <f t="shared" si="1"/>
        <v>1102620.5650000013</v>
      </c>
      <c r="I20" s="16"/>
      <c r="J20" s="16">
        <f t="shared" si="2"/>
        <v>1102620.5650000013</v>
      </c>
      <c r="K20" s="3">
        <f t="shared" si="3"/>
        <v>3.7091959817868059E-2</v>
      </c>
      <c r="L20" s="3">
        <f t="shared" si="13"/>
        <v>0.10262056500000161</v>
      </c>
      <c r="M20" s="6">
        <f t="shared" si="4"/>
        <v>1102620.5650000013</v>
      </c>
      <c r="N20" s="16">
        <f t="shared" si="5"/>
        <v>0</v>
      </c>
      <c r="O20" s="6">
        <f t="shared" si="6"/>
        <v>1102620.5650000013</v>
      </c>
      <c r="P20" s="3">
        <f t="shared" si="7"/>
        <v>3.7091959817868059E-2</v>
      </c>
      <c r="Q20" s="3">
        <f t="shared" si="8"/>
        <v>0.10262056500000161</v>
      </c>
      <c r="R20" s="3">
        <f t="shared" si="9"/>
        <v>-0.15705680661607335</v>
      </c>
      <c r="T20" s="47">
        <f t="shared" si="10"/>
        <v>45138</v>
      </c>
      <c r="U20" s="5">
        <f t="shared" si="11"/>
        <v>17</v>
      </c>
      <c r="V20" s="1" t="s">
        <v>224</v>
      </c>
      <c r="W20" t="s">
        <v>269</v>
      </c>
      <c r="X20" s="1" t="s">
        <v>268</v>
      </c>
    </row>
    <row r="21" spans="2:28" x14ac:dyDescent="0.4">
      <c r="B21" s="47">
        <f t="shared" si="15"/>
        <v>45145</v>
      </c>
      <c r="C21" s="5">
        <f t="shared" si="16"/>
        <v>18</v>
      </c>
      <c r="D21" s="6">
        <f t="array" ref="D21">SUM((Blotter!C$19:C$1013=C21)*(Blotter!N$19:N$1013)*1)</f>
        <v>0</v>
      </c>
      <c r="E21" s="6">
        <f t="array" ref="E21">SUM((Blotter!B$19:C$1013=C21)*(Blotter!R$19:R$1013)*1)</f>
        <v>0</v>
      </c>
      <c r="F21" s="30">
        <f t="shared" ref="F21" si="25">IF(ISNUMBER(D21/E21),D21/E21,0)</f>
        <v>0</v>
      </c>
      <c r="G21" s="43" t="str">
        <f t="array" ref="G21">IF(SUM((Blotter!C$19:C$1013=PLB!C21)*(Blotter!M$19:M$1013))=0,"C","O")</f>
        <v>C</v>
      </c>
      <c r="H21" s="16">
        <f t="shared" si="1"/>
        <v>1102620.5650000013</v>
      </c>
      <c r="I21" s="16"/>
      <c r="J21" s="16">
        <f t="shared" si="2"/>
        <v>1102620.5650000013</v>
      </c>
      <c r="K21" s="3">
        <f t="shared" si="3"/>
        <v>0</v>
      </c>
      <c r="L21" s="3">
        <f t="shared" si="13"/>
        <v>0.10262056500000161</v>
      </c>
      <c r="M21" s="6">
        <f t="shared" si="4"/>
        <v>1102620.5650000013</v>
      </c>
      <c r="N21" s="16">
        <f t="shared" si="5"/>
        <v>0</v>
      </c>
      <c r="O21" s="6">
        <f t="shared" si="6"/>
        <v>1102620.5650000013</v>
      </c>
      <c r="P21" s="3">
        <f t="shared" si="7"/>
        <v>0</v>
      </c>
      <c r="Q21" s="3">
        <f t="shared" si="8"/>
        <v>0.10262056500000161</v>
      </c>
      <c r="R21" s="3">
        <f t="shared" si="9"/>
        <v>-0.16548623854991262</v>
      </c>
      <c r="T21" s="47">
        <f t="shared" si="10"/>
        <v>45145</v>
      </c>
      <c r="U21" s="5">
        <f t="shared" si="11"/>
        <v>18</v>
      </c>
    </row>
    <row r="22" spans="2:28" x14ac:dyDescent="0.4">
      <c r="B22" s="47">
        <f t="shared" si="15"/>
        <v>45152</v>
      </c>
      <c r="C22" s="5">
        <f t="shared" si="16"/>
        <v>19</v>
      </c>
      <c r="D22" s="6">
        <f t="array" ref="D22">SUM((Blotter!C$19:C$1013=C22)*(Blotter!N$19:N$1013)*1)</f>
        <v>0</v>
      </c>
      <c r="E22" s="6">
        <f t="array" ref="E22">SUM((Blotter!B$19:C$1013=C22)*(Blotter!R$19:R$1013)*1)</f>
        <v>0</v>
      </c>
      <c r="F22" s="30">
        <f t="shared" ref="F22" si="26">IF(ISNUMBER(D22/E22),D22/E22,0)</f>
        <v>0</v>
      </c>
      <c r="G22" s="43" t="str">
        <f t="array" ref="G22">IF(SUM((Blotter!C$19:C$1013=PLB!C22)*(Blotter!M$19:M$1013))=0,"C","O")</f>
        <v>C</v>
      </c>
      <c r="H22" s="16">
        <f t="shared" si="1"/>
        <v>1102620.5650000013</v>
      </c>
      <c r="I22" s="16"/>
      <c r="J22" s="16">
        <f t="shared" si="2"/>
        <v>1102620.5650000013</v>
      </c>
      <c r="K22" s="3">
        <f t="shared" si="3"/>
        <v>0</v>
      </c>
      <c r="L22" s="3">
        <f t="shared" si="13"/>
        <v>0.10262056500000161</v>
      </c>
      <c r="M22" s="6">
        <f t="shared" si="4"/>
        <v>1102620.5650000013</v>
      </c>
      <c r="N22" s="16">
        <f t="shared" si="5"/>
        <v>0</v>
      </c>
      <c r="O22" s="6">
        <f t="shared" si="6"/>
        <v>1102620.5650000013</v>
      </c>
      <c r="P22" s="3">
        <f t="shared" si="7"/>
        <v>0</v>
      </c>
      <c r="Q22" s="3">
        <f t="shared" si="8"/>
        <v>0.10262056500000161</v>
      </c>
      <c r="R22" s="3">
        <f t="shared" si="9"/>
        <v>-0.17383137616441346</v>
      </c>
      <c r="T22" s="47">
        <f t="shared" si="10"/>
        <v>45152</v>
      </c>
      <c r="U22" s="5">
        <f t="shared" si="11"/>
        <v>19</v>
      </c>
    </row>
    <row r="23" spans="2:28" x14ac:dyDescent="0.4">
      <c r="B23" s="47">
        <f t="shared" si="15"/>
        <v>45159</v>
      </c>
      <c r="C23" s="5">
        <f t="shared" si="16"/>
        <v>20</v>
      </c>
      <c r="D23" s="6">
        <f t="array" ref="D23">SUM((Blotter!C$19:C$1013=C23)*(Blotter!N$19:N$1013)*1)</f>
        <v>0</v>
      </c>
      <c r="E23" s="6">
        <f t="array" ref="E23">SUM((Blotter!B$19:C$1013=C23)*(Blotter!R$19:R$1013)*1)</f>
        <v>0</v>
      </c>
      <c r="F23" s="30">
        <f t="shared" ref="F23" si="27">IF(ISNUMBER(D23/E23),D23/E23,0)</f>
        <v>0</v>
      </c>
      <c r="G23" s="43" t="str">
        <f t="array" ref="G23">IF(SUM((Blotter!C$19:C$1013=PLB!C23)*(Blotter!M$19:M$1013))=0,"C","O")</f>
        <v>C</v>
      </c>
      <c r="H23" s="16">
        <f t="shared" si="1"/>
        <v>1102620.5650000013</v>
      </c>
      <c r="I23" s="16"/>
      <c r="J23" s="16">
        <f t="shared" si="2"/>
        <v>1102620.5650000013</v>
      </c>
      <c r="K23" s="3">
        <f t="shared" si="3"/>
        <v>0</v>
      </c>
      <c r="L23" s="3">
        <f t="shared" si="13"/>
        <v>0.10262056500000161</v>
      </c>
      <c r="M23" s="6">
        <f t="shared" si="4"/>
        <v>1102620.5650000013</v>
      </c>
      <c r="N23" s="16">
        <f t="shared" si="5"/>
        <v>0</v>
      </c>
      <c r="O23" s="6">
        <f t="shared" si="6"/>
        <v>1102620.5650000013</v>
      </c>
      <c r="P23" s="3">
        <f t="shared" si="7"/>
        <v>0</v>
      </c>
      <c r="Q23" s="3">
        <f t="shared" si="8"/>
        <v>0.10262056500000161</v>
      </c>
      <c r="R23" s="3">
        <f t="shared" si="9"/>
        <v>-0.18209306240276935</v>
      </c>
      <c r="T23" s="47">
        <f t="shared" si="10"/>
        <v>45159</v>
      </c>
      <c r="U23" s="5">
        <f t="shared" si="11"/>
        <v>20</v>
      </c>
    </row>
    <row r="24" spans="2:28" x14ac:dyDescent="0.4">
      <c r="B24" s="47">
        <f t="shared" si="15"/>
        <v>45166</v>
      </c>
      <c r="C24" s="5">
        <f t="shared" si="16"/>
        <v>21</v>
      </c>
      <c r="D24" s="6">
        <f t="array" ref="D24">SUM((Blotter!C$19:C$1013=C24)*(Blotter!N$19:N$1013)*1)</f>
        <v>20281.039999999983</v>
      </c>
      <c r="E24" s="6">
        <f t="array" ref="E24">SUM((Blotter!B$19:C$1013=C24)*(Blotter!R$19:R$1013)*1)</f>
        <v>9520</v>
      </c>
      <c r="F24" s="30">
        <f t="shared" ref="F24" si="28">IF(ISNUMBER(D24/E24),D24/E24,0)</f>
        <v>2.1303613445378131</v>
      </c>
      <c r="G24" s="43" t="str">
        <f t="array" ref="G24">IF(SUM((Blotter!C$19:C$1013=PLB!C24)*(Blotter!M$19:M$1013))=0,"C","O")</f>
        <v>C</v>
      </c>
      <c r="H24" s="16">
        <f t="shared" si="1"/>
        <v>1122901.6050000014</v>
      </c>
      <c r="I24" s="16"/>
      <c r="J24" s="16">
        <f t="shared" si="2"/>
        <v>1122901.6050000014</v>
      </c>
      <c r="K24" s="3">
        <f t="shared" si="3"/>
        <v>1.8393489695160969E-2</v>
      </c>
      <c r="L24" s="3">
        <f t="shared" si="13"/>
        <v>0.1229016050000018</v>
      </c>
      <c r="M24" s="6">
        <f t="shared" si="4"/>
        <v>1122901.6050000014</v>
      </c>
      <c r="N24" s="16">
        <f t="shared" si="5"/>
        <v>0</v>
      </c>
      <c r="O24" s="6">
        <f t="shared" si="6"/>
        <v>1122901.6050000014</v>
      </c>
      <c r="P24" s="3">
        <f t="shared" si="7"/>
        <v>1.8393489695160969E-2</v>
      </c>
      <c r="Q24" s="3">
        <f t="shared" si="8"/>
        <v>0.1229016050000018</v>
      </c>
      <c r="R24" s="3">
        <f t="shared" si="9"/>
        <v>-0.19027213177874169</v>
      </c>
      <c r="T24" s="47">
        <f t="shared" si="10"/>
        <v>45166</v>
      </c>
      <c r="U24" s="5">
        <f t="shared" si="11"/>
        <v>21</v>
      </c>
      <c r="V24" s="1" t="s">
        <v>281</v>
      </c>
      <c r="W24" s="69" t="s">
        <v>282</v>
      </c>
      <c r="X24" s="1" t="s">
        <v>283</v>
      </c>
    </row>
    <row r="25" spans="2:28" x14ac:dyDescent="0.4">
      <c r="B25" s="47">
        <f t="shared" si="15"/>
        <v>45173</v>
      </c>
      <c r="C25" s="5">
        <f t="shared" si="16"/>
        <v>22</v>
      </c>
      <c r="D25" s="6">
        <f t="array" ref="D25">SUM((Blotter!C$19:C$1013=C25)*(Blotter!N$19:N$1013)*1)</f>
        <v>0</v>
      </c>
      <c r="E25" s="6">
        <f t="array" ref="E25">SUM((Blotter!B$19:C$1013=C25)*(Blotter!R$19:R$1013)*1)</f>
        <v>0</v>
      </c>
      <c r="F25" s="30">
        <f t="shared" ref="F25:F26" si="29">IF(ISNUMBER(D25/E25),D25/E25,0)</f>
        <v>0</v>
      </c>
      <c r="G25" s="43" t="str">
        <f t="array" ref="G25">IF(SUM((Blotter!C$19:C$1013=PLB!C25)*(Blotter!M$19:M$1013))=0,"C","O")</f>
        <v>C</v>
      </c>
      <c r="H25" s="16">
        <f t="shared" si="1"/>
        <v>1122901.6050000014</v>
      </c>
      <c r="I25" s="16"/>
      <c r="J25" s="16">
        <f t="shared" si="2"/>
        <v>1122901.6050000014</v>
      </c>
      <c r="K25" s="3">
        <f t="shared" si="3"/>
        <v>0</v>
      </c>
      <c r="L25" s="3">
        <f t="shared" si="13"/>
        <v>0.1229016050000018</v>
      </c>
      <c r="M25" s="6">
        <f t="shared" si="4"/>
        <v>1122901.6050000014</v>
      </c>
      <c r="N25" s="16">
        <f t="shared" si="5"/>
        <v>0</v>
      </c>
      <c r="O25" s="6">
        <f t="shared" si="6"/>
        <v>1122901.6050000014</v>
      </c>
      <c r="P25" s="3">
        <f t="shared" si="7"/>
        <v>0</v>
      </c>
      <c r="Q25" s="3">
        <f t="shared" si="8"/>
        <v>0.1229016050000018</v>
      </c>
      <c r="R25" s="3">
        <f t="shared" si="9"/>
        <v>-0.19836941046095424</v>
      </c>
      <c r="T25" s="47">
        <f t="shared" si="10"/>
        <v>45173</v>
      </c>
      <c r="U25" s="5">
        <f t="shared" si="11"/>
        <v>22</v>
      </c>
    </row>
    <row r="26" spans="2:28" x14ac:dyDescent="0.4">
      <c r="B26" s="47">
        <f t="shared" si="15"/>
        <v>45180</v>
      </c>
      <c r="C26" s="5">
        <f t="shared" si="16"/>
        <v>23</v>
      </c>
      <c r="D26" s="6">
        <f t="array" ref="D26">SUM((Blotter!C$19:C$1013=C26)*(Blotter!N$19:N$1013)*1)</f>
        <v>0</v>
      </c>
      <c r="E26" s="6">
        <f t="array" ref="E26">SUM((Blotter!B$19:C$1013=C26)*(Blotter!R$19:R$1013)*1)</f>
        <v>0</v>
      </c>
      <c r="F26" s="30">
        <f t="shared" si="29"/>
        <v>0</v>
      </c>
      <c r="G26" s="43" t="str">
        <f t="array" ref="G26">IF(SUM((Blotter!C$19:C$1013=PLB!C26)*(Blotter!M$19:M$1013))=0,"C","O")</f>
        <v>C</v>
      </c>
      <c r="H26" s="16">
        <f t="shared" si="1"/>
        <v>1122901.6050000014</v>
      </c>
      <c r="I26" s="16"/>
      <c r="J26" s="16">
        <f t="shared" si="2"/>
        <v>1122901.6050000014</v>
      </c>
      <c r="K26" s="3">
        <f t="shared" si="3"/>
        <v>0</v>
      </c>
      <c r="L26" s="3">
        <f t="shared" si="13"/>
        <v>0.1229016050000018</v>
      </c>
      <c r="M26" s="6">
        <f t="shared" si="4"/>
        <v>1122901.6050000014</v>
      </c>
      <c r="N26" s="16">
        <f t="shared" si="5"/>
        <v>0</v>
      </c>
      <c r="O26" s="6">
        <f t="shared" si="6"/>
        <v>1122901.6050000014</v>
      </c>
      <c r="P26" s="3">
        <f t="shared" si="7"/>
        <v>0</v>
      </c>
      <c r="Q26" s="3">
        <f t="shared" si="8"/>
        <v>0.1229016050000018</v>
      </c>
      <c r="R26" s="3">
        <f t="shared" si="9"/>
        <v>-0.20638571635634473</v>
      </c>
      <c r="T26" s="47">
        <f t="shared" si="10"/>
        <v>45180</v>
      </c>
      <c r="U26" s="5">
        <f t="shared" si="11"/>
        <v>23</v>
      </c>
    </row>
    <row r="27" spans="2:28" x14ac:dyDescent="0.4">
      <c r="B27" s="47">
        <f t="shared" si="15"/>
        <v>45187</v>
      </c>
      <c r="C27" s="5">
        <f t="shared" si="16"/>
        <v>24</v>
      </c>
      <c r="D27" s="6">
        <f t="array" ref="D27">SUM((Blotter!C$19:C$1013=C27)*(Blotter!N$19:N$1013)*1)</f>
        <v>-1779.7</v>
      </c>
      <c r="E27" s="6">
        <f t="array" ref="E27">SUM((Blotter!B$19:C$1013=C27)*(Blotter!R$19:R$1013)*1)</f>
        <v>5000</v>
      </c>
      <c r="F27" s="30">
        <f t="shared" ref="F27" si="30">IF(ISNUMBER(D27/E27),D27/E27,0)</f>
        <v>-0.35594000000000003</v>
      </c>
      <c r="G27" s="43" t="str">
        <f t="array" ref="G27">IF(SUM((Blotter!C$19:C$1013=PLB!C27)*(Blotter!M$19:M$1013))=0,"C","O")</f>
        <v>C</v>
      </c>
      <c r="H27" s="16">
        <f t="shared" si="1"/>
        <v>1121121.9050000014</v>
      </c>
      <c r="I27" s="16"/>
      <c r="J27" s="16">
        <f t="shared" si="2"/>
        <v>1121121.9050000014</v>
      </c>
      <c r="K27" s="3">
        <f t="shared" si="3"/>
        <v>-1.5849117964347181E-3</v>
      </c>
      <c r="L27" s="3">
        <f t="shared" si="13"/>
        <v>0.12112190500000186</v>
      </c>
      <c r="M27" s="6">
        <f t="shared" si="4"/>
        <v>1121121.9050000014</v>
      </c>
      <c r="N27" s="16">
        <f t="shared" si="5"/>
        <v>0</v>
      </c>
      <c r="O27" s="6">
        <f t="shared" si="6"/>
        <v>1121121.9050000014</v>
      </c>
      <c r="P27" s="3">
        <f t="shared" si="7"/>
        <v>-1.5849117964347181E-3</v>
      </c>
      <c r="Q27" s="3">
        <f t="shared" si="8"/>
        <v>0.12112190500000186</v>
      </c>
      <c r="R27" s="3">
        <f t="shared" si="9"/>
        <v>-0.21432185919278124</v>
      </c>
      <c r="T27" s="47">
        <f t="shared" si="10"/>
        <v>45187</v>
      </c>
      <c r="U27" s="5">
        <f t="shared" si="11"/>
        <v>24</v>
      </c>
      <c r="V27" s="1" t="s">
        <v>286</v>
      </c>
      <c r="W27" s="1" t="s">
        <v>288</v>
      </c>
      <c r="X27" s="1" t="s">
        <v>287</v>
      </c>
    </row>
    <row r="28" spans="2:28" x14ac:dyDescent="0.4">
      <c r="B28" s="47">
        <f t="shared" si="15"/>
        <v>45194</v>
      </c>
      <c r="C28" s="5">
        <f t="shared" si="16"/>
        <v>25</v>
      </c>
      <c r="D28" s="6">
        <f t="array" ref="D28">SUM((Blotter!C$19:C$1013=C28)*(Blotter!N$19:N$1013)*1)</f>
        <v>0</v>
      </c>
      <c r="E28" s="6">
        <f t="array" ref="E28">SUM((Blotter!B$19:C$1013=C28)*(Blotter!R$19:R$1013)*1)</f>
        <v>0</v>
      </c>
      <c r="F28" s="30">
        <f t="shared" ref="F28:F30" si="31">IF(ISNUMBER(D28/E28),D28/E28,0)</f>
        <v>0</v>
      </c>
      <c r="G28" s="43" t="str">
        <f t="array" ref="G28">IF(SUM((Blotter!C$19:C$1013=PLB!C28)*(Blotter!M$19:M$1013))=0,"C","O")</f>
        <v>C</v>
      </c>
      <c r="H28" s="16">
        <f t="shared" si="1"/>
        <v>1121121.9050000014</v>
      </c>
      <c r="I28" s="73"/>
      <c r="J28" s="16">
        <f t="shared" si="2"/>
        <v>1121121.9050000014</v>
      </c>
      <c r="K28" s="3">
        <f t="shared" si="3"/>
        <v>0</v>
      </c>
      <c r="L28" s="3">
        <f t="shared" si="13"/>
        <v>0.12112190500000186</v>
      </c>
      <c r="M28" s="6">
        <f t="shared" si="4"/>
        <v>1121121.9050000014</v>
      </c>
      <c r="N28" s="16">
        <f t="shared" si="5"/>
        <v>0</v>
      </c>
      <c r="O28" s="6">
        <f t="shared" si="6"/>
        <v>1121121.9050000014</v>
      </c>
      <c r="P28" s="3">
        <f t="shared" si="7"/>
        <v>0</v>
      </c>
      <c r="Q28" s="3">
        <f t="shared" si="8"/>
        <v>0.12112190500000186</v>
      </c>
      <c r="R28" s="3">
        <f t="shared" si="9"/>
        <v>-0.22217864060085346</v>
      </c>
      <c r="T28" s="47">
        <f t="shared" si="10"/>
        <v>45194</v>
      </c>
      <c r="U28" s="5">
        <f t="shared" si="11"/>
        <v>25</v>
      </c>
    </row>
    <row r="29" spans="2:28" x14ac:dyDescent="0.4">
      <c r="B29" s="47">
        <f t="shared" si="15"/>
        <v>45201</v>
      </c>
      <c r="C29" s="5">
        <f t="shared" si="16"/>
        <v>26</v>
      </c>
      <c r="D29" s="6">
        <f t="array" ref="D29">SUM((Blotter!C$19:C$1013=C29)*(Blotter!N$19:N$1013)*1)</f>
        <v>0</v>
      </c>
      <c r="E29" s="6">
        <f t="array" ref="E29">SUM((Blotter!B$19:C$1013=C29)*(Blotter!R$19:R$1013)*1)</f>
        <v>0</v>
      </c>
      <c r="F29" s="30">
        <f t="shared" si="31"/>
        <v>0</v>
      </c>
      <c r="G29" s="43" t="str">
        <f t="array" ref="G29">IF(SUM((Blotter!C$19:C$1013=PLB!C29)*(Blotter!M$19:M$1013))=0,"C","O")</f>
        <v>C</v>
      </c>
      <c r="H29" s="16">
        <f t="shared" si="1"/>
        <v>1121121.9050000014</v>
      </c>
      <c r="I29" s="73">
        <v>1000000</v>
      </c>
      <c r="J29" s="16">
        <f t="shared" si="2"/>
        <v>2121121.9050000012</v>
      </c>
      <c r="K29" s="3">
        <f t="shared" si="3"/>
        <v>0</v>
      </c>
      <c r="L29" s="3">
        <f t="shared" si="13"/>
        <v>0.12112190500000186</v>
      </c>
      <c r="M29" s="6">
        <f t="shared" si="4"/>
        <v>1121121.9050000014</v>
      </c>
      <c r="N29" s="16">
        <f t="shared" si="5"/>
        <v>1000000</v>
      </c>
      <c r="O29" s="6">
        <f t="shared" si="6"/>
        <v>2121121.9050000012</v>
      </c>
      <c r="P29" s="3">
        <f t="shared" si="7"/>
        <v>0</v>
      </c>
      <c r="Q29" s="3">
        <f t="shared" si="8"/>
        <v>0.12112190500000186</v>
      </c>
      <c r="R29" s="3">
        <f t="shared" si="9"/>
        <v>-0.22995685419484491</v>
      </c>
      <c r="T29" s="47">
        <f t="shared" si="10"/>
        <v>45201</v>
      </c>
      <c r="U29" s="5">
        <f t="shared" si="11"/>
        <v>26</v>
      </c>
    </row>
    <row r="30" spans="2:28" x14ac:dyDescent="0.4">
      <c r="B30" s="47">
        <f t="shared" si="15"/>
        <v>45208</v>
      </c>
      <c r="C30" s="5">
        <f t="shared" si="16"/>
        <v>27</v>
      </c>
      <c r="D30" s="6">
        <f t="array" ref="D30">SUM((Blotter!C$19:C$1013=C30)*(Blotter!N$19:N$1013)*1)</f>
        <v>9915.2000000000025</v>
      </c>
      <c r="E30" s="6">
        <f t="array" ref="E30">SUM((Blotter!B$19:C$1013=C30)*(Blotter!R$19:R$1013)*1)</f>
        <v>8000</v>
      </c>
      <c r="F30" s="30">
        <f t="shared" si="31"/>
        <v>1.2394000000000003</v>
      </c>
      <c r="G30" s="43" t="str">
        <f t="array" ref="G30">IF(SUM((Blotter!C$19:C$1013=PLB!C30)*(Blotter!M$19:M$1013))=0,"C","O")</f>
        <v>C</v>
      </c>
      <c r="H30" s="16">
        <f t="shared" si="1"/>
        <v>2131037.1050000014</v>
      </c>
      <c r="I30" s="16"/>
      <c r="J30" s="16">
        <f t="shared" si="2"/>
        <v>2131037.1050000014</v>
      </c>
      <c r="K30" s="3">
        <f t="shared" si="3"/>
        <v>4.6745073805647408E-3</v>
      </c>
      <c r="L30" s="3">
        <f t="shared" si="13"/>
        <v>0.12636259761943713</v>
      </c>
      <c r="M30" s="6">
        <f t="shared" si="4"/>
        <v>2131037.1050000014</v>
      </c>
      <c r="N30" s="16">
        <f t="shared" si="5"/>
        <v>0</v>
      </c>
      <c r="O30" s="6">
        <f t="shared" si="6"/>
        <v>2131037.1050000014</v>
      </c>
      <c r="P30" s="3">
        <f t="shared" si="7"/>
        <v>4.6745073805647408E-3</v>
      </c>
      <c r="Q30" s="3">
        <f t="shared" si="8"/>
        <v>0.12636259761943713</v>
      </c>
      <c r="R30" s="3">
        <f t="shared" si="9"/>
        <v>-0.23765728565289646</v>
      </c>
      <c r="T30" s="47">
        <f t="shared" si="10"/>
        <v>45208</v>
      </c>
      <c r="U30" s="5">
        <f t="shared" si="11"/>
        <v>27</v>
      </c>
      <c r="V30" s="1" t="s">
        <v>306</v>
      </c>
      <c r="W30" s="69" t="s">
        <v>307</v>
      </c>
      <c r="X30" s="1" t="s">
        <v>308</v>
      </c>
    </row>
    <row r="31" spans="2:28" x14ac:dyDescent="0.4">
      <c r="B31" s="47">
        <f t="shared" si="15"/>
        <v>45215</v>
      </c>
      <c r="C31" s="5">
        <f t="shared" si="16"/>
        <v>28</v>
      </c>
      <c r="D31" s="6">
        <f t="array" ref="D31">SUM((Blotter!C$19:C$1013=C31)*(Blotter!N$19:N$1013)*1)</f>
        <v>24861.599999999999</v>
      </c>
      <c r="E31" s="6">
        <f t="array" ref="E31">SUM((Blotter!B$19:C$1013=C31)*(Blotter!R$19:R$1013)*1)</f>
        <v>19562.5</v>
      </c>
      <c r="F31" s="30">
        <f t="shared" ref="F31" si="32">IF(ISNUMBER(D31/E31),D31/E31,0)</f>
        <v>1.2708805111821087</v>
      </c>
      <c r="G31" s="43" t="str">
        <f t="array" ref="G31">IF(SUM((Blotter!C$19:C$1013=PLB!C31)*(Blotter!M$19:M$1013))=0,"C","O")</f>
        <v>C</v>
      </c>
      <c r="H31" s="16">
        <f t="shared" si="1"/>
        <v>2155898.7050000015</v>
      </c>
      <c r="I31" s="16"/>
      <c r="J31" s="16">
        <f t="shared" si="2"/>
        <v>2155898.7050000015</v>
      </c>
      <c r="K31" s="3">
        <f t="shared" si="3"/>
        <v>1.1666432246377978E-2</v>
      </c>
      <c r="L31" s="3">
        <f t="shared" si="13"/>
        <v>0.1395032305494186</v>
      </c>
      <c r="M31" s="6">
        <f t="shared" si="4"/>
        <v>2155898.7050000015</v>
      </c>
      <c r="N31" s="16">
        <f t="shared" si="5"/>
        <v>0</v>
      </c>
      <c r="O31" s="6">
        <f t="shared" si="6"/>
        <v>2155898.7050000015</v>
      </c>
      <c r="P31" s="3">
        <f t="shared" si="7"/>
        <v>1.1666432246377978E-2</v>
      </c>
      <c r="Q31" s="3">
        <f t="shared" si="8"/>
        <v>0.1395032305494186</v>
      </c>
      <c r="R31" s="3">
        <f t="shared" si="9"/>
        <v>-0.24528071279636754</v>
      </c>
      <c r="T31" s="47">
        <f t="shared" si="10"/>
        <v>45215</v>
      </c>
      <c r="U31" s="5">
        <f t="shared" si="11"/>
        <v>28</v>
      </c>
      <c r="V31" s="1" t="s">
        <v>340</v>
      </c>
      <c r="W31" s="1" t="s">
        <v>315</v>
      </c>
      <c r="X31" s="1" t="s">
        <v>316</v>
      </c>
      <c r="Z31" s="1" t="s">
        <v>264</v>
      </c>
      <c r="AA31" s="1" t="s">
        <v>265</v>
      </c>
      <c r="AB31" s="1" t="s">
        <v>317</v>
      </c>
    </row>
    <row r="32" spans="2:28" x14ac:dyDescent="0.4">
      <c r="B32" s="47">
        <f t="shared" si="15"/>
        <v>45222</v>
      </c>
      <c r="C32" s="5">
        <f t="shared" si="16"/>
        <v>29</v>
      </c>
      <c r="D32" s="6">
        <f t="array" ref="D32">SUM((Blotter!C$19:C$1013=C32)*(Blotter!N$19:N$1013)*1)</f>
        <v>0</v>
      </c>
      <c r="E32" s="6">
        <f t="array" ref="E32">SUM((Blotter!B$19:C$1013=C32)*(Blotter!R$19:R$1013)*1)</f>
        <v>0</v>
      </c>
      <c r="F32" s="30">
        <f t="shared" ref="F32:F34" si="33">IF(ISNUMBER(D32/E32),D32/E32,0)</f>
        <v>0</v>
      </c>
      <c r="G32" s="43" t="str">
        <f t="array" ref="G32">IF(SUM((Blotter!C$19:C$1013=PLB!C32)*(Blotter!M$19:M$1013))=0,"C","O")</f>
        <v>C</v>
      </c>
      <c r="H32" s="16">
        <f t="shared" si="1"/>
        <v>2155898.7050000015</v>
      </c>
      <c r="I32" s="73"/>
      <c r="J32" s="16">
        <f t="shared" si="2"/>
        <v>2155898.7050000015</v>
      </c>
      <c r="K32" s="3">
        <f t="shared" si="3"/>
        <v>0</v>
      </c>
      <c r="L32" s="3">
        <f t="shared" si="13"/>
        <v>0.1395032305494186</v>
      </c>
      <c r="M32" s="6">
        <f t="shared" si="4"/>
        <v>2155898.7050000015</v>
      </c>
      <c r="N32" s="16">
        <f t="shared" si="5"/>
        <v>0</v>
      </c>
      <c r="O32" s="6">
        <f t="shared" si="6"/>
        <v>2155898.7050000015</v>
      </c>
      <c r="P32" s="3">
        <f t="shared" si="7"/>
        <v>0</v>
      </c>
      <c r="Q32" s="3">
        <f t="shared" si="8"/>
        <v>0.1395032305494186</v>
      </c>
      <c r="R32" s="3">
        <f t="shared" si="9"/>
        <v>-0.25282790566840385</v>
      </c>
      <c r="T32" s="47">
        <f t="shared" si="10"/>
        <v>45222</v>
      </c>
      <c r="U32" s="5">
        <f t="shared" si="11"/>
        <v>29</v>
      </c>
    </row>
    <row r="33" spans="2:25" x14ac:dyDescent="0.4">
      <c r="B33" s="47">
        <f t="shared" si="15"/>
        <v>45229</v>
      </c>
      <c r="C33" s="5">
        <f t="shared" si="16"/>
        <v>30</v>
      </c>
      <c r="D33" s="6">
        <f t="array" ref="D33">SUM((Blotter!C$19:C$1013=C33)*(Blotter!N$19:N$1013)*1)</f>
        <v>0</v>
      </c>
      <c r="E33" s="6">
        <f t="array" ref="E33">SUM((Blotter!B$19:C$1013=C33)*(Blotter!R$19:R$1013)*1)</f>
        <v>0</v>
      </c>
      <c r="F33" s="30">
        <f t="shared" si="33"/>
        <v>0</v>
      </c>
      <c r="G33" s="43" t="str">
        <f t="array" ref="G33">IF(SUM((Blotter!C$19:C$1013=PLB!C33)*(Blotter!M$19:M$1013))=0,"C","O")</f>
        <v>C</v>
      </c>
      <c r="H33" s="16">
        <f t="shared" si="1"/>
        <v>2155898.7050000015</v>
      </c>
      <c r="I33" s="16"/>
      <c r="J33" s="16">
        <f t="shared" si="2"/>
        <v>2155898.7050000015</v>
      </c>
      <c r="K33" s="3">
        <f t="shared" si="3"/>
        <v>0</v>
      </c>
      <c r="L33" s="3">
        <f t="shared" si="13"/>
        <v>0.1395032305494186</v>
      </c>
      <c r="M33" s="6">
        <f t="shared" si="4"/>
        <v>2155898.7050000015</v>
      </c>
      <c r="N33" s="16">
        <f t="shared" si="5"/>
        <v>0</v>
      </c>
      <c r="O33" s="6">
        <f t="shared" si="6"/>
        <v>2155898.7050000015</v>
      </c>
      <c r="P33" s="3">
        <f t="shared" si="7"/>
        <v>0</v>
      </c>
      <c r="Q33" s="3">
        <f t="shared" si="8"/>
        <v>0.1395032305494186</v>
      </c>
      <c r="R33" s="3">
        <f t="shared" si="9"/>
        <v>-0.26029962661171979</v>
      </c>
      <c r="T33" s="47">
        <f t="shared" si="10"/>
        <v>45229</v>
      </c>
      <c r="U33" s="5">
        <f t="shared" si="11"/>
        <v>30</v>
      </c>
    </row>
    <row r="34" spans="2:25" x14ac:dyDescent="0.4">
      <c r="B34" s="47">
        <f t="shared" si="15"/>
        <v>45236</v>
      </c>
      <c r="C34" s="5">
        <f t="shared" si="16"/>
        <v>31</v>
      </c>
      <c r="D34" s="6">
        <f t="array" ref="D34">SUM((Blotter!C$19:C$1013=C34)*(Blotter!N$19:N$1013)*1)</f>
        <v>-870.93549999999959</v>
      </c>
      <c r="E34" s="6">
        <f t="array" ref="E34">SUM((Blotter!B$19:C$1013=C34)*(Blotter!R$19:R$1013)*1)</f>
        <v>11490.000000000004</v>
      </c>
      <c r="F34" s="30">
        <f t="shared" si="33"/>
        <v>-7.5799434290687501E-2</v>
      </c>
      <c r="G34" s="43" t="str">
        <f t="array" ref="G34">IF(SUM((Blotter!C$19:C$1013=PLB!C34)*(Blotter!M$19:M$1013))=0,"C","O")</f>
        <v>C</v>
      </c>
      <c r="H34" s="16">
        <f t="shared" si="1"/>
        <v>2155027.7695000013</v>
      </c>
      <c r="I34" s="16"/>
      <c r="J34" s="16">
        <f t="shared" si="2"/>
        <v>2155027.7695000013</v>
      </c>
      <c r="K34" s="3">
        <f t="shared" si="3"/>
        <v>-4.0397793179258734E-4</v>
      </c>
      <c r="L34" s="3">
        <f t="shared" si="13"/>
        <v>0.13904289639107037</v>
      </c>
      <c r="M34" s="6">
        <f t="shared" si="4"/>
        <v>2155027.7695000013</v>
      </c>
      <c r="N34" s="16">
        <f t="shared" si="5"/>
        <v>0</v>
      </c>
      <c r="O34" s="6">
        <f t="shared" si="6"/>
        <v>2155027.7695000013</v>
      </c>
      <c r="P34" s="3">
        <f t="shared" si="7"/>
        <v>-4.0397793179258734E-4</v>
      </c>
      <c r="Q34" s="3">
        <f t="shared" si="8"/>
        <v>0.13904289639107037</v>
      </c>
      <c r="R34" s="3">
        <f t="shared" si="9"/>
        <v>-0.26769663034560265</v>
      </c>
      <c r="T34" s="47">
        <f t="shared" si="10"/>
        <v>45236</v>
      </c>
      <c r="U34" s="5">
        <f t="shared" si="11"/>
        <v>31</v>
      </c>
      <c r="V34" s="1" t="s">
        <v>339</v>
      </c>
      <c r="W34" s="1" t="s">
        <v>333</v>
      </c>
      <c r="X34" s="1" t="s">
        <v>332</v>
      </c>
    </row>
    <row r="35" spans="2:25" x14ac:dyDescent="0.4">
      <c r="B35" s="47">
        <f t="shared" si="15"/>
        <v>45243</v>
      </c>
      <c r="C35" s="5">
        <f t="shared" si="16"/>
        <v>32</v>
      </c>
      <c r="D35" s="6">
        <f t="array" ref="D35">SUM((Blotter!C$19:C$1013=C35)*(Blotter!N$19:N$1013)*1)</f>
        <v>-7556.3999999999978</v>
      </c>
      <c r="E35" s="6">
        <f t="array" ref="E35">SUM((Blotter!B$19:C$1013=C35)*(Blotter!R$19:R$1013)*1)</f>
        <v>17600</v>
      </c>
      <c r="F35" s="30">
        <f t="shared" ref="F35" si="34">IF(ISNUMBER(D35/E35),D35/E35,0)</f>
        <v>-0.42934090909090894</v>
      </c>
      <c r="G35" s="43" t="str">
        <f t="array" ref="G35">IF(SUM((Blotter!C$19:C$1013=PLB!C35)*(Blotter!M$19:M$1013))=0,"C","O")</f>
        <v>C</v>
      </c>
      <c r="H35" s="16">
        <f t="shared" si="1"/>
        <v>2147471.3695000014</v>
      </c>
      <c r="I35" s="16"/>
      <c r="J35" s="16">
        <f t="shared" si="2"/>
        <v>2147471.3695000014</v>
      </c>
      <c r="K35" s="3">
        <f t="shared" si="3"/>
        <v>-3.5064049321986701E-3</v>
      </c>
      <c r="L35" s="3">
        <f t="shared" si="13"/>
        <v>0.13504895076117895</v>
      </c>
      <c r="M35" s="6">
        <f t="shared" si="4"/>
        <v>2147471.3695000014</v>
      </c>
      <c r="N35" s="16">
        <f t="shared" si="5"/>
        <v>0</v>
      </c>
      <c r="O35" s="6">
        <f t="shared" si="6"/>
        <v>2147471.3695000014</v>
      </c>
      <c r="P35" s="3">
        <f t="shared" si="7"/>
        <v>-3.5064049321986701E-3</v>
      </c>
      <c r="Q35" s="3">
        <f t="shared" si="8"/>
        <v>0.13504895076117895</v>
      </c>
      <c r="R35" s="3">
        <f t="shared" si="9"/>
        <v>-0.27501966404214662</v>
      </c>
      <c r="T35" s="47">
        <f t="shared" si="10"/>
        <v>45243</v>
      </c>
      <c r="U35" s="5">
        <f t="shared" si="11"/>
        <v>32</v>
      </c>
      <c r="V35" s="1" t="s">
        <v>337</v>
      </c>
      <c r="W35" s="1" t="s">
        <v>345</v>
      </c>
      <c r="X35" s="1" t="s">
        <v>338</v>
      </c>
      <c r="Y35" s="1" t="s">
        <v>344</v>
      </c>
    </row>
    <row r="36" spans="2:25" x14ac:dyDescent="0.4">
      <c r="B36" s="47">
        <f t="shared" si="15"/>
        <v>45250</v>
      </c>
      <c r="C36" s="5">
        <f t="shared" si="16"/>
        <v>33</v>
      </c>
      <c r="D36" s="6">
        <f t="array" ref="D36">SUM((Blotter!C$19:C$1013=C36)*(Blotter!N$19:N$1013)*1)</f>
        <v>0</v>
      </c>
      <c r="E36" s="6">
        <f t="array" ref="E36">SUM((Blotter!B$19:C$1013=C36)*(Blotter!R$19:R$1013)*1)</f>
        <v>0</v>
      </c>
      <c r="F36" s="30">
        <f t="shared" ref="F36:F37" si="35">IF(ISNUMBER(D36/E36),D36/E36,0)</f>
        <v>0</v>
      </c>
      <c r="G36" s="43" t="str">
        <f t="array" ref="G36">IF(SUM((Blotter!C$19:C$1013=PLB!C36)*(Blotter!M$19:M$1013))=0,"C","O")</f>
        <v>C</v>
      </c>
      <c r="H36" s="16">
        <f t="shared" si="1"/>
        <v>2147471.3695000014</v>
      </c>
      <c r="I36" s="16"/>
      <c r="J36" s="16">
        <f t="shared" si="2"/>
        <v>2147471.3695000014</v>
      </c>
      <c r="K36" s="3">
        <f t="shared" si="3"/>
        <v>0</v>
      </c>
      <c r="L36" s="3">
        <f t="shared" si="13"/>
        <v>0.13504895076117895</v>
      </c>
      <c r="M36" s="6">
        <f t="shared" si="4"/>
        <v>2147471.3695000014</v>
      </c>
      <c r="N36" s="16">
        <f t="shared" si="5"/>
        <v>0</v>
      </c>
      <c r="O36" s="6">
        <f t="shared" si="6"/>
        <v>2147471.3695000014</v>
      </c>
      <c r="P36" s="3">
        <f t="shared" si="7"/>
        <v>0</v>
      </c>
      <c r="Q36" s="3">
        <f t="shared" si="8"/>
        <v>0.13504895076117895</v>
      </c>
      <c r="R36" s="3">
        <f t="shared" si="9"/>
        <v>-0.2822694674017252</v>
      </c>
      <c r="T36" s="47">
        <f t="shared" si="10"/>
        <v>45250</v>
      </c>
      <c r="U36" s="5">
        <f t="shared" si="11"/>
        <v>33</v>
      </c>
    </row>
    <row r="37" spans="2:25" x14ac:dyDescent="0.4">
      <c r="B37" s="47">
        <f t="shared" si="15"/>
        <v>45257</v>
      </c>
      <c r="C37" s="5">
        <f t="shared" si="16"/>
        <v>34</v>
      </c>
      <c r="D37" s="6">
        <f t="array" ref="D37">SUM((Blotter!C$19:C$1013=C37)*(Blotter!N$19:N$1013)*1)</f>
        <v>-16467.39999999998</v>
      </c>
      <c r="E37" s="6">
        <f t="array" ref="E37">SUM((Blotter!B$19:C$1013=C37)*(Blotter!R$19:R$1013)*1)</f>
        <v>19598</v>
      </c>
      <c r="F37" s="30">
        <f t="shared" si="35"/>
        <v>-0.84025921012348093</v>
      </c>
      <c r="G37" s="43" t="str">
        <f t="array" ref="G37">IF(SUM((Blotter!C$19:C$1013=PLB!C37)*(Blotter!M$19:M$1013))=0,"C","O")</f>
        <v>C</v>
      </c>
      <c r="H37" s="16">
        <f t="shared" si="1"/>
        <v>2131003.9695000015</v>
      </c>
      <c r="I37" s="16"/>
      <c r="J37" s="16">
        <f t="shared" si="2"/>
        <v>2131003.9695000015</v>
      </c>
      <c r="K37" s="3">
        <f t="shared" si="3"/>
        <v>-7.668274526907437E-3</v>
      </c>
      <c r="L37" s="3">
        <f t="shared" si="13"/>
        <v>0.12634508380526399</v>
      </c>
      <c r="M37" s="6">
        <f t="shared" si="4"/>
        <v>2131003.9695000015</v>
      </c>
      <c r="N37" s="16">
        <f t="shared" si="5"/>
        <v>0</v>
      </c>
      <c r="O37" s="6">
        <f t="shared" si="6"/>
        <v>2131003.9695000015</v>
      </c>
      <c r="P37" s="3">
        <f t="shared" si="7"/>
        <v>-7.668274526907437E-3</v>
      </c>
      <c r="Q37" s="3">
        <f t="shared" si="8"/>
        <v>0.12634508380526399</v>
      </c>
      <c r="R37" s="3">
        <f t="shared" si="9"/>
        <v>-0.28944677272770791</v>
      </c>
      <c r="T37" s="47">
        <f t="shared" si="10"/>
        <v>45257</v>
      </c>
      <c r="U37" s="5">
        <f t="shared" si="11"/>
        <v>34</v>
      </c>
      <c r="V37" s="1" t="s">
        <v>357</v>
      </c>
      <c r="W37" s="1" t="s">
        <v>359</v>
      </c>
      <c r="X37" s="1" t="s">
        <v>358</v>
      </c>
    </row>
    <row r="38" spans="2:25" x14ac:dyDescent="0.4">
      <c r="B38" s="47">
        <f t="shared" si="15"/>
        <v>45264</v>
      </c>
      <c r="C38" s="5">
        <f t="shared" si="16"/>
        <v>35</v>
      </c>
      <c r="D38" s="6">
        <f t="array" ref="D38">SUM((Blotter!C$19:C$1013=C38)*(Blotter!N$19:N$1013)*1)</f>
        <v>-19572.010407999998</v>
      </c>
      <c r="E38" s="6">
        <f t="array" ref="E38">SUM((Blotter!B$19:C$1013=C38)*(Blotter!R$19:R$1013)*1)</f>
        <v>20721.735407999993</v>
      </c>
      <c r="F38" s="30">
        <f t="shared" ref="F38" si="36">IF(ISNUMBER(D38/E38),D38/E38,0)</f>
        <v>-0.94451598877398446</v>
      </c>
      <c r="G38" s="43" t="str">
        <f t="array" ref="G38">IF(SUM((Blotter!C$19:C$1013=PLB!C38)*(Blotter!M$19:M$1013))=0,"C","O")</f>
        <v>C</v>
      </c>
      <c r="H38" s="16">
        <f t="shared" si="1"/>
        <v>2111431.9590920014</v>
      </c>
      <c r="I38" s="16"/>
      <c r="J38" s="16">
        <f t="shared" si="2"/>
        <v>2111431.9590920014</v>
      </c>
      <c r="K38" s="3">
        <f t="shared" si="3"/>
        <v>-9.1844082358008006E-3</v>
      </c>
      <c r="L38" s="3">
        <f t="shared" si="13"/>
        <v>0.11600027074120911</v>
      </c>
      <c r="M38" s="6">
        <f t="shared" si="4"/>
        <v>2111431.9590920014</v>
      </c>
      <c r="N38" s="16">
        <f t="shared" si="5"/>
        <v>0</v>
      </c>
      <c r="O38" s="6">
        <f t="shared" si="6"/>
        <v>2111431.9590920014</v>
      </c>
      <c r="P38" s="3">
        <f t="shared" si="7"/>
        <v>-9.1844082358008006E-3</v>
      </c>
      <c r="Q38" s="3">
        <f t="shared" si="8"/>
        <v>0.11600027074120911</v>
      </c>
      <c r="R38" s="3">
        <f t="shared" si="9"/>
        <v>-0.29655230500043084</v>
      </c>
      <c r="T38" s="47">
        <f t="shared" si="10"/>
        <v>45264</v>
      </c>
      <c r="U38" s="5">
        <f t="shared" si="11"/>
        <v>35</v>
      </c>
      <c r="V38" s="1" t="s">
        <v>363</v>
      </c>
      <c r="W38" s="1" t="s">
        <v>368</v>
      </c>
    </row>
    <row r="39" spans="2:25" x14ac:dyDescent="0.4">
      <c r="B39" s="47">
        <f t="shared" si="15"/>
        <v>45271</v>
      </c>
      <c r="C39" s="5">
        <f t="shared" si="16"/>
        <v>36</v>
      </c>
      <c r="D39" s="6">
        <f t="array" ref="D39">SUM((Blotter!C$19:C$1013=C39)*(Blotter!N$19:N$1013)*1)</f>
        <v>46083.359999999979</v>
      </c>
      <c r="E39" s="6">
        <f t="array" ref="E39">SUM((Blotter!B$19:C$1013=C39)*(Blotter!R$19:R$1013)*1)</f>
        <v>18720</v>
      </c>
      <c r="F39" s="30">
        <f t="shared" ref="F39" si="37">IF(ISNUMBER(D39/E39),D39/E39,0)</f>
        <v>2.4617179487179475</v>
      </c>
      <c r="G39" s="43" t="str">
        <f t="array" ref="G39">IF(SUM((Blotter!C$19:C$1013=PLB!C39)*(Blotter!M$19:M$1013))=0,"C","O")</f>
        <v>C</v>
      </c>
      <c r="H39" s="16">
        <f t="shared" si="1"/>
        <v>2157515.3190920013</v>
      </c>
      <c r="I39" s="16"/>
      <c r="J39" s="16">
        <f t="shared" si="2"/>
        <v>2157515.3190920013</v>
      </c>
      <c r="K39" s="3">
        <f t="shared" si="3"/>
        <v>2.1825642925201061E-2</v>
      </c>
      <c r="L39" s="3">
        <f t="shared" si="13"/>
        <v>0.14035769415483434</v>
      </c>
      <c r="M39" s="6">
        <f t="shared" si="4"/>
        <v>2157515.3190920013</v>
      </c>
      <c r="N39" s="16">
        <f t="shared" si="5"/>
        <v>0</v>
      </c>
      <c r="O39" s="6">
        <f t="shared" si="6"/>
        <v>2157515.3190920013</v>
      </c>
      <c r="P39" s="3">
        <f t="shared" si="7"/>
        <v>2.1825642925201061E-2</v>
      </c>
      <c r="Q39" s="3">
        <f t="shared" si="8"/>
        <v>0.14035769415483434</v>
      </c>
      <c r="R39" s="3">
        <f t="shared" si="9"/>
        <v>-0.30358678195042654</v>
      </c>
      <c r="T39" s="47">
        <f t="shared" si="10"/>
        <v>45271</v>
      </c>
      <c r="U39" s="5">
        <f t="shared" si="11"/>
        <v>36</v>
      </c>
      <c r="V39" s="1" t="s">
        <v>205</v>
      </c>
      <c r="W39" s="1" t="s">
        <v>371</v>
      </c>
      <c r="X39" s="1" t="s">
        <v>370</v>
      </c>
    </row>
    <row r="40" spans="2:25" x14ac:dyDescent="0.4">
      <c r="B40" s="47">
        <f t="shared" si="15"/>
        <v>45278</v>
      </c>
      <c r="C40" s="5">
        <f t="shared" si="16"/>
        <v>37</v>
      </c>
      <c r="D40" s="6">
        <f t="array" ref="D40">SUM((Blotter!C$19:C$1013=C40)*(Blotter!N$19:N$1013)*1)</f>
        <v>30999.219999999958</v>
      </c>
      <c r="E40" s="6">
        <f t="array" ref="E40">SUM((Blotter!B$19:C$1013=C40)*(Blotter!R$19:R$1013)*1)</f>
        <v>17700</v>
      </c>
      <c r="F40" s="30">
        <f t="shared" ref="F40" si="38">IF(ISNUMBER(D40/E40),D40/E40,0)</f>
        <v>1.7513683615819184</v>
      </c>
      <c r="G40" s="43" t="str">
        <f t="array" ref="G40">IF(SUM((Blotter!C$19:C$1013=PLB!C40)*(Blotter!M$19:M$1013))=0,"C","O")</f>
        <v>C</v>
      </c>
      <c r="H40" s="16">
        <f t="shared" ref="H40" si="39">J39+D40</f>
        <v>2188514.539092001</v>
      </c>
      <c r="I40" s="16"/>
      <c r="J40" s="16">
        <f t="shared" ref="J40" si="40">H40+I40</f>
        <v>2188514.539092001</v>
      </c>
      <c r="K40" s="3">
        <f t="shared" ref="K40" si="41">H40/J39-1</f>
        <v>1.4368018491310641E-2</v>
      </c>
      <c r="L40" s="3">
        <f t="shared" ref="L40" si="42">(1+K40)*(1+L39)-1</f>
        <v>0.15674237459115936</v>
      </c>
      <c r="M40" s="6">
        <f t="shared" si="4"/>
        <v>2188514.539092001</v>
      </c>
      <c r="N40" s="16">
        <f t="shared" si="5"/>
        <v>0</v>
      </c>
      <c r="O40" s="6">
        <f t="shared" si="6"/>
        <v>2188514.539092001</v>
      </c>
      <c r="P40" s="3">
        <f t="shared" si="7"/>
        <v>1.4368018491310641E-2</v>
      </c>
      <c r="Q40" s="3">
        <f t="shared" si="8"/>
        <v>0.15674237459115936</v>
      </c>
      <c r="R40" s="3">
        <f t="shared" si="9"/>
        <v>-0.31055091413092228</v>
      </c>
      <c r="T40" s="47">
        <f t="shared" si="10"/>
        <v>45278</v>
      </c>
      <c r="U40" s="5">
        <f t="shared" si="11"/>
        <v>37</v>
      </c>
      <c r="V40" s="1" t="s">
        <v>215</v>
      </c>
      <c r="W40" s="1" t="s">
        <v>385</v>
      </c>
      <c r="X40" s="1" t="s">
        <v>386</v>
      </c>
    </row>
    <row r="41" spans="2:25" x14ac:dyDescent="0.4">
      <c r="B41" s="47">
        <f t="shared" si="15"/>
        <v>45285</v>
      </c>
      <c r="C41" s="5">
        <f t="shared" si="16"/>
        <v>38</v>
      </c>
      <c r="D41" s="6">
        <f t="array" ref="D41">SUM((Blotter!C$19:C$1013=C41)*(Blotter!N$19:N$1013)*1)</f>
        <v>0</v>
      </c>
      <c r="E41" s="6">
        <f t="array" ref="E41">SUM((Blotter!B$19:C$1013=C41)*(Blotter!R$19:R$1013)*1)</f>
        <v>0</v>
      </c>
      <c r="F41" s="30">
        <f t="shared" ref="F41" si="43">IF(ISNUMBER(D41/E41),D41/E41,0)</f>
        <v>0</v>
      </c>
      <c r="G41" s="43" t="str">
        <f t="array" ref="G41">IF(SUM((Blotter!C$19:C$1013=PLB!C41)*(Blotter!M$19:M$1013))=0,"C","O")</f>
        <v>C</v>
      </c>
      <c r="H41" s="16">
        <f t="shared" ref="H41" si="44">J40+D41</f>
        <v>2188514.539092001</v>
      </c>
      <c r="I41" s="16"/>
      <c r="J41" s="16">
        <f t="shared" ref="J41" si="45">H41+I41</f>
        <v>2188514.539092001</v>
      </c>
      <c r="K41" s="3">
        <f t="shared" ref="K41" si="46">H41/J40-1</f>
        <v>0</v>
      </c>
      <c r="L41" s="3">
        <f t="shared" ref="L41" si="47">(1+K41)*(1+L40)-1</f>
        <v>0.15674237459115936</v>
      </c>
      <c r="M41" s="6">
        <f t="shared" si="4"/>
        <v>2188514.539092001</v>
      </c>
      <c r="N41" s="16">
        <f t="shared" si="5"/>
        <v>0</v>
      </c>
      <c r="O41" s="6">
        <f t="shared" si="6"/>
        <v>2188514.539092001</v>
      </c>
      <c r="P41" s="3">
        <f t="shared" si="7"/>
        <v>0</v>
      </c>
      <c r="Q41" s="3">
        <f t="shared" si="8"/>
        <v>0.15674237459115936</v>
      </c>
      <c r="R41" s="3">
        <f t="shared" si="9"/>
        <v>-0.31744540498961304</v>
      </c>
      <c r="T41" s="47">
        <f t="shared" si="10"/>
        <v>45285</v>
      </c>
      <c r="U41" s="5">
        <f t="shared" si="11"/>
        <v>38</v>
      </c>
    </row>
    <row r="42" spans="2:25" x14ac:dyDescent="0.4">
      <c r="B42" s="47">
        <f t="shared" si="15"/>
        <v>45292</v>
      </c>
      <c r="C42" s="5">
        <f t="shared" si="16"/>
        <v>39</v>
      </c>
      <c r="D42" s="6">
        <f t="array" ref="D42">SUM((Blotter!C$19:C$1013=C42)*(Blotter!N$19:N$1013)*1)</f>
        <v>0</v>
      </c>
      <c r="E42" s="6">
        <f t="array" ref="E42">SUM((Blotter!B$19:C$1013=C42)*(Blotter!R$19:R$1013)*1)</f>
        <v>0</v>
      </c>
      <c r="F42" s="30">
        <f t="shared" ref="F42" si="48">IF(ISNUMBER(D42/E42),D42/E42,0)</f>
        <v>0</v>
      </c>
      <c r="G42" s="43" t="str">
        <f t="array" ref="G42">IF(SUM((Blotter!C$19:C$1013=PLB!C42)*(Blotter!M$19:M$1013))=0,"C","O")</f>
        <v>C</v>
      </c>
      <c r="H42" s="16">
        <f t="shared" ref="H42" si="49">J41+D42</f>
        <v>2188514.539092001</v>
      </c>
      <c r="I42" s="16"/>
      <c r="J42" s="16">
        <f t="shared" ref="J42" si="50">H42+I42</f>
        <v>2188514.539092001</v>
      </c>
      <c r="K42" s="3">
        <f t="shared" ref="K42" si="51">H42/J41-1</f>
        <v>0</v>
      </c>
      <c r="L42" s="3">
        <f t="shared" ref="L42" si="52">(1+K42)*(1+L41)-1</f>
        <v>0.15674237459115936</v>
      </c>
      <c r="M42" s="6">
        <f t="shared" si="4"/>
        <v>2188514.539092001</v>
      </c>
      <c r="N42" s="16">
        <f t="shared" si="5"/>
        <v>0</v>
      </c>
      <c r="O42" s="6">
        <f t="shared" si="6"/>
        <v>2188514.539092001</v>
      </c>
      <c r="P42" s="3">
        <f t="shared" si="7"/>
        <v>0</v>
      </c>
      <c r="Q42" s="3">
        <f t="shared" si="8"/>
        <v>0.15674237459115936</v>
      </c>
      <c r="R42" s="3">
        <f t="shared" si="9"/>
        <v>-0.32427095093971692</v>
      </c>
      <c r="T42" s="47">
        <f t="shared" si="10"/>
        <v>45292</v>
      </c>
      <c r="U42" s="5">
        <f t="shared" si="11"/>
        <v>39</v>
      </c>
    </row>
    <row r="43" spans="2:25" x14ac:dyDescent="0.4">
      <c r="B43" s="47">
        <f t="shared" si="15"/>
        <v>45299</v>
      </c>
      <c r="C43" s="5">
        <f t="shared" si="16"/>
        <v>40</v>
      </c>
      <c r="D43" s="6">
        <f t="array" ref="D43">SUM((Blotter!C$19:C$1013=C43)*(Blotter!N$19:N$1013)*1)</f>
        <v>-304302.67280000006</v>
      </c>
      <c r="E43" s="6">
        <f t="array" ref="E43">SUM((Blotter!B$19:C$1013=C43)*(Blotter!R$19:R$1013)*1)</f>
        <v>21690</v>
      </c>
      <c r="F43" s="30">
        <f t="shared" ref="F43" si="53">IF(ISNUMBER(D43/E43),D43/E43,0)</f>
        <v>-14.029629912402031</v>
      </c>
      <c r="G43" s="43" t="str">
        <f t="array" ref="G43">IF(SUM((Blotter!C$19:C$1013=PLB!C43)*(Blotter!M$19:M$1013))=0,"C","O")</f>
        <v>C</v>
      </c>
      <c r="H43" s="16">
        <f t="shared" ref="H43" si="54">J42+D43</f>
        <v>1884211.866292001</v>
      </c>
      <c r="I43" s="16"/>
      <c r="J43" s="16">
        <f t="shared" ref="J43" si="55">H43+I43</f>
        <v>1884211.866292001</v>
      </c>
      <c r="K43" s="3">
        <f t="shared" ref="K43" si="56">H43/J42-1</f>
        <v>-0.13904530555517947</v>
      </c>
      <c r="L43" s="3">
        <f t="shared" ref="L43" si="57">(1+K43)*(1+L42)-1</f>
        <v>-4.0972223324922119E-3</v>
      </c>
      <c r="M43" s="6">
        <f t="shared" si="4"/>
        <v>1884211.866292001</v>
      </c>
      <c r="N43" s="16">
        <f t="shared" si="5"/>
        <v>0</v>
      </c>
      <c r="O43" s="6">
        <f t="shared" si="6"/>
        <v>1884211.866292001</v>
      </c>
      <c r="P43" s="3">
        <f t="shared" si="7"/>
        <v>-0.13904530555517947</v>
      </c>
      <c r="Q43" s="3">
        <f t="shared" si="8"/>
        <v>-4.0972223324922119E-3</v>
      </c>
      <c r="R43" s="3">
        <f t="shared" si="9"/>
        <v>-0.33102824143031973</v>
      </c>
      <c r="T43" s="47">
        <f t="shared" si="10"/>
        <v>45299</v>
      </c>
      <c r="U43" s="5">
        <f t="shared" si="11"/>
        <v>40</v>
      </c>
      <c r="V43" s="1" t="s">
        <v>410</v>
      </c>
      <c r="W43" s="66" t="s">
        <v>411</v>
      </c>
    </row>
    <row r="44" spans="2:25" x14ac:dyDescent="0.4">
      <c r="B44" s="47">
        <f t="shared" si="15"/>
        <v>45306</v>
      </c>
      <c r="C44" s="5">
        <f t="shared" si="16"/>
        <v>41</v>
      </c>
      <c r="D44" s="6">
        <f t="array" ref="D44">SUM((Blotter!C$19:C$1013=C44)*(Blotter!N$19:N$1013)*1)</f>
        <v>347.34000000001475</v>
      </c>
      <c r="E44" s="6">
        <f t="array" ref="E44">SUM((Blotter!B$19:C$1013=C44)*(Blotter!R$19:R$1013)*1)</f>
        <v>13000</v>
      </c>
      <c r="F44" s="30">
        <f t="shared" ref="F44" si="58">IF(ISNUMBER(D44/E44),D44/E44,0)</f>
        <v>2.6718461538462673E-2</v>
      </c>
      <c r="G44" s="43" t="str">
        <f t="array" ref="G44">IF(SUM((Blotter!C$19:C$1013=PLB!C44)*(Blotter!M$19:M$1013))=0,"C","O")</f>
        <v>C</v>
      </c>
      <c r="H44" s="16">
        <f t="shared" ref="H44" si="59">J43+D44</f>
        <v>1884559.2062920011</v>
      </c>
      <c r="I44" s="16"/>
      <c r="J44" s="16">
        <f t="shared" ref="J44" si="60">H44+I44</f>
        <v>1884559.2062920011</v>
      </c>
      <c r="K44" s="3">
        <f t="shared" ref="K44" si="61">H44/J43-1</f>
        <v>1.8434232700359487E-4</v>
      </c>
      <c r="L44" s="3">
        <f t="shared" ref="L44" si="62">(1+K44)*(1+L43)-1</f>
        <v>-3.9136352969876276E-3</v>
      </c>
      <c r="M44" s="6">
        <f t="shared" si="4"/>
        <v>1884559.2062920011</v>
      </c>
      <c r="N44" s="16">
        <f t="shared" si="5"/>
        <v>0</v>
      </c>
      <c r="O44" s="6">
        <f t="shared" si="6"/>
        <v>1884559.2062920011</v>
      </c>
      <c r="P44" s="3">
        <f t="shared" si="7"/>
        <v>1.8434232700359487E-4</v>
      </c>
      <c r="Q44" s="3">
        <f t="shared" si="8"/>
        <v>-3.9136352969876276E-3</v>
      </c>
      <c r="R44" s="3">
        <f t="shared" si="9"/>
        <v>-0.33771795901601653</v>
      </c>
      <c r="T44" s="47">
        <f t="shared" si="10"/>
        <v>45306</v>
      </c>
      <c r="U44" s="5">
        <f t="shared" si="11"/>
        <v>41</v>
      </c>
      <c r="V44" s="1" t="s">
        <v>281</v>
      </c>
      <c r="W44" s="1" t="s">
        <v>415</v>
      </c>
      <c r="X44" s="1" t="s">
        <v>416</v>
      </c>
    </row>
    <row r="45" spans="2:25" x14ac:dyDescent="0.4">
      <c r="B45" s="47">
        <f t="shared" si="15"/>
        <v>45313</v>
      </c>
      <c r="C45" s="5">
        <f t="shared" si="16"/>
        <v>42</v>
      </c>
      <c r="D45" s="6">
        <f t="array" ref="D45">SUM((Blotter!C$19:C$1013=C45)*(Blotter!N$19:N$1013)*1)</f>
        <v>0</v>
      </c>
      <c r="E45" s="6">
        <f t="array" ref="E45">SUM((Blotter!B$19:C$1013=C45)*(Blotter!R$19:R$1013)*1)</f>
        <v>0</v>
      </c>
      <c r="F45" s="30">
        <f t="shared" ref="F45:F46" si="63">IF(ISNUMBER(D45/E45),D45/E45,0)</f>
        <v>0</v>
      </c>
      <c r="G45" s="43" t="str">
        <f t="array" ref="G45">IF(SUM((Blotter!C$19:C$1013=PLB!C45)*(Blotter!M$19:M$1013))=0,"C","O")</f>
        <v>C</v>
      </c>
      <c r="H45" s="16">
        <f t="shared" ref="H45:H46" si="64">J44+D45</f>
        <v>1884559.2062920011</v>
      </c>
      <c r="I45" s="16"/>
      <c r="J45" s="16">
        <f t="shared" ref="J45:J46" si="65">H45+I45</f>
        <v>1884559.2062920011</v>
      </c>
      <c r="K45" s="3">
        <f t="shared" ref="K45:K46" si="66">H45/J44-1</f>
        <v>0</v>
      </c>
      <c r="L45" s="3">
        <f t="shared" ref="L45:L46" si="67">(1+K45)*(1+L44)-1</f>
        <v>-3.9136352969876276E-3</v>
      </c>
      <c r="M45" s="6">
        <f t="shared" si="4"/>
        <v>1884559.2062920011</v>
      </c>
      <c r="N45" s="16">
        <f t="shared" si="5"/>
        <v>0</v>
      </c>
      <c r="O45" s="6">
        <f t="shared" si="6"/>
        <v>1884559.2062920011</v>
      </c>
      <c r="P45" s="3">
        <f t="shared" si="7"/>
        <v>0</v>
      </c>
      <c r="Q45" s="3">
        <f t="shared" si="8"/>
        <v>-3.9136352969876276E-3</v>
      </c>
      <c r="R45" s="3">
        <f t="shared" si="9"/>
        <v>-0.34434077942585639</v>
      </c>
      <c r="T45" s="47">
        <f t="shared" si="10"/>
        <v>45313</v>
      </c>
      <c r="U45" s="5">
        <f t="shared" si="11"/>
        <v>42</v>
      </c>
    </row>
    <row r="46" spans="2:25" x14ac:dyDescent="0.4">
      <c r="B46" s="47">
        <f t="shared" si="15"/>
        <v>45320</v>
      </c>
      <c r="C46" s="5">
        <f t="shared" si="16"/>
        <v>43</v>
      </c>
      <c r="D46" s="6">
        <f t="array" ref="D46">SUM((Blotter!C$19:C$1013=C46)*(Blotter!N$19:N$1013)*1)</f>
        <v>1014.1599999999999</v>
      </c>
      <c r="E46" s="6">
        <f t="array" ref="E46">SUM((Blotter!B$19:C$1013=C46)*(Blotter!R$19:R$1013)*1)</f>
        <v>18000</v>
      </c>
      <c r="F46" s="30">
        <f t="shared" si="63"/>
        <v>5.6342222222222217E-2</v>
      </c>
      <c r="G46" s="43" t="str">
        <f t="array" ref="G46">IF(SUM((Blotter!C$19:C$1013=PLB!C46)*(Blotter!M$19:M$1013))=0,"C","O")</f>
        <v>C</v>
      </c>
      <c r="H46" s="16">
        <f t="shared" si="64"/>
        <v>1885573.366292001</v>
      </c>
      <c r="I46" s="16"/>
      <c r="J46" s="16">
        <f t="shared" si="65"/>
        <v>1885573.366292001</v>
      </c>
      <c r="K46" s="3">
        <f t="shared" si="66"/>
        <v>5.3814175570288114E-4</v>
      </c>
      <c r="L46" s="3">
        <f t="shared" si="67"/>
        <v>-3.3775996318546886E-3</v>
      </c>
      <c r="M46" s="6">
        <f t="shared" si="4"/>
        <v>1885573.366292001</v>
      </c>
      <c r="N46" s="16">
        <f t="shared" si="5"/>
        <v>0</v>
      </c>
      <c r="O46" s="6">
        <f t="shared" si="6"/>
        <v>1885573.366292001</v>
      </c>
      <c r="P46" s="3">
        <f t="shared" si="7"/>
        <v>5.3814175570288114E-4</v>
      </c>
      <c r="Q46" s="3">
        <f t="shared" si="8"/>
        <v>-3.3775996318546886E-3</v>
      </c>
      <c r="R46" s="3">
        <f t="shared" si="9"/>
        <v>-0.35089737163159784</v>
      </c>
      <c r="T46" s="47">
        <f t="shared" si="10"/>
        <v>45320</v>
      </c>
      <c r="U46" s="5">
        <f t="shared" si="11"/>
        <v>43</v>
      </c>
      <c r="V46" s="1" t="s">
        <v>420</v>
      </c>
      <c r="W46" s="1" t="s">
        <v>422</v>
      </c>
      <c r="X46" s="1" t="s">
        <v>421</v>
      </c>
    </row>
    <row r="47" spans="2:25" x14ac:dyDescent="0.4">
      <c r="B47" s="47">
        <f t="shared" si="15"/>
        <v>45327</v>
      </c>
      <c r="C47" s="5">
        <f t="shared" si="16"/>
        <v>44</v>
      </c>
      <c r="D47" s="6">
        <f t="array" ref="D47">SUM((Blotter!C$19:C$1013=C47)*(Blotter!N$19:N$1013)*1)</f>
        <v>0</v>
      </c>
      <c r="E47" s="6">
        <f t="array" ref="E47">SUM((Blotter!B$19:C$1013=C47)*(Blotter!R$19:R$1013)*1)</f>
        <v>0</v>
      </c>
      <c r="F47" s="30">
        <f t="shared" ref="F47:F49" si="68">IF(ISNUMBER(D47/E47),D47/E47,0)</f>
        <v>0</v>
      </c>
      <c r="G47" s="43" t="str">
        <f t="array" ref="G47">IF(SUM((Blotter!C$19:C$1013=PLB!C47)*(Blotter!M$19:M$1013))=0,"C","O")</f>
        <v>C</v>
      </c>
      <c r="H47" s="16">
        <f t="shared" ref="H47:H49" si="69">J46+D47</f>
        <v>1885573.366292001</v>
      </c>
      <c r="I47" s="16"/>
      <c r="J47" s="16">
        <f t="shared" ref="J47:J49" si="70">H47+I47</f>
        <v>1885573.366292001</v>
      </c>
      <c r="K47" s="3">
        <f t="shared" ref="K47:K49" si="71">H47/J46-1</f>
        <v>0</v>
      </c>
      <c r="L47" s="3">
        <f t="shared" ref="L47:L49" si="72">(1+K47)*(1+L46)-1</f>
        <v>-3.3775996318546886E-3</v>
      </c>
      <c r="M47" s="6">
        <f t="shared" si="4"/>
        <v>1885573.366292001</v>
      </c>
      <c r="N47" s="16">
        <f t="shared" si="5"/>
        <v>0</v>
      </c>
      <c r="O47" s="6">
        <f t="shared" si="6"/>
        <v>1885573.366292001</v>
      </c>
      <c r="P47" s="3">
        <f t="shared" si="7"/>
        <v>0</v>
      </c>
      <c r="Q47" s="3">
        <f t="shared" si="8"/>
        <v>-3.3775996318546886E-3</v>
      </c>
      <c r="R47" s="3">
        <f t="shared" si="9"/>
        <v>-0.35738839791528187</v>
      </c>
      <c r="T47" s="47">
        <f t="shared" si="10"/>
        <v>45327</v>
      </c>
      <c r="U47" s="5">
        <f t="shared" si="11"/>
        <v>44</v>
      </c>
    </row>
    <row r="48" spans="2:25" x14ac:dyDescent="0.4">
      <c r="B48" s="47">
        <f t="shared" si="15"/>
        <v>45334</v>
      </c>
      <c r="C48" s="5">
        <f t="shared" si="16"/>
        <v>45</v>
      </c>
      <c r="D48" s="6">
        <f t="array" ref="D48">SUM((Blotter!C$19:C$1013=C48)*(Blotter!N$19:N$1013)*1)</f>
        <v>0</v>
      </c>
      <c r="E48" s="6">
        <f t="array" ref="E48">SUM((Blotter!B$19:C$1013=C48)*(Blotter!R$19:R$1013)*1)</f>
        <v>0</v>
      </c>
      <c r="F48" s="30">
        <f t="shared" si="68"/>
        <v>0</v>
      </c>
      <c r="G48" s="43" t="str">
        <f t="array" ref="G48">IF(SUM((Blotter!C$19:C$1013=PLB!C48)*(Blotter!M$19:M$1013))=0,"C","O")</f>
        <v>C</v>
      </c>
      <c r="H48" s="16">
        <f t="shared" si="69"/>
        <v>1885573.366292001</v>
      </c>
      <c r="I48" s="16"/>
      <c r="J48" s="16">
        <f t="shared" si="70"/>
        <v>1885573.366292001</v>
      </c>
      <c r="K48" s="3">
        <f t="shared" si="71"/>
        <v>0</v>
      </c>
      <c r="L48" s="3">
        <f t="shared" si="72"/>
        <v>-3.3775996318546886E-3</v>
      </c>
      <c r="M48" s="6">
        <f t="shared" si="4"/>
        <v>1885573.366292001</v>
      </c>
      <c r="N48" s="16">
        <f t="shared" si="5"/>
        <v>0</v>
      </c>
      <c r="O48" s="6">
        <f t="shared" si="6"/>
        <v>1885573.366292001</v>
      </c>
      <c r="P48" s="3">
        <f t="shared" si="7"/>
        <v>0</v>
      </c>
      <c r="Q48" s="3">
        <f t="shared" si="8"/>
        <v>-3.3775996318546886E-3</v>
      </c>
      <c r="R48" s="3">
        <f t="shared" si="9"/>
        <v>-0.36381451393612907</v>
      </c>
      <c r="T48" s="47">
        <f t="shared" si="10"/>
        <v>45334</v>
      </c>
      <c r="U48" s="5">
        <f t="shared" si="11"/>
        <v>45</v>
      </c>
    </row>
    <row r="49" spans="2:28" x14ac:dyDescent="0.4">
      <c r="B49" s="47">
        <f t="shared" si="15"/>
        <v>45341</v>
      </c>
      <c r="C49" s="5">
        <f t="shared" si="16"/>
        <v>46</v>
      </c>
      <c r="D49" s="6">
        <f t="array" ref="D49">SUM((Blotter!C$19:C$1013=C49)*(Blotter!N$19:N$1013)*1)</f>
        <v>-404709.12000000034</v>
      </c>
      <c r="E49" s="6">
        <f t="array" ref="E49">SUM((Blotter!B$19:C$1013=C49)*(Blotter!R$19:R$1013)*1)</f>
        <v>14960</v>
      </c>
      <c r="F49" s="30">
        <f t="shared" si="68"/>
        <v>-27.052748663101628</v>
      </c>
      <c r="G49" s="43" t="str">
        <f t="array" ref="G49">IF(SUM((Blotter!C$19:C$1013=PLB!C49)*(Blotter!M$19:M$1013))=0,"C","O")</f>
        <v>C</v>
      </c>
      <c r="H49" s="16">
        <f t="shared" si="69"/>
        <v>1480864.2462920006</v>
      </c>
      <c r="I49" s="16"/>
      <c r="J49" s="16">
        <f t="shared" si="70"/>
        <v>1480864.2462920006</v>
      </c>
      <c r="K49" s="3">
        <f t="shared" si="71"/>
        <v>-0.21463451236366626</v>
      </c>
      <c r="L49" s="3">
        <f t="shared" si="72"/>
        <v>-0.21728716254557812</v>
      </c>
      <c r="M49" s="6">
        <f t="shared" si="4"/>
        <v>1480864.2462920006</v>
      </c>
      <c r="N49" s="16">
        <f t="shared" si="5"/>
        <v>0</v>
      </c>
      <c r="O49" s="6">
        <f t="shared" si="6"/>
        <v>1480864.2462920006</v>
      </c>
      <c r="P49" s="3">
        <f t="shared" si="7"/>
        <v>-0.21463451236366626</v>
      </c>
      <c r="Q49" s="3">
        <f t="shared" si="8"/>
        <v>-0.21728716254557812</v>
      </c>
      <c r="R49" s="3">
        <f t="shared" si="9"/>
        <v>-0.37017636879676774</v>
      </c>
      <c r="T49" s="47">
        <f t="shared" si="10"/>
        <v>45341</v>
      </c>
      <c r="U49" s="5">
        <f t="shared" si="11"/>
        <v>46</v>
      </c>
      <c r="V49" s="1" t="s">
        <v>286</v>
      </c>
      <c r="W49" s="1" t="s">
        <v>435</v>
      </c>
      <c r="X49" s="1" t="s">
        <v>429</v>
      </c>
      <c r="Y49" s="1" t="s">
        <v>436</v>
      </c>
    </row>
    <row r="50" spans="2:28" x14ac:dyDescent="0.4">
      <c r="B50" s="47">
        <f t="shared" ref="B50:B54" si="73">B49+7</f>
        <v>45348</v>
      </c>
      <c r="C50" s="5">
        <f t="shared" ref="C50:C54" si="74">C49+1</f>
        <v>47</v>
      </c>
      <c r="D50" s="6">
        <f t="array" ref="D50">SUM((Blotter!C$19:C$1013=C50)*(Blotter!N$19:N$1013)*1)</f>
        <v>181.03999999998862</v>
      </c>
      <c r="E50" s="6">
        <f t="array" ref="E50">SUM((Blotter!B$19:C$1013=C50)*(Blotter!R$19:R$1013)*1)</f>
        <v>0</v>
      </c>
      <c r="F50" s="30">
        <f t="shared" ref="F50" si="75">IF(ISNUMBER(D50/E50),D50/E50,0)</f>
        <v>0</v>
      </c>
      <c r="G50" s="43" t="str">
        <f t="array" ref="G50">IF(SUM((Blotter!C$19:C$1013=PLB!C50)*(Blotter!M$19:M$1013))=0,"C","O")</f>
        <v>C</v>
      </c>
      <c r="H50" s="16">
        <f t="shared" ref="H50" si="76">J49+D50</f>
        <v>1481045.2862920007</v>
      </c>
      <c r="I50" s="16"/>
      <c r="J50" s="16">
        <f t="shared" ref="J50" si="77">H50+I50</f>
        <v>1481045.2862920007</v>
      </c>
      <c r="K50" s="3">
        <f t="shared" ref="K50" si="78">H50/J49-1</f>
        <v>1.2225293469891874E-4</v>
      </c>
      <c r="L50" s="3">
        <f t="shared" ref="L50" si="79">(1+K50)*(1+L49)-1</f>
        <v>-0.21719147360417279</v>
      </c>
      <c r="M50" s="6">
        <f t="shared" si="4"/>
        <v>1481045.2862920007</v>
      </c>
      <c r="N50" s="16">
        <f t="shared" si="5"/>
        <v>0</v>
      </c>
      <c r="O50" s="6">
        <f t="shared" si="6"/>
        <v>1481045.2862920007</v>
      </c>
      <c r="P50" s="3">
        <f t="shared" si="7"/>
        <v>1.2225293469891874E-4</v>
      </c>
      <c r="Q50" s="3">
        <f t="shared" si="8"/>
        <v>-0.21719147360417279</v>
      </c>
      <c r="R50" s="3">
        <f t="shared" si="9"/>
        <v>-0.37647460510880004</v>
      </c>
      <c r="T50" s="47">
        <f t="shared" si="10"/>
        <v>45348</v>
      </c>
      <c r="U50" s="5">
        <f t="shared" si="11"/>
        <v>47</v>
      </c>
      <c r="V50" s="1" t="s">
        <v>281</v>
      </c>
      <c r="W50" s="1" t="s">
        <v>441</v>
      </c>
      <c r="X50" s="1" t="s">
        <v>439</v>
      </c>
    </row>
    <row r="51" spans="2:28" x14ac:dyDescent="0.4">
      <c r="B51" s="47">
        <f t="shared" si="73"/>
        <v>45355</v>
      </c>
      <c r="C51" s="5">
        <f t="shared" si="74"/>
        <v>48</v>
      </c>
      <c r="D51" s="6">
        <f t="array" ref="D51">SUM((Blotter!C$19:C$1013=C51)*(Blotter!N$19:N$1013)*1)</f>
        <v>47255.099999999831</v>
      </c>
      <c r="E51" s="6">
        <f t="array" ref="E51">SUM((Blotter!B$19:C$1013=C51)*(Blotter!R$19:R$1013)*1)</f>
        <v>57903.4</v>
      </c>
      <c r="F51" s="30">
        <f t="shared" ref="F51" si="80">IF(ISNUMBER(D51/E51),D51/E51,0)</f>
        <v>0.81610233595954351</v>
      </c>
      <c r="G51" s="43" t="str">
        <f t="array" ref="G51">IF(SUM((Blotter!C$19:C$1013=PLB!C51)*(Blotter!M$19:M$1013))=0,"C","O")</f>
        <v>C</v>
      </c>
      <c r="H51" s="16">
        <f t="shared" ref="H51" si="81">J50+D51</f>
        <v>1528300.3862920005</v>
      </c>
      <c r="I51" s="16"/>
      <c r="J51" s="16">
        <f t="shared" ref="J51" si="82">H51+I51</f>
        <v>1528300.3862920005</v>
      </c>
      <c r="K51" s="3">
        <f t="shared" ref="K51" si="83">H51/J50-1</f>
        <v>3.1906586812284088E-2</v>
      </c>
      <c r="L51" s="3">
        <f t="shared" ref="L51" si="84">(1+K51)*(1+L50)-1</f>
        <v>-0.19221472539932816</v>
      </c>
      <c r="M51" s="6">
        <f t="shared" si="4"/>
        <v>1528300.3862920005</v>
      </c>
      <c r="N51" s="16">
        <f t="shared" si="5"/>
        <v>0</v>
      </c>
      <c r="O51" s="6">
        <f t="shared" si="6"/>
        <v>1528300.3862920005</v>
      </c>
      <c r="P51" s="3">
        <f t="shared" si="7"/>
        <v>3.1906586812284088E-2</v>
      </c>
      <c r="Q51" s="3">
        <f t="shared" si="8"/>
        <v>-0.19221472539932816</v>
      </c>
      <c r="R51" s="3">
        <f t="shared" si="9"/>
        <v>-0.38270985905771204</v>
      </c>
      <c r="T51" s="47">
        <f t="shared" si="10"/>
        <v>45355</v>
      </c>
      <c r="U51" s="5">
        <f t="shared" si="11"/>
        <v>48</v>
      </c>
      <c r="V51" s="1" t="s">
        <v>447</v>
      </c>
      <c r="W51" s="1" t="s">
        <v>449</v>
      </c>
      <c r="X51" s="1" t="s">
        <v>448</v>
      </c>
      <c r="Z51" s="1" t="s">
        <v>264</v>
      </c>
      <c r="AA51" s="1" t="s">
        <v>453</v>
      </c>
      <c r="AB51" s="1" t="s">
        <v>452</v>
      </c>
    </row>
    <row r="52" spans="2:28" x14ac:dyDescent="0.4">
      <c r="B52" s="47">
        <f t="shared" si="73"/>
        <v>45362</v>
      </c>
      <c r="C52" s="5">
        <f t="shared" si="74"/>
        <v>49</v>
      </c>
      <c r="D52" s="6">
        <f t="array" ref="D52">SUM((Blotter!C$19:C$1013=C52)*(Blotter!N$19:N$1013)*1)</f>
        <v>-3523.5</v>
      </c>
      <c r="E52" s="6">
        <f t="array" ref="E52">SUM((Blotter!B$19:C$1013=C52)*(Blotter!R$19:R$1013)*1)</f>
        <v>20500</v>
      </c>
      <c r="F52" s="30">
        <f t="shared" ref="F52" si="85">IF(ISNUMBER(D52/E52),D52/E52,0)</f>
        <v>-0.17187804878048779</v>
      </c>
      <c r="G52" s="43" t="str">
        <f t="array" ref="G52">IF(SUM((Blotter!C$19:C$1013=PLB!C52)*(Blotter!M$19:M$1013))=0,"C","O")</f>
        <v>C</v>
      </c>
      <c r="H52" s="16">
        <f t="shared" ref="H52" si="86">J51+D52</f>
        <v>1524776.8862920005</v>
      </c>
      <c r="I52" s="16"/>
      <c r="J52" s="16">
        <f t="shared" ref="J52" si="87">H52+I52</f>
        <v>1524776.8862920005</v>
      </c>
      <c r="K52" s="3">
        <f t="shared" ref="K52" si="88">H52/J51-1</f>
        <v>-2.305502263562742E-3</v>
      </c>
      <c r="L52" s="3">
        <f t="shared" ref="L52" si="89">(1+K52)*(1+L51)-1</f>
        <v>-0.19407707617839265</v>
      </c>
      <c r="M52" s="6">
        <f t="shared" si="4"/>
        <v>1524776.8862920005</v>
      </c>
      <c r="N52" s="16">
        <f t="shared" si="5"/>
        <v>0</v>
      </c>
      <c r="O52" s="6">
        <f t="shared" si="6"/>
        <v>1524776.8862920005</v>
      </c>
      <c r="P52" s="3">
        <f t="shared" si="7"/>
        <v>-2.305502263562742E-3</v>
      </c>
      <c r="Q52" s="3">
        <f t="shared" si="8"/>
        <v>-0.19407707617839265</v>
      </c>
      <c r="R52" s="3">
        <f t="shared" si="9"/>
        <v>-0.38888276046713488</v>
      </c>
      <c r="T52" s="47">
        <f t="shared" si="10"/>
        <v>45362</v>
      </c>
      <c r="U52" s="5">
        <f t="shared" si="11"/>
        <v>49</v>
      </c>
      <c r="V52" s="1" t="s">
        <v>457</v>
      </c>
      <c r="W52" s="1" t="s">
        <v>459</v>
      </c>
      <c r="X52" s="1" t="s">
        <v>458</v>
      </c>
    </row>
    <row r="53" spans="2:28" x14ac:dyDescent="0.4">
      <c r="B53" s="47">
        <f t="shared" si="73"/>
        <v>45369</v>
      </c>
      <c r="C53" s="5">
        <f t="shared" si="74"/>
        <v>50</v>
      </c>
      <c r="D53" s="6">
        <f t="array" ref="D53">SUM((Blotter!C$19:C$1013=C53)*(Blotter!N$19:N$1013)*1)</f>
        <v>0</v>
      </c>
      <c r="E53" s="6">
        <f t="array" ref="E53">SUM((Blotter!B$19:C$1013=C53)*(Blotter!R$19:R$1013)*1)</f>
        <v>0</v>
      </c>
      <c r="F53" s="30">
        <f t="shared" ref="F53:F55" si="90">IF(ISNUMBER(D53/E53),D53/E53,0)</f>
        <v>0</v>
      </c>
      <c r="G53" s="43" t="str">
        <f t="array" ref="G53">IF(SUM((Blotter!C$19:C$1013=PLB!C53)*(Blotter!M$19:M$1013))=0,"C","O")</f>
        <v>C</v>
      </c>
      <c r="H53" s="16">
        <f t="shared" ref="H53:H55" si="91">J52+D53</f>
        <v>1524776.8862920005</v>
      </c>
      <c r="I53" s="16"/>
      <c r="J53" s="16">
        <f t="shared" ref="J53:J55" si="92">H53+I53</f>
        <v>1524776.8862920005</v>
      </c>
      <c r="K53" s="3">
        <f t="shared" ref="K53:K55" si="93">H53/J52-1</f>
        <v>0</v>
      </c>
      <c r="L53" s="3">
        <f t="shared" ref="L53:L55" si="94">(1+K53)*(1+L52)-1</f>
        <v>-0.19407707617839265</v>
      </c>
      <c r="M53" s="6">
        <f t="shared" si="4"/>
        <v>1524776.8862920005</v>
      </c>
      <c r="N53" s="16">
        <f t="shared" si="5"/>
        <v>0</v>
      </c>
      <c r="O53" s="6">
        <f t="shared" si="6"/>
        <v>1524776.8862920005</v>
      </c>
      <c r="P53" s="3">
        <f t="shared" si="7"/>
        <v>0</v>
      </c>
      <c r="Q53" s="3">
        <f t="shared" si="8"/>
        <v>-0.19407707617839265</v>
      </c>
      <c r="R53" s="3">
        <f t="shared" si="9"/>
        <v>-0.39499393286246354</v>
      </c>
      <c r="T53" s="47">
        <f t="shared" si="10"/>
        <v>45369</v>
      </c>
      <c r="U53" s="5">
        <f t="shared" si="11"/>
        <v>50</v>
      </c>
    </row>
    <row r="54" spans="2:28" x14ac:dyDescent="0.4">
      <c r="B54" s="47">
        <f t="shared" si="73"/>
        <v>45376</v>
      </c>
      <c r="C54" s="5">
        <f t="shared" si="74"/>
        <v>51</v>
      </c>
      <c r="D54" s="6">
        <f t="array" ref="D54">SUM((Blotter!C$19:C$1013=C54)*(Blotter!N$19:N$1013)*1)</f>
        <v>0</v>
      </c>
      <c r="E54" s="6">
        <f t="array" ref="E54">SUM((Blotter!B$19:C$1013=C54)*(Blotter!R$19:R$1013)*1)</f>
        <v>0</v>
      </c>
      <c r="F54" s="30">
        <f t="shared" si="90"/>
        <v>0</v>
      </c>
      <c r="G54" s="43" t="str">
        <f t="array" ref="G54">IF(SUM((Blotter!C$19:C$1013=PLB!C54)*(Blotter!M$19:M$1013))=0,"C","O")</f>
        <v>C</v>
      </c>
      <c r="H54" s="16">
        <f t="shared" si="91"/>
        <v>1524776.8862920005</v>
      </c>
      <c r="I54" s="16"/>
      <c r="J54" s="16">
        <f t="shared" si="92"/>
        <v>1524776.8862920005</v>
      </c>
      <c r="K54" s="3">
        <f t="shared" si="93"/>
        <v>0</v>
      </c>
      <c r="L54" s="3">
        <f t="shared" si="94"/>
        <v>-0.19407707617839265</v>
      </c>
      <c r="M54" s="6">
        <f t="shared" si="4"/>
        <v>1524776.8862920005</v>
      </c>
      <c r="N54" s="16">
        <f t="shared" si="5"/>
        <v>0</v>
      </c>
      <c r="O54" s="6">
        <f t="shared" si="6"/>
        <v>1524776.8862920005</v>
      </c>
      <c r="P54" s="3">
        <f t="shared" si="7"/>
        <v>0</v>
      </c>
      <c r="Q54" s="3">
        <f t="shared" si="8"/>
        <v>-0.19407707617839265</v>
      </c>
      <c r="R54" s="3">
        <f t="shared" si="9"/>
        <v>-0.40104399353383891</v>
      </c>
      <c r="T54" s="47">
        <f t="shared" si="10"/>
        <v>45376</v>
      </c>
      <c r="U54" s="5">
        <f t="shared" si="11"/>
        <v>51</v>
      </c>
    </row>
    <row r="55" spans="2:28" x14ac:dyDescent="0.4">
      <c r="B55" s="47">
        <f t="shared" ref="B55:B59" si="95">B54+7</f>
        <v>45383</v>
      </c>
      <c r="C55" s="5">
        <f t="shared" ref="C55:C59" si="96">C54+1</f>
        <v>52</v>
      </c>
      <c r="D55" s="6">
        <f t="array" ref="D55">SUM((Blotter!C$19:C$1013=C55)*(Blotter!N$19:N$1013)*1)</f>
        <v>0</v>
      </c>
      <c r="E55" s="6">
        <f t="array" ref="E55">SUM((Blotter!B$19:C$1013=C55)*(Blotter!R$19:R$1013)*1)</f>
        <v>0</v>
      </c>
      <c r="F55" s="30">
        <f t="shared" si="90"/>
        <v>0</v>
      </c>
      <c r="G55" s="43" t="str">
        <f t="array" ref="G55">IF(SUM((Blotter!C$19:C$1013=PLB!C55)*(Blotter!M$19:M$1013))=0,"C","O")</f>
        <v>C</v>
      </c>
      <c r="H55" s="16">
        <f t="shared" si="91"/>
        <v>1524776.8862920005</v>
      </c>
      <c r="I55" s="16"/>
      <c r="J55" s="16">
        <f t="shared" si="92"/>
        <v>1524776.8862920005</v>
      </c>
      <c r="K55" s="3">
        <f t="shared" si="93"/>
        <v>0</v>
      </c>
      <c r="L55" s="3">
        <f t="shared" si="94"/>
        <v>-0.19407707617839265</v>
      </c>
      <c r="M55" s="6">
        <f t="shared" si="4"/>
        <v>1524776.8862920005</v>
      </c>
      <c r="N55" s="16">
        <f t="shared" si="5"/>
        <v>0</v>
      </c>
      <c r="O55" s="6">
        <f t="shared" si="6"/>
        <v>1524776.8862920005</v>
      </c>
      <c r="P55" s="3">
        <f t="shared" si="7"/>
        <v>0</v>
      </c>
      <c r="Q55" s="3">
        <f t="shared" si="8"/>
        <v>-0.19407707617839265</v>
      </c>
      <c r="R55" s="3">
        <f t="shared" si="9"/>
        <v>-0.40703355359850057</v>
      </c>
      <c r="T55" s="47">
        <f t="shared" si="10"/>
        <v>45383</v>
      </c>
      <c r="U55" s="5">
        <f t="shared" si="11"/>
        <v>52</v>
      </c>
    </row>
    <row r="56" spans="2:28" x14ac:dyDescent="0.4">
      <c r="B56" s="47">
        <f t="shared" si="95"/>
        <v>45390</v>
      </c>
      <c r="C56" s="5">
        <f t="shared" si="96"/>
        <v>53</v>
      </c>
      <c r="D56" s="6">
        <f t="array" ref="D56">SUM((Blotter!C$19:C$1013=C56)*(Blotter!N$19:N$1013)*1)</f>
        <v>4446.6000000000004</v>
      </c>
      <c r="E56" s="6">
        <f t="array" ref="E56">SUM((Blotter!B$19:C$1013=C56)*(Blotter!R$19:R$1013)*1)</f>
        <v>-14880</v>
      </c>
      <c r="F56" s="30">
        <f t="shared" ref="F56" si="97">IF(ISNUMBER(D56/E56),D56/E56,0)</f>
        <v>-0.29883064516129032</v>
      </c>
      <c r="G56" s="43" t="str">
        <f t="array" ref="G56">IF(SUM((Blotter!C$19:C$1013=PLB!C56)*(Blotter!M$19:M$1013))=0,"C","O")</f>
        <v>C</v>
      </c>
      <c r="H56" s="16">
        <f t="shared" ref="H56" si="98">J55+D56</f>
        <v>1529223.4862920006</v>
      </c>
      <c r="I56" s="16"/>
      <c r="J56" s="16">
        <f t="shared" ref="J56" si="99">H56+I56</f>
        <v>1529223.4862920006</v>
      </c>
      <c r="K56" s="3">
        <f t="shared" ref="K56" si="100">H56/J55-1</f>
        <v>2.9162299349996257E-3</v>
      </c>
      <c r="L56" s="3">
        <f t="shared" ref="L56" si="101">(1+K56)*(1+L55)-1</f>
        <v>-0.19172681962264171</v>
      </c>
      <c r="M56" s="6">
        <f t="shared" ref="M56" si="102">O55-IF(G56="O",O55*1%,-D56)</f>
        <v>1529223.4862920006</v>
      </c>
      <c r="N56" s="16">
        <f t="shared" ref="N56" si="103">I56</f>
        <v>0</v>
      </c>
      <c r="O56" s="6">
        <f t="shared" ref="O56" si="104">M56+N56</f>
        <v>1529223.4862920006</v>
      </c>
      <c r="P56" s="3">
        <f t="shared" ref="P56" si="105">M56/O55-1</f>
        <v>2.9162299349996257E-3</v>
      </c>
      <c r="Q56" s="3">
        <f t="shared" ref="Q56" si="106">(1+P56)*(1+Q55)-1</f>
        <v>-0.19172681962264171</v>
      </c>
      <c r="R56" s="3">
        <f t="shared" si="9"/>
        <v>-0.41296321806251557</v>
      </c>
      <c r="T56" s="47">
        <f t="shared" ref="T56" si="107">B56</f>
        <v>45390</v>
      </c>
      <c r="U56" s="5">
        <f t="shared" ref="U56" si="108">C56</f>
        <v>53</v>
      </c>
      <c r="V56" s="1" t="s">
        <v>463</v>
      </c>
      <c r="W56" s="1" t="s">
        <v>464</v>
      </c>
      <c r="X56" s="1" t="s">
        <v>465</v>
      </c>
    </row>
    <row r="57" spans="2:28" x14ac:dyDescent="0.4">
      <c r="B57" s="47">
        <f t="shared" si="95"/>
        <v>45397</v>
      </c>
      <c r="C57" s="5">
        <f t="shared" si="96"/>
        <v>54</v>
      </c>
      <c r="D57" s="6">
        <f t="array" ref="D57">SUM((Blotter!C$19:C$1013=C57)*(Blotter!N$19:N$1013)*1)</f>
        <v>0</v>
      </c>
      <c r="E57" s="6">
        <f t="array" ref="E57">SUM((Blotter!B$19:C$1013=C57)*(Blotter!R$19:R$1013)*1)</f>
        <v>0</v>
      </c>
      <c r="F57" s="30">
        <f t="shared" ref="F57" si="109">IF(ISNUMBER(D57/E57),D57/E57,0)</f>
        <v>0</v>
      </c>
      <c r="G57" s="43" t="str">
        <f t="array" ref="G57">IF(SUM((Blotter!C$19:C$1013=PLB!C57)*(Blotter!M$19:M$1013))=0,"C","O")</f>
        <v>C</v>
      </c>
      <c r="H57" s="16">
        <f t="shared" ref="H57" si="110">J56+D57</f>
        <v>1529223.4862920006</v>
      </c>
      <c r="I57" s="16"/>
      <c r="J57" s="16">
        <f t="shared" ref="J57" si="111">H57+I57</f>
        <v>1529223.4862920006</v>
      </c>
      <c r="K57" s="3">
        <f t="shared" ref="K57" si="112">H57/J56-1</f>
        <v>0</v>
      </c>
      <c r="L57" s="3">
        <f t="shared" ref="L57" si="113">(1+K57)*(1+L56)-1</f>
        <v>-0.19172681962264171</v>
      </c>
      <c r="M57" s="6">
        <f t="shared" ref="M57" si="114">O56-IF(G57="O",O56*1%,-D57)</f>
        <v>1529223.4862920006</v>
      </c>
      <c r="N57" s="16">
        <f t="shared" ref="N57" si="115">I57</f>
        <v>0</v>
      </c>
      <c r="O57" s="6">
        <f t="shared" ref="O57" si="116">M57+N57</f>
        <v>1529223.4862920006</v>
      </c>
      <c r="P57" s="3">
        <f t="shared" ref="P57" si="117">M57/O56-1</f>
        <v>0</v>
      </c>
      <c r="Q57" s="3">
        <f t="shared" ref="Q57" si="118">(1+P57)*(1+Q56)-1</f>
        <v>-0.19172681962264171</v>
      </c>
      <c r="R57" s="3">
        <f t="shared" si="9"/>
        <v>-0.41883358588189046</v>
      </c>
      <c r="T57" s="47">
        <f t="shared" ref="T57" si="119">B57</f>
        <v>45397</v>
      </c>
      <c r="U57" s="5">
        <f t="shared" ref="U57" si="120">C57</f>
        <v>54</v>
      </c>
    </row>
    <row r="58" spans="2:28" x14ac:dyDescent="0.4">
      <c r="B58" s="47">
        <f t="shared" si="95"/>
        <v>45404</v>
      </c>
      <c r="C58" s="5">
        <f t="shared" si="96"/>
        <v>55</v>
      </c>
      <c r="D58" s="6">
        <f t="array" ref="D58">SUM((Blotter!C$19:C$1013=C58)*(Blotter!N$19:N$1013)*1)</f>
        <v>0</v>
      </c>
      <c r="E58" s="6">
        <f t="array" ref="E58">SUM((Blotter!B$19:C$1013=C58)*(Blotter!R$19:R$1013)*1)</f>
        <v>0</v>
      </c>
      <c r="F58" s="30">
        <f t="shared" ref="F58" si="121">IF(ISNUMBER(D58/E58),D58/E58,0)</f>
        <v>0</v>
      </c>
      <c r="G58" s="43" t="str">
        <f t="array" ref="G58">IF(SUM((Blotter!C$19:C$1013=PLB!C58)*(Blotter!M$19:M$1013))=0,"C","O")</f>
        <v>C</v>
      </c>
      <c r="H58" s="16">
        <f t="shared" ref="H58" si="122">J57+D58</f>
        <v>1529223.4862920006</v>
      </c>
      <c r="I58" s="16"/>
      <c r="J58" s="16">
        <f t="shared" ref="J58" si="123">H58+I58</f>
        <v>1529223.4862920006</v>
      </c>
      <c r="K58" s="3">
        <f t="shared" ref="K58" si="124">H58/J57-1</f>
        <v>0</v>
      </c>
      <c r="L58" s="3">
        <f t="shared" ref="L58" si="125">(1+K58)*(1+L57)-1</f>
        <v>-0.19172681962264171</v>
      </c>
      <c r="M58" s="6">
        <f t="shared" ref="M58" si="126">O57-IF(G58="O",O57*1%,-D58)</f>
        <v>1529223.4862920006</v>
      </c>
      <c r="N58" s="16">
        <f t="shared" ref="N58" si="127">I58</f>
        <v>0</v>
      </c>
      <c r="O58" s="6">
        <f t="shared" ref="O58" si="128">M58+N58</f>
        <v>1529223.4862920006</v>
      </c>
      <c r="P58" s="3">
        <f t="shared" ref="P58" si="129">M58/O57-1</f>
        <v>0</v>
      </c>
      <c r="Q58" s="3">
        <f t="shared" ref="Q58" si="130">(1+P58)*(1+Q57)-1</f>
        <v>-0.19172681962264171</v>
      </c>
      <c r="R58" s="3">
        <f t="shared" si="9"/>
        <v>-0.42464525002307152</v>
      </c>
      <c r="T58" s="47">
        <f t="shared" ref="T58" si="131">B58</f>
        <v>45404</v>
      </c>
      <c r="U58" s="5">
        <f t="shared" ref="U58" si="132">C58</f>
        <v>55</v>
      </c>
    </row>
    <row r="59" spans="2:28" x14ac:dyDescent="0.4">
      <c r="B59" s="47">
        <f t="shared" si="95"/>
        <v>45411</v>
      </c>
      <c r="C59" s="5">
        <f t="shared" si="96"/>
        <v>56</v>
      </c>
      <c r="D59" s="6">
        <f t="array" ref="D59">SUM((Blotter!C$19:C$1013=C59)*(Blotter!N$19:N$1013)*1)</f>
        <v>-58467.3</v>
      </c>
      <c r="E59" s="6">
        <f t="array" ref="E59">SUM((Blotter!B$19:C$1013=C59)*(Blotter!R$19:R$1013)*1)</f>
        <v>20000</v>
      </c>
      <c r="F59" s="30">
        <f t="shared" ref="F59" si="133">IF(ISNUMBER(D59/E59),D59/E59,0)</f>
        <v>-2.923365</v>
      </c>
      <c r="G59" s="43" t="str">
        <f t="array" ref="G59">IF(SUM((Blotter!C$19:C$1013=PLB!C59)*(Blotter!M$19:M$1013))=0,"C","O")</f>
        <v>C</v>
      </c>
      <c r="H59" s="16">
        <f t="shared" ref="H59" si="134">J58+D59</f>
        <v>1470756.1862920006</v>
      </c>
      <c r="I59" s="16"/>
      <c r="J59" s="16">
        <f t="shared" ref="J59" si="135">H59+I59</f>
        <v>1470756.1862920006</v>
      </c>
      <c r="K59" s="3">
        <f t="shared" ref="K59" si="136">H59/J58-1</f>
        <v>-3.823332594882467E-2</v>
      </c>
      <c r="L59" s="3">
        <f t="shared" ref="L59" si="137">(1+K59)*(1+L58)-1</f>
        <v>-0.22262979158370244</v>
      </c>
      <c r="M59" s="6">
        <f t="shared" ref="M59" si="138">O58-IF(G59="O",O58*1%,-D59)</f>
        <v>1470756.1862920006</v>
      </c>
      <c r="N59" s="16">
        <f t="shared" ref="N59" si="139">I59</f>
        <v>0</v>
      </c>
      <c r="O59" s="6">
        <f t="shared" ref="O59" si="140">M59+N59</f>
        <v>1470756.1862920006</v>
      </c>
      <c r="P59" s="3">
        <f t="shared" ref="P59" si="141">M59/O58-1</f>
        <v>-3.823332594882467E-2</v>
      </c>
      <c r="Q59" s="3">
        <f t="shared" ref="Q59" si="142">(1+P59)*(1+Q58)-1</f>
        <v>-0.22262979158370244</v>
      </c>
      <c r="R59" s="3">
        <f t="shared" si="9"/>
        <v>-0.43039879752284083</v>
      </c>
      <c r="T59" s="47">
        <f t="shared" ref="T59" si="143">B59</f>
        <v>45411</v>
      </c>
      <c r="U59" s="5">
        <f t="shared" ref="U59" si="144">C59</f>
        <v>56</v>
      </c>
      <c r="V59" s="1" t="s">
        <v>473</v>
      </c>
      <c r="W59" s="1" t="s">
        <v>476</v>
      </c>
      <c r="X59" s="1" t="s">
        <v>477</v>
      </c>
    </row>
    <row r="60" spans="2:28" x14ac:dyDescent="0.4">
      <c r="B60" s="47"/>
      <c r="C60" s="5"/>
      <c r="D60" s="6"/>
      <c r="E60" s="6"/>
      <c r="F60" s="30"/>
      <c r="G60" s="43"/>
      <c r="H60" s="16"/>
      <c r="I60" s="16"/>
      <c r="J60" s="16"/>
      <c r="K60" s="3"/>
      <c r="L60" s="3"/>
      <c r="M60" s="6"/>
      <c r="N60" s="16"/>
      <c r="O60" s="6"/>
      <c r="P60" s="3"/>
      <c r="Q60" s="3"/>
      <c r="R60" s="3"/>
      <c r="T60" s="47"/>
      <c r="U60" s="5"/>
    </row>
  </sheetData>
  <pageMargins left="0.23622047244094491" right="0.23622047244094491" top="0.74803149606299213" bottom="0.74803149606299213" header="0.31496062992125984" footer="0.31496062992125984"/>
  <pageSetup paperSize="9" scale="60" orientation="landscape" r:id="rId1"/>
  <colBreaks count="2" manualBreakCount="2">
    <brk id="19" max="54" man="1"/>
    <brk id="24" max="4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B25B-F7BD-43F1-9E75-AF200A7D853D}">
  <sheetPr>
    <pageSetUpPr fitToPage="1"/>
  </sheetPr>
  <dimension ref="A1"/>
  <sheetViews>
    <sheetView showGridLines="0" zoomScale="90" zoomScaleNormal="90" workbookViewId="0">
      <selection activeCell="B1" sqref="B1"/>
    </sheetView>
  </sheetViews>
  <sheetFormatPr defaultRowHeight="13.15" x14ac:dyDescent="0.4"/>
  <cols>
    <col min="1" max="16384" width="9.06640625" style="1"/>
  </cols>
  <sheetData/>
  <pageMargins left="0.23622047244094491" right="0.23622047244094491" top="0.74803149606299213" bottom="0.74803149606299213" header="0.31496062992125984" footer="0.31496062992125984"/>
  <pageSetup paperSize="9" scale="7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0B21-091C-4007-AD49-B9DC477FBC57}">
  <dimension ref="B2:R42"/>
  <sheetViews>
    <sheetView showGridLines="0" topLeftCell="A15" zoomScale="90" zoomScaleNormal="90" workbookViewId="0">
      <selection activeCell="H31" sqref="H31"/>
    </sheetView>
  </sheetViews>
  <sheetFormatPr defaultRowHeight="13.15" x14ac:dyDescent="0.4"/>
  <cols>
    <col min="1" max="1" width="5.6640625" style="1" customWidth="1"/>
    <col min="2" max="6" width="9.06640625" style="1"/>
    <col min="7" max="7" width="11.06640625" style="1" bestFit="1" customWidth="1"/>
    <col min="8" max="10" width="9.06640625" style="1"/>
    <col min="11" max="11" width="11.796875" style="1" bestFit="1" customWidth="1"/>
    <col min="12" max="12" width="15.53125" style="1" bestFit="1" customWidth="1"/>
    <col min="13" max="13" width="9.06640625" style="1"/>
    <col min="14" max="14" width="13.33203125" style="1" bestFit="1" customWidth="1"/>
    <col min="15" max="16384" width="9.06640625" style="1"/>
  </cols>
  <sheetData>
    <row r="2" spans="2:18" x14ac:dyDescent="0.4">
      <c r="B2" s="2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291</v>
      </c>
      <c r="H2" s="4" t="s">
        <v>18</v>
      </c>
      <c r="I2" s="4" t="s">
        <v>290</v>
      </c>
      <c r="J2" s="4" t="s">
        <v>159</v>
      </c>
      <c r="K2" s="4" t="s">
        <v>454</v>
      </c>
      <c r="L2" s="4" t="s">
        <v>455</v>
      </c>
      <c r="N2" s="4" t="s">
        <v>19</v>
      </c>
      <c r="O2" s="4" t="s">
        <v>20</v>
      </c>
      <c r="P2" s="4" t="s">
        <v>16</v>
      </c>
      <c r="Q2" s="4" t="s">
        <v>15</v>
      </c>
      <c r="R2" s="4" t="s">
        <v>17</v>
      </c>
    </row>
    <row r="3" spans="2:18" x14ac:dyDescent="0.4">
      <c r="B3" s="17" t="s">
        <v>4</v>
      </c>
      <c r="C3" s="18">
        <v>100</v>
      </c>
      <c r="D3" s="19">
        <v>42</v>
      </c>
      <c r="E3" s="20">
        <f>$Q$3</f>
        <v>1.5</v>
      </c>
      <c r="F3" s="21">
        <f>$P$3</f>
        <v>1000000</v>
      </c>
      <c r="G3" s="22">
        <f>$R$3</f>
        <v>0.01</v>
      </c>
      <c r="H3" s="23">
        <f t="shared" ref="H3:H36" si="0">(F3*G3)/(C3*D3*E3)</f>
        <v>1.5873015873015872</v>
      </c>
      <c r="I3" s="70">
        <f>ROUND(H3*1.33,0)</f>
        <v>2</v>
      </c>
      <c r="J3" s="70"/>
      <c r="K3" s="70"/>
      <c r="L3" s="70"/>
      <c r="N3" s="18">
        <v>1000000</v>
      </c>
      <c r="O3" s="19">
        <v>1</v>
      </c>
      <c r="P3" s="21">
        <f>N3*O3</f>
        <v>1000000</v>
      </c>
      <c r="Q3" s="24">
        <v>1.5</v>
      </c>
      <c r="R3" s="25">
        <v>0.01</v>
      </c>
    </row>
    <row r="4" spans="2:18" x14ac:dyDescent="0.4">
      <c r="B4" s="17" t="s">
        <v>21</v>
      </c>
      <c r="C4" s="18">
        <v>50</v>
      </c>
      <c r="D4" s="19">
        <v>50.57</v>
      </c>
      <c r="E4" s="20">
        <f t="shared" ref="E4:E42" si="1">$Q$3</f>
        <v>1.5</v>
      </c>
      <c r="F4" s="21">
        <f t="shared" ref="F4:F42" si="2">$P$3</f>
        <v>1000000</v>
      </c>
      <c r="G4" s="22">
        <f t="shared" ref="G4:G42" si="3">$R$3</f>
        <v>0.01</v>
      </c>
      <c r="H4" s="23">
        <f t="shared" si="0"/>
        <v>2.6366093204139478</v>
      </c>
      <c r="I4" s="70">
        <f t="shared" ref="I4:I37" si="4">ROUND(H4*1.5,0)</f>
        <v>4</v>
      </c>
      <c r="J4" s="18">
        <v>5237</v>
      </c>
      <c r="K4" s="3">
        <f>J4*H4*C4/$N$3</f>
        <v>0.69039615055039227</v>
      </c>
      <c r="L4" s="3">
        <f>J4*I4*C4/$N$3</f>
        <v>1.0474000000000001</v>
      </c>
    </row>
    <row r="5" spans="2:18" x14ac:dyDescent="0.4">
      <c r="B5" s="17" t="s">
        <v>22</v>
      </c>
      <c r="C5" s="18">
        <v>20</v>
      </c>
      <c r="D5" s="19">
        <v>248</v>
      </c>
      <c r="E5" s="20">
        <f t="shared" si="1"/>
        <v>1.5</v>
      </c>
      <c r="F5" s="21">
        <f t="shared" si="2"/>
        <v>1000000</v>
      </c>
      <c r="G5" s="22">
        <f t="shared" si="3"/>
        <v>0.01</v>
      </c>
      <c r="H5" s="23">
        <f t="shared" si="0"/>
        <v>1.3440860215053763</v>
      </c>
      <c r="I5" s="70">
        <f t="shared" si="4"/>
        <v>2</v>
      </c>
      <c r="J5" s="18">
        <v>18320</v>
      </c>
      <c r="K5" s="3">
        <f>J5*H5*C5/$N$3</f>
        <v>0.49247311827956985</v>
      </c>
      <c r="L5" s="3">
        <f>J5*I5*C5/$N$3</f>
        <v>0.73280000000000001</v>
      </c>
    </row>
    <row r="6" spans="2:18" x14ac:dyDescent="0.4">
      <c r="B6" s="17" t="s">
        <v>23</v>
      </c>
      <c r="C6" s="18">
        <v>50</v>
      </c>
      <c r="D6" s="19">
        <v>44.2</v>
      </c>
      <c r="E6" s="20">
        <f t="shared" si="1"/>
        <v>1.5</v>
      </c>
      <c r="F6" s="21">
        <f t="shared" si="2"/>
        <v>1000000</v>
      </c>
      <c r="G6" s="22">
        <f t="shared" si="3"/>
        <v>0.01</v>
      </c>
      <c r="H6" s="23">
        <f t="shared" si="0"/>
        <v>3.0165912518853695</v>
      </c>
      <c r="I6" s="70">
        <f t="shared" si="4"/>
        <v>5</v>
      </c>
      <c r="J6" s="70"/>
      <c r="K6" s="70"/>
      <c r="L6" s="70"/>
    </row>
    <row r="7" spans="2:18" x14ac:dyDescent="0.4">
      <c r="B7" s="17" t="s">
        <v>24</v>
      </c>
      <c r="C7" s="18">
        <v>1000</v>
      </c>
      <c r="D7" s="19">
        <v>2.41</v>
      </c>
      <c r="E7" s="20">
        <f t="shared" si="1"/>
        <v>1.5</v>
      </c>
      <c r="F7" s="21">
        <f t="shared" si="2"/>
        <v>1000000</v>
      </c>
      <c r="G7" s="22">
        <f t="shared" si="3"/>
        <v>0.01</v>
      </c>
      <c r="H7" s="23">
        <f t="shared" si="0"/>
        <v>2.7662517289073305</v>
      </c>
      <c r="I7" s="70">
        <f t="shared" si="4"/>
        <v>4</v>
      </c>
      <c r="J7" s="18">
        <v>82</v>
      </c>
      <c r="K7" s="3">
        <f>J7*H7*C7/$N$3</f>
        <v>0.22683264177040111</v>
      </c>
      <c r="L7" s="3">
        <f>J7*I7*C7/$N$3</f>
        <v>0.32800000000000001</v>
      </c>
    </row>
    <row r="8" spans="2:18" x14ac:dyDescent="0.4">
      <c r="B8" s="17" t="s">
        <v>9</v>
      </c>
      <c r="C8" s="18">
        <v>42000</v>
      </c>
      <c r="D8" s="26">
        <v>7.2499999999999995E-2</v>
      </c>
      <c r="E8" s="20">
        <f t="shared" si="1"/>
        <v>1.5</v>
      </c>
      <c r="F8" s="21">
        <f t="shared" si="2"/>
        <v>1000000</v>
      </c>
      <c r="G8" s="22">
        <f t="shared" si="3"/>
        <v>0.01</v>
      </c>
      <c r="H8" s="23">
        <f t="shared" si="0"/>
        <v>2.1893814997263275</v>
      </c>
      <c r="I8" s="70">
        <f t="shared" si="4"/>
        <v>3</v>
      </c>
      <c r="J8" s="70"/>
      <c r="K8" s="70"/>
      <c r="L8" s="70"/>
      <c r="N8" s="72"/>
    </row>
    <row r="9" spans="2:18" x14ac:dyDescent="0.4">
      <c r="B9" s="17" t="s">
        <v>5</v>
      </c>
      <c r="C9" s="18">
        <v>10000</v>
      </c>
      <c r="D9" s="19">
        <v>0.13200000000000001</v>
      </c>
      <c r="E9" s="20">
        <f t="shared" si="1"/>
        <v>1.5</v>
      </c>
      <c r="F9" s="21">
        <f t="shared" si="2"/>
        <v>1000000</v>
      </c>
      <c r="G9" s="22">
        <f t="shared" si="3"/>
        <v>0.01</v>
      </c>
      <c r="H9" s="23">
        <f t="shared" si="0"/>
        <v>5.0505050505050502</v>
      </c>
      <c r="I9" s="70">
        <f t="shared" si="4"/>
        <v>8</v>
      </c>
      <c r="J9" s="70"/>
      <c r="K9" s="70"/>
      <c r="L9" s="70"/>
    </row>
    <row r="10" spans="2:18" x14ac:dyDescent="0.4">
      <c r="B10" s="17" t="s">
        <v>25</v>
      </c>
      <c r="C10" s="18">
        <v>25000</v>
      </c>
      <c r="D10" s="19">
        <v>7.0800000000000002E-2</v>
      </c>
      <c r="E10" s="20">
        <f t="shared" si="1"/>
        <v>1.5</v>
      </c>
      <c r="F10" s="21">
        <f t="shared" si="2"/>
        <v>1000000</v>
      </c>
      <c r="G10" s="22">
        <f t="shared" si="3"/>
        <v>0.01</v>
      </c>
      <c r="H10" s="23">
        <f t="shared" si="0"/>
        <v>3.766478342749529</v>
      </c>
      <c r="I10" s="70">
        <f t="shared" si="4"/>
        <v>6</v>
      </c>
      <c r="J10" s="18">
        <v>4.03</v>
      </c>
      <c r="K10" s="3">
        <f>J10*H10*C10/$N$3</f>
        <v>0.37947269303201503</v>
      </c>
      <c r="L10" s="3">
        <f>J10*I10*C10/$N$3</f>
        <v>0.60450000000000004</v>
      </c>
    </row>
    <row r="11" spans="2:18" x14ac:dyDescent="0.4">
      <c r="B11" s="17" t="s">
        <v>26</v>
      </c>
      <c r="C11" s="18">
        <v>100</v>
      </c>
      <c r="D11" s="19">
        <v>28.4</v>
      </c>
      <c r="E11" s="20">
        <f t="shared" si="1"/>
        <v>1.5</v>
      </c>
      <c r="F11" s="21">
        <f t="shared" si="2"/>
        <v>1000000</v>
      </c>
      <c r="G11" s="22">
        <f t="shared" si="3"/>
        <v>0.01</v>
      </c>
      <c r="H11" s="23">
        <f t="shared" si="0"/>
        <v>2.347417840375587</v>
      </c>
      <c r="I11" s="70">
        <f t="shared" si="4"/>
        <v>4</v>
      </c>
      <c r="J11" s="70"/>
      <c r="K11" s="70"/>
      <c r="L11" s="70"/>
    </row>
    <row r="12" spans="2:18" x14ac:dyDescent="0.4">
      <c r="B12" s="17" t="s">
        <v>27</v>
      </c>
      <c r="C12" s="18">
        <v>5000</v>
      </c>
      <c r="D12" s="19">
        <v>0.82499999999999996</v>
      </c>
      <c r="E12" s="20">
        <f t="shared" si="1"/>
        <v>1.5</v>
      </c>
      <c r="F12" s="21">
        <f t="shared" si="2"/>
        <v>1000000</v>
      </c>
      <c r="G12" s="22">
        <f t="shared" si="3"/>
        <v>0.01</v>
      </c>
      <c r="H12" s="23">
        <f t="shared" si="0"/>
        <v>1.6161616161616161</v>
      </c>
      <c r="I12" s="70">
        <f t="shared" si="4"/>
        <v>2</v>
      </c>
      <c r="J12" s="18">
        <v>25</v>
      </c>
      <c r="K12" s="3">
        <f>J12*H12*C12/$N$3</f>
        <v>0.20202020202020202</v>
      </c>
      <c r="L12" s="3">
        <f>J12*I12*C12/$N$3</f>
        <v>0.25</v>
      </c>
    </row>
    <row r="13" spans="2:18" x14ac:dyDescent="0.4">
      <c r="B13" s="17" t="s">
        <v>28</v>
      </c>
      <c r="C13" s="18">
        <v>50</v>
      </c>
      <c r="D13" s="19">
        <v>8.25</v>
      </c>
      <c r="E13" s="20">
        <f t="shared" si="1"/>
        <v>1.5</v>
      </c>
      <c r="F13" s="21">
        <f t="shared" si="2"/>
        <v>1000000</v>
      </c>
      <c r="G13" s="22">
        <f t="shared" si="3"/>
        <v>0.01</v>
      </c>
      <c r="H13" s="23">
        <f t="shared" si="0"/>
        <v>16.161616161616163</v>
      </c>
      <c r="I13" s="70">
        <f t="shared" si="4"/>
        <v>24</v>
      </c>
      <c r="J13" s="70"/>
      <c r="K13" s="70"/>
      <c r="L13" s="70"/>
    </row>
    <row r="14" spans="2:18" x14ac:dyDescent="0.4">
      <c r="B14" s="17" t="s">
        <v>29</v>
      </c>
      <c r="C14" s="18">
        <v>50</v>
      </c>
      <c r="D14" s="19">
        <v>17.25</v>
      </c>
      <c r="E14" s="20">
        <f t="shared" si="1"/>
        <v>1.5</v>
      </c>
      <c r="F14" s="21">
        <f t="shared" si="2"/>
        <v>1000000</v>
      </c>
      <c r="G14" s="22">
        <f t="shared" si="3"/>
        <v>0.01</v>
      </c>
      <c r="H14" s="23">
        <f t="shared" si="0"/>
        <v>7.7294685990338161</v>
      </c>
      <c r="I14" s="70">
        <f t="shared" si="4"/>
        <v>12</v>
      </c>
      <c r="J14" s="18">
        <v>550</v>
      </c>
      <c r="K14" s="3">
        <f>J14*H14*C14/$N$3</f>
        <v>0.21256038647342995</v>
      </c>
      <c r="L14" s="3">
        <f>J14*I14*C14/$N$3</f>
        <v>0.33</v>
      </c>
    </row>
    <row r="15" spans="2:18" x14ac:dyDescent="0.4">
      <c r="B15" s="17" t="s">
        <v>30</v>
      </c>
      <c r="C15" s="18">
        <v>50</v>
      </c>
      <c r="D15" s="19">
        <v>24.5</v>
      </c>
      <c r="E15" s="20">
        <f t="shared" si="1"/>
        <v>1.5</v>
      </c>
      <c r="F15" s="21">
        <f t="shared" si="2"/>
        <v>1000000</v>
      </c>
      <c r="G15" s="22">
        <f t="shared" si="3"/>
        <v>0.01</v>
      </c>
      <c r="H15" s="23">
        <f t="shared" si="0"/>
        <v>5.4421768707482991</v>
      </c>
      <c r="I15" s="70">
        <f t="shared" si="4"/>
        <v>8</v>
      </c>
      <c r="J15" s="70"/>
      <c r="K15" s="70"/>
      <c r="L15" s="70"/>
    </row>
    <row r="16" spans="2:18" x14ac:dyDescent="0.4">
      <c r="B16" s="17" t="s">
        <v>31</v>
      </c>
      <c r="C16" s="18">
        <v>50</v>
      </c>
      <c r="D16" s="19">
        <v>19.75</v>
      </c>
      <c r="E16" s="20">
        <f t="shared" si="1"/>
        <v>1.5</v>
      </c>
      <c r="F16" s="21">
        <f t="shared" si="2"/>
        <v>1000000</v>
      </c>
      <c r="G16" s="22">
        <f t="shared" si="3"/>
        <v>0.01</v>
      </c>
      <c r="H16" s="23">
        <f t="shared" si="0"/>
        <v>6.7510548523206753</v>
      </c>
      <c r="I16" s="70">
        <f t="shared" si="4"/>
        <v>10</v>
      </c>
      <c r="J16" s="18">
        <v>1187</v>
      </c>
      <c r="K16" s="3">
        <f>J16*H16*C16/$N$3</f>
        <v>0.40067510548523211</v>
      </c>
      <c r="L16" s="3">
        <f>J16*I16*C16/$N$3</f>
        <v>0.59350000000000003</v>
      </c>
    </row>
    <row r="17" spans="2:12" x14ac:dyDescent="0.4">
      <c r="B17" s="17" t="s">
        <v>32</v>
      </c>
      <c r="C17" s="18">
        <v>1120</v>
      </c>
      <c r="D17" s="19">
        <v>0.89</v>
      </c>
      <c r="E17" s="20">
        <f t="shared" si="1"/>
        <v>1.5</v>
      </c>
      <c r="F17" s="21">
        <f t="shared" si="2"/>
        <v>1000000</v>
      </c>
      <c r="G17" s="22">
        <f t="shared" si="3"/>
        <v>0.01</v>
      </c>
      <c r="H17" s="23">
        <f t="shared" si="0"/>
        <v>6.6880684858212947</v>
      </c>
      <c r="I17" s="70">
        <f t="shared" si="4"/>
        <v>10</v>
      </c>
      <c r="J17" s="70"/>
      <c r="K17" s="70"/>
      <c r="L17" s="70"/>
    </row>
    <row r="18" spans="2:12" x14ac:dyDescent="0.4">
      <c r="B18" s="17" t="s">
        <v>33</v>
      </c>
      <c r="C18" s="18">
        <v>375</v>
      </c>
      <c r="D18" s="19">
        <v>5.38</v>
      </c>
      <c r="E18" s="20">
        <f t="shared" si="1"/>
        <v>1.5</v>
      </c>
      <c r="F18" s="21">
        <f t="shared" si="2"/>
        <v>1000000</v>
      </c>
      <c r="G18" s="22">
        <f t="shared" si="3"/>
        <v>0.01</v>
      </c>
      <c r="H18" s="23">
        <f t="shared" si="0"/>
        <v>3.3044196612969845</v>
      </c>
      <c r="I18" s="70">
        <f t="shared" si="4"/>
        <v>5</v>
      </c>
      <c r="J18" s="18">
        <v>184</v>
      </c>
      <c r="K18" s="3">
        <f>J18*H18*C18/$N$3</f>
        <v>0.22800495662949191</v>
      </c>
      <c r="L18" s="3">
        <f>J18*I18*C18/$N$3</f>
        <v>0.34499999999999997</v>
      </c>
    </row>
    <row r="19" spans="2:12" x14ac:dyDescent="0.4">
      <c r="B19" s="17" t="s">
        <v>34</v>
      </c>
      <c r="C19" s="18">
        <v>10</v>
      </c>
      <c r="D19" s="19">
        <v>400</v>
      </c>
      <c r="E19" s="20">
        <f t="shared" si="1"/>
        <v>1.5</v>
      </c>
      <c r="F19" s="21">
        <f t="shared" si="2"/>
        <v>1000000</v>
      </c>
      <c r="G19" s="22">
        <f t="shared" si="3"/>
        <v>0.01</v>
      </c>
      <c r="H19" s="23">
        <f t="shared" si="0"/>
        <v>1.6666666666666667</v>
      </c>
      <c r="I19" s="70">
        <f t="shared" si="4"/>
        <v>3</v>
      </c>
      <c r="J19" s="18">
        <v>8300</v>
      </c>
      <c r="K19" s="3">
        <f>J19*H19*C19/$N$3</f>
        <v>0.13833333333333334</v>
      </c>
      <c r="L19" s="3">
        <f>J19*I19*C19/$N$3</f>
        <v>0.249</v>
      </c>
    </row>
    <row r="20" spans="2:12" x14ac:dyDescent="0.4">
      <c r="B20" s="17" t="s">
        <v>101</v>
      </c>
      <c r="C20" s="18">
        <v>500</v>
      </c>
      <c r="D20" s="19">
        <v>3.01</v>
      </c>
      <c r="E20" s="20">
        <f t="shared" si="1"/>
        <v>1.5</v>
      </c>
      <c r="F20" s="21">
        <f t="shared" si="2"/>
        <v>1000000</v>
      </c>
      <c r="G20" s="22">
        <f t="shared" si="3"/>
        <v>0.01</v>
      </c>
      <c r="H20" s="23">
        <f t="shared" ref="H20" si="5">(F20*G20)/(C20*D20*E20)</f>
        <v>4.4296788482834994</v>
      </c>
      <c r="I20" s="70">
        <f t="shared" si="4"/>
        <v>7</v>
      </c>
      <c r="J20" s="18">
        <v>94</v>
      </c>
      <c r="K20" s="3">
        <f>J20*H20*C20/$N$3</f>
        <v>0.20819490586932449</v>
      </c>
      <c r="L20" s="3">
        <f>J20*I20*C20/$N$3</f>
        <v>0.32900000000000001</v>
      </c>
    </row>
    <row r="21" spans="2:12" x14ac:dyDescent="0.4">
      <c r="B21" s="17" t="s">
        <v>35</v>
      </c>
      <c r="C21" s="18">
        <v>400</v>
      </c>
      <c r="D21" s="19">
        <v>1.0549999999999999</v>
      </c>
      <c r="E21" s="20">
        <f t="shared" si="1"/>
        <v>1.5</v>
      </c>
      <c r="F21" s="21">
        <f t="shared" si="2"/>
        <v>1000000</v>
      </c>
      <c r="G21" s="22">
        <f t="shared" si="3"/>
        <v>0.01</v>
      </c>
      <c r="H21" s="23">
        <f t="shared" si="0"/>
        <v>15.797788309636651</v>
      </c>
      <c r="I21" s="70">
        <f t="shared" si="4"/>
        <v>24</v>
      </c>
      <c r="J21" s="70"/>
      <c r="K21" s="70"/>
      <c r="L21" s="70"/>
    </row>
    <row r="22" spans="2:12" x14ac:dyDescent="0.4">
      <c r="B22" s="17" t="s">
        <v>36</v>
      </c>
      <c r="C22" s="18">
        <v>500</v>
      </c>
      <c r="D22" s="19">
        <v>1.9390000000000001</v>
      </c>
      <c r="E22" s="20">
        <f t="shared" si="1"/>
        <v>1.5</v>
      </c>
      <c r="F22" s="21">
        <f t="shared" si="2"/>
        <v>1000000</v>
      </c>
      <c r="G22" s="22">
        <f t="shared" si="3"/>
        <v>0.01</v>
      </c>
      <c r="H22" s="23">
        <f t="shared" si="0"/>
        <v>6.8763967680935192</v>
      </c>
      <c r="I22" s="70">
        <f t="shared" si="4"/>
        <v>10</v>
      </c>
      <c r="J22" s="70"/>
      <c r="K22" s="70"/>
      <c r="L22" s="70"/>
    </row>
    <row r="23" spans="2:12" x14ac:dyDescent="0.4">
      <c r="B23" s="17" t="s">
        <v>37</v>
      </c>
      <c r="C23" s="18">
        <v>400</v>
      </c>
      <c r="D23" s="19">
        <v>1.579</v>
      </c>
      <c r="E23" s="20">
        <f t="shared" si="1"/>
        <v>1.5</v>
      </c>
      <c r="F23" s="21">
        <f t="shared" si="2"/>
        <v>1000000</v>
      </c>
      <c r="G23" s="22">
        <f t="shared" si="3"/>
        <v>0.01</v>
      </c>
      <c r="H23" s="23">
        <f t="shared" si="0"/>
        <v>10.555203715431707</v>
      </c>
      <c r="I23" s="70">
        <f t="shared" si="4"/>
        <v>16</v>
      </c>
      <c r="J23" s="70"/>
      <c r="K23" s="70"/>
      <c r="L23" s="70"/>
    </row>
    <row r="24" spans="2:12" x14ac:dyDescent="0.4">
      <c r="B24" s="17" t="s">
        <v>38</v>
      </c>
      <c r="C24" s="18">
        <v>1000</v>
      </c>
      <c r="D24" s="19">
        <v>0.84899999999999998</v>
      </c>
      <c r="E24" s="20">
        <f t="shared" si="1"/>
        <v>1.5</v>
      </c>
      <c r="F24" s="21">
        <f t="shared" si="2"/>
        <v>1000000</v>
      </c>
      <c r="G24" s="22">
        <f t="shared" si="3"/>
        <v>0.01</v>
      </c>
      <c r="H24" s="23">
        <f t="shared" si="0"/>
        <v>7.8523753435414214</v>
      </c>
      <c r="I24" s="70">
        <f t="shared" si="4"/>
        <v>12</v>
      </c>
      <c r="J24" s="70"/>
      <c r="K24" s="70"/>
      <c r="L24" s="70"/>
    </row>
    <row r="25" spans="2:12" x14ac:dyDescent="0.4">
      <c r="B25" s="17" t="s">
        <v>39</v>
      </c>
      <c r="C25" s="18">
        <v>100000</v>
      </c>
      <c r="D25" s="26">
        <v>9.1400000000000006E-3</v>
      </c>
      <c r="E25" s="20">
        <f t="shared" si="1"/>
        <v>1.5</v>
      </c>
      <c r="F25" s="21">
        <f t="shared" si="2"/>
        <v>1000000</v>
      </c>
      <c r="G25" s="22">
        <f t="shared" si="3"/>
        <v>0.01</v>
      </c>
      <c r="H25" s="23">
        <f t="shared" si="0"/>
        <v>7.2939460247994168</v>
      </c>
      <c r="I25" s="70">
        <f t="shared" si="4"/>
        <v>11</v>
      </c>
      <c r="J25" s="70"/>
      <c r="K25" s="70"/>
      <c r="L25" s="70"/>
    </row>
    <row r="26" spans="2:12" x14ac:dyDescent="0.4">
      <c r="B26" s="17" t="s">
        <v>40</v>
      </c>
      <c r="C26" s="18">
        <v>62500</v>
      </c>
      <c r="D26" s="26">
        <v>1.24E-2</v>
      </c>
      <c r="E26" s="20">
        <f t="shared" si="1"/>
        <v>1.5</v>
      </c>
      <c r="F26" s="21">
        <f t="shared" si="2"/>
        <v>1000000</v>
      </c>
      <c r="G26" s="22">
        <f t="shared" si="3"/>
        <v>0.01</v>
      </c>
      <c r="H26" s="23">
        <f t="shared" si="0"/>
        <v>8.6021505376344081</v>
      </c>
      <c r="I26" s="70">
        <f t="shared" si="4"/>
        <v>13</v>
      </c>
      <c r="J26" s="70"/>
      <c r="K26" s="70"/>
      <c r="L26" s="70"/>
    </row>
    <row r="27" spans="2:12" x14ac:dyDescent="0.4">
      <c r="B27" s="17" t="s">
        <v>41</v>
      </c>
      <c r="C27" s="18">
        <v>100000</v>
      </c>
      <c r="D27" s="26">
        <v>5.5900000000000004E-3</v>
      </c>
      <c r="E27" s="20">
        <f t="shared" si="1"/>
        <v>1.5</v>
      </c>
      <c r="F27" s="21">
        <f t="shared" si="2"/>
        <v>1000000</v>
      </c>
      <c r="G27" s="22">
        <f t="shared" si="3"/>
        <v>0.01</v>
      </c>
      <c r="H27" s="23">
        <f t="shared" si="0"/>
        <v>11.926058437686345</v>
      </c>
      <c r="I27" s="70">
        <f t="shared" si="4"/>
        <v>18</v>
      </c>
      <c r="J27" s="70"/>
      <c r="K27" s="70"/>
      <c r="L27" s="70"/>
    </row>
    <row r="28" spans="2:12" x14ac:dyDescent="0.4">
      <c r="B28" s="17" t="s">
        <v>42</v>
      </c>
      <c r="C28" s="18">
        <v>125000</v>
      </c>
      <c r="D28" s="26">
        <v>9.5600000000000008E-3</v>
      </c>
      <c r="E28" s="20">
        <f t="shared" si="1"/>
        <v>1.5</v>
      </c>
      <c r="F28" s="21">
        <f t="shared" si="2"/>
        <v>1000000</v>
      </c>
      <c r="G28" s="22">
        <f t="shared" si="3"/>
        <v>0.01</v>
      </c>
      <c r="H28" s="23">
        <f t="shared" si="0"/>
        <v>5.5788005578800561</v>
      </c>
      <c r="I28" s="70">
        <f t="shared" si="4"/>
        <v>8</v>
      </c>
      <c r="J28" s="70"/>
      <c r="K28" s="70"/>
      <c r="L28" s="70"/>
    </row>
    <row r="29" spans="2:12" x14ac:dyDescent="0.4">
      <c r="B29" s="17" t="s">
        <v>43</v>
      </c>
      <c r="C29" s="18">
        <v>12500000</v>
      </c>
      <c r="D29" s="26">
        <v>1.022E-4</v>
      </c>
      <c r="E29" s="20">
        <f t="shared" si="1"/>
        <v>1.5</v>
      </c>
      <c r="F29" s="21">
        <f t="shared" si="2"/>
        <v>1000000</v>
      </c>
      <c r="G29" s="22">
        <f t="shared" si="3"/>
        <v>0.01</v>
      </c>
      <c r="H29" s="23">
        <f t="shared" si="0"/>
        <v>5.2185257664709717</v>
      </c>
      <c r="I29" s="70">
        <f t="shared" si="4"/>
        <v>8</v>
      </c>
      <c r="J29" s="70"/>
      <c r="K29" s="70"/>
      <c r="L29" s="70"/>
    </row>
    <row r="30" spans="2:12" x14ac:dyDescent="0.4">
      <c r="B30" s="17" t="s">
        <v>44</v>
      </c>
      <c r="C30" s="18">
        <v>5</v>
      </c>
      <c r="D30" s="19">
        <v>908</v>
      </c>
      <c r="E30" s="20">
        <f t="shared" si="1"/>
        <v>1.5</v>
      </c>
      <c r="F30" s="21">
        <f t="shared" si="2"/>
        <v>1000000</v>
      </c>
      <c r="G30" s="22">
        <f t="shared" si="3"/>
        <v>0.01</v>
      </c>
      <c r="H30" s="23">
        <f t="shared" si="0"/>
        <v>1.4684287812041117</v>
      </c>
      <c r="I30" s="70">
        <f t="shared" si="4"/>
        <v>2</v>
      </c>
      <c r="J30" s="70"/>
      <c r="K30" s="70"/>
      <c r="L30" s="70"/>
    </row>
    <row r="31" spans="2:12" x14ac:dyDescent="0.4">
      <c r="B31" s="17" t="s">
        <v>45</v>
      </c>
      <c r="C31" s="18">
        <v>50</v>
      </c>
      <c r="D31" s="19">
        <v>140</v>
      </c>
      <c r="E31" s="20">
        <f t="shared" si="1"/>
        <v>1.5</v>
      </c>
      <c r="F31" s="21">
        <f t="shared" si="2"/>
        <v>1000000</v>
      </c>
      <c r="G31" s="22">
        <f t="shared" si="3"/>
        <v>0.01</v>
      </c>
      <c r="H31" s="23">
        <f t="shared" si="0"/>
        <v>0.95238095238095233</v>
      </c>
      <c r="I31" s="70">
        <f t="shared" si="4"/>
        <v>1</v>
      </c>
      <c r="J31" s="70"/>
      <c r="K31" s="70"/>
      <c r="L31" s="70"/>
    </row>
    <row r="32" spans="2:12" x14ac:dyDescent="0.4">
      <c r="B32" s="17" t="s">
        <v>46</v>
      </c>
      <c r="C32" s="18">
        <v>1000</v>
      </c>
      <c r="D32" s="19">
        <f>1+18/32</f>
        <v>1.5625</v>
      </c>
      <c r="E32" s="20">
        <f t="shared" si="1"/>
        <v>1.5</v>
      </c>
      <c r="F32" s="21">
        <f t="shared" si="2"/>
        <v>1000000</v>
      </c>
      <c r="G32" s="22">
        <f t="shared" si="3"/>
        <v>0.01</v>
      </c>
      <c r="H32" s="23">
        <f t="shared" si="0"/>
        <v>4.2666666666666666</v>
      </c>
      <c r="I32" s="70">
        <f t="shared" si="4"/>
        <v>6</v>
      </c>
      <c r="J32" s="70"/>
      <c r="K32" s="70"/>
      <c r="L32" s="70"/>
    </row>
    <row r="33" spans="2:12" x14ac:dyDescent="0.4">
      <c r="B33" s="17" t="s">
        <v>47</v>
      </c>
      <c r="C33" s="18">
        <v>1000</v>
      </c>
      <c r="D33" s="19">
        <v>1.57</v>
      </c>
      <c r="E33" s="20">
        <f t="shared" si="1"/>
        <v>1.5</v>
      </c>
      <c r="F33" s="21">
        <f t="shared" si="2"/>
        <v>1000000</v>
      </c>
      <c r="G33" s="22">
        <f t="shared" si="3"/>
        <v>0.01</v>
      </c>
      <c r="H33" s="23">
        <f t="shared" si="0"/>
        <v>4.2462845010615711</v>
      </c>
      <c r="I33" s="70">
        <f t="shared" si="4"/>
        <v>6</v>
      </c>
      <c r="J33" s="70"/>
      <c r="K33" s="70"/>
      <c r="L33" s="70"/>
    </row>
    <row r="34" spans="2:12" x14ac:dyDescent="0.4">
      <c r="B34" s="17" t="s">
        <v>48</v>
      </c>
      <c r="C34" s="18">
        <v>100</v>
      </c>
      <c r="D34" s="19">
        <v>4.1500000000000004</v>
      </c>
      <c r="E34" s="20">
        <f t="shared" si="1"/>
        <v>1.5</v>
      </c>
      <c r="F34" s="21">
        <f t="shared" si="2"/>
        <v>1000000</v>
      </c>
      <c r="G34" s="22">
        <f t="shared" si="3"/>
        <v>0.01</v>
      </c>
      <c r="H34" s="23">
        <f t="shared" si="0"/>
        <v>16.064257028112447</v>
      </c>
      <c r="I34" s="70">
        <f t="shared" si="4"/>
        <v>24</v>
      </c>
      <c r="J34" s="70"/>
      <c r="K34" s="70"/>
      <c r="L34" s="70"/>
    </row>
    <row r="35" spans="2:12" x14ac:dyDescent="0.4">
      <c r="B35" s="17" t="s">
        <v>49</v>
      </c>
      <c r="C35" s="18">
        <v>100</v>
      </c>
      <c r="D35" s="19">
        <v>9.2899999999999991</v>
      </c>
      <c r="E35" s="20">
        <f t="shared" si="1"/>
        <v>1.5</v>
      </c>
      <c r="F35" s="21">
        <f t="shared" si="2"/>
        <v>1000000</v>
      </c>
      <c r="G35" s="22">
        <f t="shared" si="3"/>
        <v>0.01</v>
      </c>
      <c r="H35" s="23">
        <f t="shared" si="0"/>
        <v>7.1761750986724087</v>
      </c>
      <c r="I35" s="70">
        <f t="shared" si="4"/>
        <v>11</v>
      </c>
      <c r="J35" s="70"/>
      <c r="K35" s="70"/>
      <c r="L35" s="70"/>
    </row>
    <row r="36" spans="2:12" x14ac:dyDescent="0.4">
      <c r="B36" s="17" t="s">
        <v>50</v>
      </c>
      <c r="C36" s="18">
        <v>100</v>
      </c>
      <c r="D36" s="19">
        <v>3.34</v>
      </c>
      <c r="E36" s="20">
        <f t="shared" si="1"/>
        <v>1.5</v>
      </c>
      <c r="F36" s="21">
        <f t="shared" si="2"/>
        <v>1000000</v>
      </c>
      <c r="G36" s="22">
        <f t="shared" si="3"/>
        <v>0.01</v>
      </c>
      <c r="H36" s="23">
        <f t="shared" si="0"/>
        <v>19.960079840319363</v>
      </c>
      <c r="I36" s="70">
        <f t="shared" si="4"/>
        <v>30</v>
      </c>
      <c r="J36" s="70"/>
      <c r="K36" s="70"/>
      <c r="L36" s="70"/>
    </row>
    <row r="37" spans="2:12" x14ac:dyDescent="0.4">
      <c r="B37" s="17" t="s">
        <v>195</v>
      </c>
      <c r="C37" s="18">
        <v>100</v>
      </c>
      <c r="D37" s="19">
        <v>0.3075</v>
      </c>
      <c r="E37" s="20">
        <f t="shared" si="1"/>
        <v>1.5</v>
      </c>
      <c r="F37" s="21">
        <f t="shared" si="2"/>
        <v>1000000</v>
      </c>
      <c r="G37" s="22">
        <f t="shared" si="3"/>
        <v>0.01</v>
      </c>
      <c r="H37" s="23">
        <f t="shared" ref="H37" si="6">(F37*G37)/(C37*D37*E37)</f>
        <v>216.80216802168022</v>
      </c>
      <c r="I37" s="70">
        <f t="shared" si="4"/>
        <v>325</v>
      </c>
      <c r="J37" s="70"/>
      <c r="K37" s="70"/>
      <c r="L37" s="70"/>
    </row>
    <row r="38" spans="2:12" x14ac:dyDescent="0.4">
      <c r="B38" s="17" t="s">
        <v>331</v>
      </c>
      <c r="C38" s="18">
        <v>100</v>
      </c>
      <c r="D38" s="19">
        <v>0.85</v>
      </c>
      <c r="E38" s="20">
        <f t="shared" si="1"/>
        <v>1.5</v>
      </c>
      <c r="F38" s="21">
        <f t="shared" si="2"/>
        <v>1000000</v>
      </c>
      <c r="G38" s="22">
        <f t="shared" si="3"/>
        <v>0.01</v>
      </c>
      <c r="H38" s="23">
        <f t="shared" ref="H38" si="7">(F38*G38)/(C38*D38*E38)</f>
        <v>78.431372549019613</v>
      </c>
      <c r="I38" s="70">
        <f t="shared" ref="I38" si="8">ROUND(H38*1.5,0)</f>
        <v>118</v>
      </c>
      <c r="J38" s="70"/>
      <c r="K38" s="70"/>
      <c r="L38" s="70"/>
    </row>
    <row r="39" spans="2:12" x14ac:dyDescent="0.4">
      <c r="B39" s="17" t="s">
        <v>362</v>
      </c>
      <c r="C39" s="18">
        <v>100</v>
      </c>
      <c r="D39" s="19">
        <v>1.06</v>
      </c>
      <c r="E39" s="20">
        <f t="shared" si="1"/>
        <v>1.5</v>
      </c>
      <c r="F39" s="21">
        <f t="shared" si="2"/>
        <v>1000000</v>
      </c>
      <c r="G39" s="22">
        <f t="shared" si="3"/>
        <v>0.01</v>
      </c>
      <c r="H39" s="23">
        <f t="shared" ref="H39" si="9">(F39*G39)/(C39*D39*E39)</f>
        <v>62.893081761006286</v>
      </c>
      <c r="I39" s="70">
        <f t="shared" ref="I39" si="10">ROUND(H39*1.5,0)</f>
        <v>94</v>
      </c>
      <c r="J39" s="70"/>
      <c r="K39" s="70"/>
      <c r="L39" s="70"/>
    </row>
    <row r="40" spans="2:12" x14ac:dyDescent="0.4">
      <c r="B40" s="17" t="s">
        <v>381</v>
      </c>
      <c r="C40" s="18">
        <v>1</v>
      </c>
      <c r="D40" s="19">
        <v>1.06</v>
      </c>
      <c r="E40" s="20">
        <f t="shared" si="1"/>
        <v>1.5</v>
      </c>
      <c r="F40" s="21">
        <f t="shared" si="2"/>
        <v>1000000</v>
      </c>
      <c r="G40" s="22">
        <f t="shared" si="3"/>
        <v>0.01</v>
      </c>
      <c r="H40" s="23">
        <f t="shared" ref="H40" si="11">(F40*G40)/(C40*D40*E40)</f>
        <v>6289.3081761006288</v>
      </c>
      <c r="I40" s="70">
        <f t="shared" ref="I40" si="12">ROUND(H40*1.5,0)</f>
        <v>9434</v>
      </c>
      <c r="J40" s="70"/>
      <c r="K40" s="70"/>
      <c r="L40" s="70"/>
    </row>
    <row r="41" spans="2:12" x14ac:dyDescent="0.4">
      <c r="B41" s="17" t="s">
        <v>406</v>
      </c>
      <c r="C41" s="18">
        <v>1</v>
      </c>
      <c r="D41" s="19">
        <v>7.23</v>
      </c>
      <c r="E41" s="20">
        <f t="shared" si="1"/>
        <v>1.5</v>
      </c>
      <c r="F41" s="21">
        <f t="shared" si="2"/>
        <v>1000000</v>
      </c>
      <c r="G41" s="22">
        <f t="shared" si="3"/>
        <v>0.01</v>
      </c>
      <c r="H41" s="23">
        <f t="shared" ref="H41" si="13">(F41*G41)/(C41*D41*E41)</f>
        <v>922.08390963577676</v>
      </c>
      <c r="I41" s="70">
        <f t="shared" ref="I41" si="14">ROUND(H41*1.5,0)</f>
        <v>1383</v>
      </c>
      <c r="J41" s="18">
        <v>68</v>
      </c>
      <c r="K41" s="3">
        <f>J41*H41*C41/$N$3</f>
        <v>6.2701705855232825E-2</v>
      </c>
      <c r="L41" s="3">
        <f>J41*I41*C41/$N$3</f>
        <v>9.4044000000000003E-2</v>
      </c>
    </row>
    <row r="42" spans="2:12" x14ac:dyDescent="0.4">
      <c r="B42" s="17" t="s">
        <v>437</v>
      </c>
      <c r="C42" s="18">
        <v>1</v>
      </c>
      <c r="D42" s="19">
        <v>2.0299999999999998</v>
      </c>
      <c r="E42" s="20">
        <f t="shared" si="1"/>
        <v>1.5</v>
      </c>
      <c r="F42" s="21">
        <f t="shared" si="2"/>
        <v>1000000</v>
      </c>
      <c r="G42" s="22">
        <f t="shared" si="3"/>
        <v>0.01</v>
      </c>
      <c r="H42" s="23">
        <f t="shared" ref="H42" si="15">(F42*G42)/(C42*D42*E42)</f>
        <v>3284.0722495894911</v>
      </c>
      <c r="I42" s="70">
        <f t="shared" ref="I42" si="16">ROUND(H42*1.5,0)</f>
        <v>4926</v>
      </c>
      <c r="J42" s="70"/>
      <c r="K42" s="70"/>
      <c r="L42" s="7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04DB-8B78-48A9-9909-F04369C18D94}">
  <dimension ref="A1:AE1084"/>
  <sheetViews>
    <sheetView showGridLines="0" zoomScale="90" zoomScaleNormal="90" workbookViewId="0">
      <selection activeCell="A2" sqref="A2"/>
    </sheetView>
  </sheetViews>
  <sheetFormatPr defaultRowHeight="13.15" x14ac:dyDescent="0.4"/>
  <cols>
    <col min="1" max="1" width="12.6640625" style="1" bestFit="1" customWidth="1"/>
    <col min="2" max="2" width="13.3984375" style="1" bestFit="1" customWidth="1"/>
    <col min="3" max="3" width="8.53125" style="1" bestFit="1" customWidth="1"/>
    <col min="4" max="4" width="18.73046875" style="1" bestFit="1" customWidth="1"/>
    <col min="5" max="5" width="16.53125" style="1" bestFit="1" customWidth="1"/>
    <col min="6" max="6" width="12.46484375" style="1" bestFit="1" customWidth="1"/>
    <col min="7" max="7" width="14.6640625" style="1" bestFit="1" customWidth="1"/>
    <col min="8" max="8" width="8.265625" style="1" bestFit="1" customWidth="1"/>
    <col min="9" max="9" width="5.3984375" style="1" bestFit="1" customWidth="1"/>
    <col min="10" max="10" width="9.53125" style="51" bestFit="1" customWidth="1"/>
    <col min="11" max="11" width="6.73046875" style="1" bestFit="1" customWidth="1"/>
    <col min="12" max="12" width="9.53125" style="51" bestFit="1" customWidth="1"/>
    <col min="13" max="13" width="7.06640625" style="1" bestFit="1" customWidth="1"/>
    <col min="14" max="14" width="7.265625" style="1" bestFit="1" customWidth="1"/>
    <col min="15" max="15" width="7.06640625" style="1" bestFit="1" customWidth="1"/>
    <col min="16" max="16" width="8.73046875" style="1" bestFit="1" customWidth="1"/>
    <col min="17" max="17" width="9.9296875" style="1" bestFit="1" customWidth="1"/>
    <col min="18" max="18" width="16.6640625" style="1" bestFit="1" customWidth="1"/>
    <col min="19" max="27" width="9.06640625" style="1"/>
    <col min="28" max="28" width="9.53125" style="1" bestFit="1" customWidth="1"/>
    <col min="29" max="29" width="12.796875" style="1" bestFit="1" customWidth="1"/>
    <col min="30" max="30" width="10.53125" style="1" bestFit="1" customWidth="1"/>
    <col min="31" max="16384" width="9.06640625" style="1"/>
  </cols>
  <sheetData>
    <row r="1" spans="1:31" x14ac:dyDescent="0.4">
      <c r="A1" s="2" t="s">
        <v>170</v>
      </c>
      <c r="B1" s="2" t="s">
        <v>169</v>
      </c>
      <c r="C1" s="2" t="s">
        <v>168</v>
      </c>
      <c r="D1" s="2" t="s">
        <v>59</v>
      </c>
      <c r="E1" s="2" t="s">
        <v>167</v>
      </c>
      <c r="F1" s="2" t="s">
        <v>166</v>
      </c>
      <c r="G1" s="2" t="s">
        <v>165</v>
      </c>
      <c r="H1" s="2" t="s">
        <v>13</v>
      </c>
      <c r="I1" s="2" t="s">
        <v>64</v>
      </c>
      <c r="J1" s="55" t="s">
        <v>164</v>
      </c>
      <c r="K1" s="2" t="s">
        <v>163</v>
      </c>
      <c r="L1" s="55" t="s">
        <v>162</v>
      </c>
      <c r="M1" s="2" t="s">
        <v>161</v>
      </c>
      <c r="N1" s="2" t="s">
        <v>160</v>
      </c>
      <c r="O1" s="2" t="s">
        <v>159</v>
      </c>
      <c r="P1" s="2" t="s">
        <v>158</v>
      </c>
      <c r="Q1" s="2" t="s">
        <v>157</v>
      </c>
      <c r="R1" s="2" t="s">
        <v>156</v>
      </c>
      <c r="T1" s="2" t="s">
        <v>172</v>
      </c>
      <c r="U1" s="2" t="s">
        <v>12</v>
      </c>
      <c r="V1" s="2" t="s">
        <v>160</v>
      </c>
      <c r="W1" s="2" t="s">
        <v>159</v>
      </c>
      <c r="X1" s="2" t="s">
        <v>157</v>
      </c>
      <c r="Z1" s="1" t="s">
        <v>190</v>
      </c>
    </row>
    <row r="2" spans="1:31" x14ac:dyDescent="0.4">
      <c r="A2" s="1" t="s">
        <v>138</v>
      </c>
      <c r="B2" s="1" t="s">
        <v>83</v>
      </c>
      <c r="C2" s="1" t="s">
        <v>87</v>
      </c>
      <c r="D2" s="1" t="s">
        <v>155</v>
      </c>
      <c r="E2" s="1" t="s">
        <v>154</v>
      </c>
      <c r="F2" s="1" t="s">
        <v>129</v>
      </c>
      <c r="G2" s="1" t="s">
        <v>4</v>
      </c>
      <c r="H2" s="1">
        <v>100</v>
      </c>
      <c r="I2" s="1">
        <v>3700</v>
      </c>
      <c r="J2" s="51">
        <v>45093</v>
      </c>
      <c r="K2" s="1" t="s">
        <v>89</v>
      </c>
      <c r="L2" s="51">
        <v>45028</v>
      </c>
      <c r="M2" s="1" t="s">
        <v>139</v>
      </c>
      <c r="N2" s="1">
        <v>-4</v>
      </c>
      <c r="O2" s="1">
        <v>24.5</v>
      </c>
      <c r="P2" s="1">
        <v>-9800</v>
      </c>
      <c r="Q2" s="1">
        <v>-5.4462000000000002</v>
      </c>
      <c r="R2" s="1" t="s">
        <v>83</v>
      </c>
      <c r="T2" s="50">
        <f>IF(ISNUMBER(VLOOKUP(U2,Blotter!B:C,2,0)),VLOOKUP(U2,Blotter!B:C,2,0),"")</f>
        <v>1</v>
      </c>
      <c r="U2" s="49" t="str">
        <f>D2</f>
        <v>SPX   230616P03700000</v>
      </c>
      <c r="V2" s="49">
        <f>N2</f>
        <v>-4</v>
      </c>
      <c r="W2" s="49">
        <f>O2</f>
        <v>24.5</v>
      </c>
      <c r="X2" s="49">
        <f>Q2</f>
        <v>-5.4462000000000002</v>
      </c>
      <c r="Z2" s="1" t="s">
        <v>229</v>
      </c>
      <c r="AC2" s="51"/>
      <c r="AD2" s="52"/>
      <c r="AE2" s="48"/>
    </row>
    <row r="3" spans="1:31" x14ac:dyDescent="0.4">
      <c r="A3" s="1" t="s">
        <v>138</v>
      </c>
      <c r="B3" s="1" t="s">
        <v>83</v>
      </c>
      <c r="C3" s="1" t="s">
        <v>87</v>
      </c>
      <c r="D3" s="1" t="s">
        <v>155</v>
      </c>
      <c r="E3" s="1" t="s">
        <v>154</v>
      </c>
      <c r="F3" s="1" t="s">
        <v>129</v>
      </c>
      <c r="G3" s="1" t="s">
        <v>4</v>
      </c>
      <c r="H3" s="1">
        <v>100</v>
      </c>
      <c r="I3" s="1">
        <v>3700</v>
      </c>
      <c r="J3" s="51">
        <v>45093</v>
      </c>
      <c r="K3" s="1" t="s">
        <v>89</v>
      </c>
      <c r="L3" s="51">
        <v>45028</v>
      </c>
      <c r="M3" s="1" t="s">
        <v>139</v>
      </c>
      <c r="N3" s="1">
        <v>-2</v>
      </c>
      <c r="O3" s="1">
        <v>24.5</v>
      </c>
      <c r="P3" s="1">
        <v>-4900</v>
      </c>
      <c r="Q3" s="1">
        <v>-2.7231000000000001</v>
      </c>
      <c r="R3" s="1" t="s">
        <v>83</v>
      </c>
      <c r="T3" s="50">
        <f>IF(ISNUMBER(VLOOKUP(U3,Blotter!B:C,2,0)),VLOOKUP(U3,Blotter!B:C,2,0),"")</f>
        <v>1</v>
      </c>
      <c r="U3" s="49" t="str">
        <f t="shared" ref="U3:U31" si="0">D3</f>
        <v>SPX   230616P03700000</v>
      </c>
      <c r="V3" s="49">
        <f t="shared" ref="V3:V31" si="1">N3</f>
        <v>-2</v>
      </c>
      <c r="W3" s="49">
        <f t="shared" ref="W3:W31" si="2">O3</f>
        <v>24.5</v>
      </c>
      <c r="X3" s="49">
        <f t="shared" ref="X3:X31" si="3">Q3</f>
        <v>-2.7231000000000001</v>
      </c>
      <c r="AC3" s="51"/>
      <c r="AD3" s="52"/>
      <c r="AE3" s="48"/>
    </row>
    <row r="4" spans="1:31" x14ac:dyDescent="0.4">
      <c r="A4" s="1" t="s">
        <v>138</v>
      </c>
      <c r="B4" s="1" t="s">
        <v>83</v>
      </c>
      <c r="C4" s="1" t="s">
        <v>87</v>
      </c>
      <c r="D4" s="1" t="s">
        <v>153</v>
      </c>
      <c r="E4" s="1" t="s">
        <v>152</v>
      </c>
      <c r="F4" s="1" t="s">
        <v>129</v>
      </c>
      <c r="G4" s="1" t="s">
        <v>4</v>
      </c>
      <c r="H4" s="1">
        <v>100</v>
      </c>
      <c r="I4" s="1">
        <v>3850</v>
      </c>
      <c r="J4" s="51">
        <v>45093</v>
      </c>
      <c r="K4" s="1" t="s">
        <v>89</v>
      </c>
      <c r="L4" s="51">
        <v>45028</v>
      </c>
      <c r="M4" s="1" t="s">
        <v>135</v>
      </c>
      <c r="N4" s="1">
        <v>6</v>
      </c>
      <c r="O4" s="1">
        <v>41</v>
      </c>
      <c r="P4" s="1">
        <v>24600</v>
      </c>
      <c r="Q4" s="1">
        <v>-8.1692999999999998</v>
      </c>
      <c r="R4" s="1" t="s">
        <v>83</v>
      </c>
      <c r="T4" s="50">
        <f>IF(ISNUMBER(VLOOKUP(U4,Blotter!B:C,2,0)),VLOOKUP(U4,Blotter!B:C,2,0),"")</f>
        <v>1</v>
      </c>
      <c r="U4" s="49" t="str">
        <f t="shared" si="0"/>
        <v>SPX   230616P03850000</v>
      </c>
      <c r="V4" s="49">
        <f t="shared" si="1"/>
        <v>6</v>
      </c>
      <c r="W4" s="49">
        <f t="shared" si="2"/>
        <v>41</v>
      </c>
      <c r="X4" s="49">
        <f t="shared" si="3"/>
        <v>-8.1692999999999998</v>
      </c>
      <c r="AC4" s="51"/>
      <c r="AD4" s="52"/>
      <c r="AE4" s="48"/>
    </row>
    <row r="5" spans="1:31" x14ac:dyDescent="0.4">
      <c r="A5" s="1" t="s">
        <v>138</v>
      </c>
      <c r="B5" s="1" t="s">
        <v>83</v>
      </c>
      <c r="C5" s="1" t="s">
        <v>137</v>
      </c>
      <c r="D5" s="1" t="s">
        <v>136</v>
      </c>
      <c r="E5" s="1" t="s">
        <v>136</v>
      </c>
      <c r="H5" s="1">
        <v>1</v>
      </c>
      <c r="L5" s="51">
        <v>45028</v>
      </c>
      <c r="M5" s="1" t="s">
        <v>135</v>
      </c>
      <c r="N5" s="1">
        <v>1000000</v>
      </c>
      <c r="O5" s="1">
        <v>95.917000000000002</v>
      </c>
      <c r="P5" s="1">
        <v>959170</v>
      </c>
      <c r="Q5" s="1">
        <v>-20</v>
      </c>
      <c r="R5" s="1" t="s">
        <v>83</v>
      </c>
      <c r="T5" s="50" t="str">
        <f>IF(ISNUMBER(VLOOKUP(U5,Blotter!B:C,2,0)),VLOOKUP(U5,Blotter!B:C,2,0),"")</f>
        <v/>
      </c>
      <c r="U5" s="49" t="str">
        <f t="shared" si="0"/>
        <v>T 0 3/8 04/15/24</v>
      </c>
      <c r="V5" s="49">
        <f t="shared" si="1"/>
        <v>1000000</v>
      </c>
      <c r="W5" s="49">
        <f t="shared" si="2"/>
        <v>95.917000000000002</v>
      </c>
      <c r="X5" s="49">
        <f t="shared" si="3"/>
        <v>-20</v>
      </c>
      <c r="AC5" s="51"/>
      <c r="AD5" s="52"/>
      <c r="AE5" s="48"/>
    </row>
    <row r="6" spans="1:31" x14ac:dyDescent="0.4">
      <c r="A6" s="1" t="s">
        <v>138</v>
      </c>
      <c r="B6" s="1" t="s">
        <v>83</v>
      </c>
      <c r="C6" s="1" t="s">
        <v>82</v>
      </c>
      <c r="D6" s="1" t="s">
        <v>151</v>
      </c>
      <c r="E6" s="1" t="s">
        <v>150</v>
      </c>
      <c r="F6" s="1" t="s">
        <v>93</v>
      </c>
      <c r="G6" s="1" t="s">
        <v>5</v>
      </c>
      <c r="H6" s="1">
        <v>10000</v>
      </c>
      <c r="J6" s="51">
        <v>45042</v>
      </c>
      <c r="L6" s="51">
        <v>45036</v>
      </c>
      <c r="M6" s="1" t="s">
        <v>135</v>
      </c>
      <c r="N6" s="1">
        <v>1</v>
      </c>
      <c r="O6" s="1">
        <v>2.2200000000000002</v>
      </c>
      <c r="P6" s="1">
        <v>22200</v>
      </c>
      <c r="Q6" s="1">
        <v>-2.37</v>
      </c>
      <c r="R6" s="1" t="s">
        <v>83</v>
      </c>
      <c r="T6" s="50">
        <f>IF(ISNUMBER(VLOOKUP(U6,Blotter!B:C,2,0)),VLOOKUP(U6,Blotter!B:C,2,0),"")</f>
        <v>2</v>
      </c>
      <c r="U6" s="49" t="str">
        <f t="shared" si="0"/>
        <v>NGK3</v>
      </c>
      <c r="V6" s="49">
        <f t="shared" si="1"/>
        <v>1</v>
      </c>
      <c r="W6" s="49">
        <f t="shared" si="2"/>
        <v>2.2200000000000002</v>
      </c>
      <c r="X6" s="49">
        <f t="shared" si="3"/>
        <v>-2.37</v>
      </c>
      <c r="AC6" s="51"/>
      <c r="AD6" s="52"/>
      <c r="AE6" s="48"/>
    </row>
    <row r="7" spans="1:31" x14ac:dyDescent="0.4">
      <c r="A7" s="1" t="s">
        <v>138</v>
      </c>
      <c r="B7" s="1" t="s">
        <v>83</v>
      </c>
      <c r="C7" s="1" t="s">
        <v>82</v>
      </c>
      <c r="D7" s="1" t="s">
        <v>151</v>
      </c>
      <c r="E7" s="1" t="s">
        <v>150</v>
      </c>
      <c r="F7" s="1" t="s">
        <v>93</v>
      </c>
      <c r="G7" s="1" t="s">
        <v>5</v>
      </c>
      <c r="H7" s="1">
        <v>10000</v>
      </c>
      <c r="J7" s="51">
        <v>45042</v>
      </c>
      <c r="L7" s="51">
        <v>45036</v>
      </c>
      <c r="M7" s="1" t="s">
        <v>135</v>
      </c>
      <c r="N7" s="1">
        <v>1</v>
      </c>
      <c r="O7" s="1">
        <v>2.2200000000000002</v>
      </c>
      <c r="P7" s="1">
        <v>22200</v>
      </c>
      <c r="Q7" s="1">
        <v>-2.37</v>
      </c>
      <c r="R7" s="1" t="s">
        <v>83</v>
      </c>
      <c r="T7" s="50">
        <f>IF(ISNUMBER(VLOOKUP(U7,Blotter!B:C,2,0)),VLOOKUP(U7,Blotter!B:C,2,0),"")</f>
        <v>2</v>
      </c>
      <c r="U7" s="49" t="str">
        <f t="shared" si="0"/>
        <v>NGK3</v>
      </c>
      <c r="V7" s="49">
        <f t="shared" si="1"/>
        <v>1</v>
      </c>
      <c r="W7" s="49">
        <f t="shared" si="2"/>
        <v>2.2200000000000002</v>
      </c>
      <c r="X7" s="49">
        <f t="shared" si="3"/>
        <v>-2.37</v>
      </c>
      <c r="AC7" s="51"/>
      <c r="AD7" s="52"/>
      <c r="AE7" s="48"/>
    </row>
    <row r="8" spans="1:31" x14ac:dyDescent="0.4">
      <c r="A8" s="1" t="s">
        <v>138</v>
      </c>
      <c r="B8" s="1" t="s">
        <v>83</v>
      </c>
      <c r="C8" s="1" t="s">
        <v>82</v>
      </c>
      <c r="D8" s="1" t="s">
        <v>151</v>
      </c>
      <c r="E8" s="1" t="s">
        <v>150</v>
      </c>
      <c r="F8" s="1" t="s">
        <v>93</v>
      </c>
      <c r="G8" s="1" t="s">
        <v>5</v>
      </c>
      <c r="H8" s="1">
        <v>10000</v>
      </c>
      <c r="J8" s="51">
        <v>45042</v>
      </c>
      <c r="L8" s="51">
        <v>45036</v>
      </c>
      <c r="M8" s="1" t="s">
        <v>135</v>
      </c>
      <c r="N8" s="1">
        <v>1</v>
      </c>
      <c r="O8" s="1">
        <v>2.2200000000000002</v>
      </c>
      <c r="P8" s="1">
        <v>22200</v>
      </c>
      <c r="Q8" s="1">
        <v>-2.37</v>
      </c>
      <c r="R8" s="1" t="s">
        <v>83</v>
      </c>
      <c r="T8" s="50">
        <f>IF(ISNUMBER(VLOOKUP(U8,Blotter!B:C,2,0)),VLOOKUP(U8,Blotter!B:C,2,0),"")</f>
        <v>2</v>
      </c>
      <c r="U8" s="49" t="str">
        <f t="shared" si="0"/>
        <v>NGK3</v>
      </c>
      <c r="V8" s="49">
        <f t="shared" si="1"/>
        <v>1</v>
      </c>
      <c r="W8" s="49">
        <f t="shared" si="2"/>
        <v>2.2200000000000002</v>
      </c>
      <c r="X8" s="49">
        <f t="shared" si="3"/>
        <v>-2.37</v>
      </c>
      <c r="AC8" s="51"/>
      <c r="AD8" s="52"/>
      <c r="AE8" s="48"/>
    </row>
    <row r="9" spans="1:31" x14ac:dyDescent="0.4">
      <c r="A9" s="1" t="s">
        <v>138</v>
      </c>
      <c r="B9" s="1" t="s">
        <v>83</v>
      </c>
      <c r="C9" s="1" t="s">
        <v>82</v>
      </c>
      <c r="D9" s="1" t="s">
        <v>151</v>
      </c>
      <c r="E9" s="1" t="s">
        <v>150</v>
      </c>
      <c r="F9" s="1" t="s">
        <v>93</v>
      </c>
      <c r="G9" s="1" t="s">
        <v>5</v>
      </c>
      <c r="H9" s="1">
        <v>10000</v>
      </c>
      <c r="J9" s="51">
        <v>45042</v>
      </c>
      <c r="L9" s="51">
        <v>45036</v>
      </c>
      <c r="M9" s="1" t="s">
        <v>135</v>
      </c>
      <c r="N9" s="1">
        <v>2</v>
      </c>
      <c r="O9" s="1">
        <v>2.19</v>
      </c>
      <c r="P9" s="1">
        <v>43800</v>
      </c>
      <c r="Q9" s="1">
        <v>-4.74</v>
      </c>
      <c r="R9" s="1" t="s">
        <v>83</v>
      </c>
      <c r="T9" s="50">
        <f>IF(ISNUMBER(VLOOKUP(U9,Blotter!B:C,2,0)),VLOOKUP(U9,Blotter!B:C,2,0),"")</f>
        <v>2</v>
      </c>
      <c r="U9" s="49" t="str">
        <f t="shared" si="0"/>
        <v>NGK3</v>
      </c>
      <c r="V9" s="49">
        <f t="shared" si="1"/>
        <v>2</v>
      </c>
      <c r="W9" s="49">
        <f t="shared" si="2"/>
        <v>2.19</v>
      </c>
      <c r="X9" s="49">
        <f t="shared" si="3"/>
        <v>-4.74</v>
      </c>
      <c r="AC9" s="51"/>
      <c r="AD9" s="52"/>
      <c r="AE9" s="48"/>
    </row>
    <row r="10" spans="1:31" x14ac:dyDescent="0.4">
      <c r="A10" s="1" t="s">
        <v>138</v>
      </c>
      <c r="B10" s="1" t="s">
        <v>83</v>
      </c>
      <c r="C10" s="1" t="s">
        <v>82</v>
      </c>
      <c r="D10" s="1" t="s">
        <v>151</v>
      </c>
      <c r="E10" s="1" t="s">
        <v>150</v>
      </c>
      <c r="F10" s="1" t="s">
        <v>93</v>
      </c>
      <c r="G10" s="1" t="s">
        <v>5</v>
      </c>
      <c r="H10" s="1">
        <v>10000</v>
      </c>
      <c r="J10" s="51">
        <v>45042</v>
      </c>
      <c r="L10" s="51">
        <v>45040</v>
      </c>
      <c r="M10" s="1" t="s">
        <v>139</v>
      </c>
      <c r="N10" s="1">
        <v>-5</v>
      </c>
      <c r="O10" s="1">
        <v>2.25</v>
      </c>
      <c r="P10" s="1">
        <v>-112500</v>
      </c>
      <c r="Q10" s="1">
        <v>-11.85</v>
      </c>
      <c r="R10" s="1" t="s">
        <v>83</v>
      </c>
      <c r="T10" s="50">
        <f>IF(ISNUMBER(VLOOKUP(U10,Blotter!B:C,2,0)),VLOOKUP(U10,Blotter!B:C,2,0),"")</f>
        <v>2</v>
      </c>
      <c r="U10" s="49" t="str">
        <f t="shared" si="0"/>
        <v>NGK3</v>
      </c>
      <c r="V10" s="49">
        <f t="shared" si="1"/>
        <v>-5</v>
      </c>
      <c r="W10" s="49">
        <f t="shared" si="2"/>
        <v>2.25</v>
      </c>
      <c r="X10" s="49">
        <f t="shared" si="3"/>
        <v>-11.85</v>
      </c>
      <c r="AC10" s="51"/>
      <c r="AD10" s="52"/>
      <c r="AE10" s="48"/>
    </row>
    <row r="11" spans="1:31" x14ac:dyDescent="0.4">
      <c r="A11" s="1" t="s">
        <v>138</v>
      </c>
      <c r="B11" s="1" t="s">
        <v>83</v>
      </c>
      <c r="C11" s="1" t="s">
        <v>82</v>
      </c>
      <c r="D11" s="1" t="s">
        <v>149</v>
      </c>
      <c r="E11" s="1" t="s">
        <v>148</v>
      </c>
      <c r="F11" s="1" t="s">
        <v>93</v>
      </c>
      <c r="G11" s="1" t="s">
        <v>5</v>
      </c>
      <c r="H11" s="1">
        <v>10000</v>
      </c>
      <c r="J11" s="51">
        <v>45072</v>
      </c>
      <c r="L11" s="51">
        <v>45040</v>
      </c>
      <c r="M11" s="1" t="s">
        <v>135</v>
      </c>
      <c r="N11" s="1">
        <v>1</v>
      </c>
      <c r="O11" s="1">
        <v>2.42</v>
      </c>
      <c r="P11" s="1">
        <v>24200</v>
      </c>
      <c r="Q11" s="1">
        <v>-2.37</v>
      </c>
      <c r="R11" s="1" t="s">
        <v>83</v>
      </c>
      <c r="T11" s="50">
        <f>IF(ISNUMBER(VLOOKUP(U11,Blotter!B:C,2,0)),VLOOKUP(U11,Blotter!B:C,2,0),"")</f>
        <v>2</v>
      </c>
      <c r="U11" s="49" t="str">
        <f t="shared" si="0"/>
        <v>NGM3</v>
      </c>
      <c r="V11" s="49">
        <f t="shared" si="1"/>
        <v>1</v>
      </c>
      <c r="W11" s="49">
        <f t="shared" si="2"/>
        <v>2.42</v>
      </c>
      <c r="X11" s="49">
        <f t="shared" si="3"/>
        <v>-2.37</v>
      </c>
      <c r="AC11" s="51"/>
      <c r="AD11" s="52"/>
      <c r="AE11" s="48"/>
    </row>
    <row r="12" spans="1:31" x14ac:dyDescent="0.4">
      <c r="A12" s="1" t="s">
        <v>138</v>
      </c>
      <c r="B12" s="1" t="s">
        <v>83</v>
      </c>
      <c r="C12" s="1" t="s">
        <v>82</v>
      </c>
      <c r="D12" s="1" t="s">
        <v>149</v>
      </c>
      <c r="E12" s="1" t="s">
        <v>148</v>
      </c>
      <c r="F12" s="1" t="s">
        <v>93</v>
      </c>
      <c r="G12" s="1" t="s">
        <v>5</v>
      </c>
      <c r="H12" s="1">
        <v>10000</v>
      </c>
      <c r="J12" s="51">
        <v>45072</v>
      </c>
      <c r="L12" s="51">
        <v>45040</v>
      </c>
      <c r="M12" s="1" t="s">
        <v>135</v>
      </c>
      <c r="N12" s="1">
        <v>3</v>
      </c>
      <c r="O12" s="1">
        <v>2.42</v>
      </c>
      <c r="P12" s="1">
        <v>72600</v>
      </c>
      <c r="Q12" s="1">
        <v>-7.11</v>
      </c>
      <c r="R12" s="1" t="s">
        <v>83</v>
      </c>
      <c r="T12" s="50">
        <f>IF(ISNUMBER(VLOOKUP(U12,Blotter!B:C,2,0)),VLOOKUP(U12,Blotter!B:C,2,0),"")</f>
        <v>2</v>
      </c>
      <c r="U12" s="49" t="str">
        <f t="shared" si="0"/>
        <v>NGM3</v>
      </c>
      <c r="V12" s="49">
        <f t="shared" si="1"/>
        <v>3</v>
      </c>
      <c r="W12" s="49">
        <f t="shared" si="2"/>
        <v>2.42</v>
      </c>
      <c r="X12" s="49">
        <f t="shared" si="3"/>
        <v>-7.11</v>
      </c>
      <c r="AC12" s="51"/>
      <c r="AD12" s="52"/>
      <c r="AE12" s="48"/>
    </row>
    <row r="13" spans="1:31" x14ac:dyDescent="0.4">
      <c r="A13" s="1" t="s">
        <v>138</v>
      </c>
      <c r="B13" s="1" t="s">
        <v>83</v>
      </c>
      <c r="C13" s="1" t="s">
        <v>82</v>
      </c>
      <c r="D13" s="1" t="s">
        <v>149</v>
      </c>
      <c r="E13" s="1" t="s">
        <v>148</v>
      </c>
      <c r="F13" s="1" t="s">
        <v>93</v>
      </c>
      <c r="G13" s="1" t="s">
        <v>5</v>
      </c>
      <c r="H13" s="1">
        <v>10000</v>
      </c>
      <c r="J13" s="51">
        <v>45072</v>
      </c>
      <c r="L13" s="51">
        <v>45040</v>
      </c>
      <c r="M13" s="1" t="s">
        <v>135</v>
      </c>
      <c r="N13" s="1">
        <v>1</v>
      </c>
      <c r="O13" s="1">
        <v>2.42</v>
      </c>
      <c r="P13" s="1">
        <v>24200</v>
      </c>
      <c r="Q13" s="1">
        <v>-2.37</v>
      </c>
      <c r="R13" s="1" t="s">
        <v>83</v>
      </c>
      <c r="T13" s="50">
        <f>IF(ISNUMBER(VLOOKUP(U13,Blotter!B:C,2,0)),VLOOKUP(U13,Blotter!B:C,2,0),"")</f>
        <v>2</v>
      </c>
      <c r="U13" s="49" t="str">
        <f t="shared" si="0"/>
        <v>NGM3</v>
      </c>
      <c r="V13" s="49">
        <f t="shared" si="1"/>
        <v>1</v>
      </c>
      <c r="W13" s="49">
        <f t="shared" si="2"/>
        <v>2.42</v>
      </c>
      <c r="X13" s="49">
        <f t="shared" si="3"/>
        <v>-2.37</v>
      </c>
      <c r="AC13" s="51"/>
      <c r="AD13" s="52"/>
      <c r="AE13" s="48"/>
    </row>
    <row r="14" spans="1:31" x14ac:dyDescent="0.4">
      <c r="A14" s="1" t="s">
        <v>138</v>
      </c>
      <c r="B14" s="1" t="s">
        <v>83</v>
      </c>
      <c r="C14" s="1" t="s">
        <v>82</v>
      </c>
      <c r="D14" s="1" t="s">
        <v>145</v>
      </c>
      <c r="E14" s="1" t="s">
        <v>144</v>
      </c>
      <c r="F14" s="1" t="s">
        <v>93</v>
      </c>
      <c r="G14" s="1" t="s">
        <v>9</v>
      </c>
      <c r="H14" s="1">
        <v>42000</v>
      </c>
      <c r="J14" s="51">
        <v>45077</v>
      </c>
      <c r="L14" s="51">
        <v>45041</v>
      </c>
      <c r="M14" s="1" t="s">
        <v>135</v>
      </c>
      <c r="N14" s="1">
        <v>1</v>
      </c>
      <c r="O14" s="1">
        <v>2.62</v>
      </c>
      <c r="P14" s="1">
        <v>110040</v>
      </c>
      <c r="Q14" s="1">
        <v>-2.37</v>
      </c>
      <c r="R14" s="1" t="s">
        <v>83</v>
      </c>
      <c r="T14" s="50">
        <f>IF(ISNUMBER(VLOOKUP(U14,Blotter!B:C,2,0)),VLOOKUP(U14,Blotter!B:C,2,0),"")</f>
        <v>3</v>
      </c>
      <c r="U14" s="49" t="str">
        <f t="shared" si="0"/>
        <v>RBM3</v>
      </c>
      <c r="V14" s="49">
        <f t="shared" si="1"/>
        <v>1</v>
      </c>
      <c r="W14" s="49">
        <f t="shared" si="2"/>
        <v>2.62</v>
      </c>
      <c r="X14" s="49">
        <f t="shared" si="3"/>
        <v>-2.37</v>
      </c>
      <c r="AC14" s="51"/>
      <c r="AD14" s="52"/>
      <c r="AE14" s="48"/>
    </row>
    <row r="15" spans="1:31" x14ac:dyDescent="0.4">
      <c r="A15" s="1" t="s">
        <v>138</v>
      </c>
      <c r="B15" s="1" t="s">
        <v>83</v>
      </c>
      <c r="C15" s="1" t="s">
        <v>82</v>
      </c>
      <c r="D15" s="1" t="s">
        <v>145</v>
      </c>
      <c r="E15" s="1" t="s">
        <v>144</v>
      </c>
      <c r="F15" s="1" t="s">
        <v>93</v>
      </c>
      <c r="G15" s="1" t="s">
        <v>9</v>
      </c>
      <c r="H15" s="1">
        <v>42000</v>
      </c>
      <c r="J15" s="51">
        <v>45077</v>
      </c>
      <c r="L15" s="51">
        <v>45041</v>
      </c>
      <c r="M15" s="1" t="s">
        <v>135</v>
      </c>
      <c r="N15" s="1">
        <v>1</v>
      </c>
      <c r="O15" s="1">
        <v>2.59</v>
      </c>
      <c r="P15" s="1">
        <v>108780</v>
      </c>
      <c r="Q15" s="1">
        <v>-2.37</v>
      </c>
      <c r="R15" s="1" t="s">
        <v>83</v>
      </c>
      <c r="T15" s="50">
        <f>IF(ISNUMBER(VLOOKUP(U15,Blotter!B:C,2,0)),VLOOKUP(U15,Blotter!B:C,2,0),"")</f>
        <v>3</v>
      </c>
      <c r="U15" s="49" t="str">
        <f t="shared" si="0"/>
        <v>RBM3</v>
      </c>
      <c r="V15" s="49">
        <f t="shared" si="1"/>
        <v>1</v>
      </c>
      <c r="W15" s="49">
        <f t="shared" si="2"/>
        <v>2.59</v>
      </c>
      <c r="X15" s="49">
        <f t="shared" si="3"/>
        <v>-2.37</v>
      </c>
      <c r="AC15" s="51"/>
      <c r="AD15" s="52"/>
      <c r="AE15" s="48"/>
    </row>
    <row r="16" spans="1:31" x14ac:dyDescent="0.4">
      <c r="A16" s="1" t="s">
        <v>138</v>
      </c>
      <c r="B16" s="1" t="s">
        <v>83</v>
      </c>
      <c r="C16" s="1" t="s">
        <v>82</v>
      </c>
      <c r="D16" s="1" t="s">
        <v>145</v>
      </c>
      <c r="E16" s="1" t="s">
        <v>144</v>
      </c>
      <c r="F16" s="1" t="s">
        <v>93</v>
      </c>
      <c r="G16" s="1" t="s">
        <v>9</v>
      </c>
      <c r="H16" s="1">
        <v>42000</v>
      </c>
      <c r="J16" s="51">
        <v>45077</v>
      </c>
      <c r="L16" s="51">
        <v>45042</v>
      </c>
      <c r="M16" s="1" t="s">
        <v>139</v>
      </c>
      <c r="N16" s="1">
        <v>-1</v>
      </c>
      <c r="O16" s="1">
        <v>2.5099999999999998</v>
      </c>
      <c r="P16" s="1">
        <v>-105420</v>
      </c>
      <c r="Q16" s="1">
        <v>-2.37</v>
      </c>
      <c r="R16" s="1" t="s">
        <v>83</v>
      </c>
      <c r="T16" s="50">
        <f>IF(ISNUMBER(VLOOKUP(U16,Blotter!B:C,2,0)),VLOOKUP(U16,Blotter!B:C,2,0),"")</f>
        <v>3</v>
      </c>
      <c r="U16" s="49" t="str">
        <f t="shared" si="0"/>
        <v>RBM3</v>
      </c>
      <c r="V16" s="49">
        <f t="shared" si="1"/>
        <v>-1</v>
      </c>
      <c r="W16" s="49">
        <f t="shared" si="2"/>
        <v>2.5099999999999998</v>
      </c>
      <c r="X16" s="49">
        <f t="shared" si="3"/>
        <v>-2.37</v>
      </c>
      <c r="AC16" s="51"/>
      <c r="AD16" s="52"/>
      <c r="AE16" s="48"/>
    </row>
    <row r="17" spans="1:31" x14ac:dyDescent="0.4">
      <c r="A17" s="1" t="s">
        <v>138</v>
      </c>
      <c r="B17" s="1" t="s">
        <v>83</v>
      </c>
      <c r="C17" s="1" t="s">
        <v>82</v>
      </c>
      <c r="D17" s="1" t="s">
        <v>145</v>
      </c>
      <c r="E17" s="1" t="s">
        <v>144</v>
      </c>
      <c r="F17" s="1" t="s">
        <v>93</v>
      </c>
      <c r="G17" s="1" t="s">
        <v>9</v>
      </c>
      <c r="H17" s="1">
        <v>42000</v>
      </c>
      <c r="J17" s="51">
        <v>45077</v>
      </c>
      <c r="L17" s="51">
        <v>45042</v>
      </c>
      <c r="M17" s="1" t="s">
        <v>139</v>
      </c>
      <c r="N17" s="1">
        <v>-1</v>
      </c>
      <c r="O17" s="1">
        <v>2.5099999999999998</v>
      </c>
      <c r="P17" s="1">
        <v>-105420</v>
      </c>
      <c r="Q17" s="1">
        <v>-2.37</v>
      </c>
      <c r="R17" s="1" t="s">
        <v>83</v>
      </c>
      <c r="T17" s="50">
        <f>IF(ISNUMBER(VLOOKUP(U17,Blotter!B:C,2,0)),VLOOKUP(U17,Blotter!B:C,2,0),"")</f>
        <v>3</v>
      </c>
      <c r="U17" s="49" t="str">
        <f t="shared" si="0"/>
        <v>RBM3</v>
      </c>
      <c r="V17" s="49">
        <f t="shared" si="1"/>
        <v>-1</v>
      </c>
      <c r="W17" s="49">
        <f t="shared" si="2"/>
        <v>2.5099999999999998</v>
      </c>
      <c r="X17" s="49">
        <f t="shared" si="3"/>
        <v>-2.37</v>
      </c>
      <c r="AC17" s="51"/>
      <c r="AD17" s="52"/>
      <c r="AE17" s="48"/>
    </row>
    <row r="18" spans="1:31" x14ac:dyDescent="0.4">
      <c r="A18" s="1" t="s">
        <v>138</v>
      </c>
      <c r="B18" s="1" t="s">
        <v>83</v>
      </c>
      <c r="C18" s="1" t="s">
        <v>82</v>
      </c>
      <c r="D18" s="1" t="s">
        <v>145</v>
      </c>
      <c r="E18" s="1" t="s">
        <v>144</v>
      </c>
      <c r="F18" s="1" t="s">
        <v>93</v>
      </c>
      <c r="G18" s="1" t="s">
        <v>9</v>
      </c>
      <c r="H18" s="1">
        <v>42000</v>
      </c>
      <c r="J18" s="51">
        <v>45077</v>
      </c>
      <c r="L18" s="51">
        <v>45044</v>
      </c>
      <c r="M18" s="1" t="s">
        <v>135</v>
      </c>
      <c r="N18" s="1">
        <v>2</v>
      </c>
      <c r="O18" s="1">
        <v>2.5</v>
      </c>
      <c r="P18" s="1">
        <v>210000</v>
      </c>
      <c r="Q18" s="1">
        <v>-4.74</v>
      </c>
      <c r="R18" s="1" t="s">
        <v>83</v>
      </c>
      <c r="T18" s="50">
        <f>IF(ISNUMBER(VLOOKUP(U18,Blotter!B:C,2,0)),VLOOKUP(U18,Blotter!B:C,2,0),"")</f>
        <v>3</v>
      </c>
      <c r="U18" s="49" t="str">
        <f t="shared" si="0"/>
        <v>RBM3</v>
      </c>
      <c r="V18" s="49">
        <f t="shared" si="1"/>
        <v>2</v>
      </c>
      <c r="W18" s="49">
        <f t="shared" si="2"/>
        <v>2.5</v>
      </c>
      <c r="X18" s="49">
        <f t="shared" si="3"/>
        <v>-4.74</v>
      </c>
      <c r="AC18" s="51"/>
      <c r="AD18" s="52"/>
      <c r="AE18" s="48"/>
    </row>
    <row r="19" spans="1:31" x14ac:dyDescent="0.4">
      <c r="A19" s="1" t="s">
        <v>138</v>
      </c>
      <c r="B19" s="1" t="s">
        <v>83</v>
      </c>
      <c r="C19" s="1" t="s">
        <v>82</v>
      </c>
      <c r="D19" s="1" t="s">
        <v>149</v>
      </c>
      <c r="E19" s="1" t="s">
        <v>148</v>
      </c>
      <c r="F19" s="1" t="s">
        <v>93</v>
      </c>
      <c r="G19" s="1" t="s">
        <v>5</v>
      </c>
      <c r="H19" s="1">
        <v>10000</v>
      </c>
      <c r="J19" s="51">
        <v>45072</v>
      </c>
      <c r="L19" s="51">
        <v>45048</v>
      </c>
      <c r="M19" s="1" t="s">
        <v>135</v>
      </c>
      <c r="N19" s="1">
        <v>5</v>
      </c>
      <c r="O19" s="1">
        <v>2.214</v>
      </c>
      <c r="P19" s="1">
        <v>110700</v>
      </c>
      <c r="Q19" s="1">
        <v>-11.85</v>
      </c>
      <c r="R19" s="1" t="s">
        <v>83</v>
      </c>
      <c r="T19" s="50">
        <f>IF(ISNUMBER(VLOOKUP(U19,Blotter!B:C,2,0)),VLOOKUP(U19,Blotter!B:C,2,0),"")</f>
        <v>2</v>
      </c>
      <c r="U19" s="49" t="str">
        <f t="shared" si="0"/>
        <v>NGM3</v>
      </c>
      <c r="V19" s="49">
        <f t="shared" si="1"/>
        <v>5</v>
      </c>
      <c r="W19" s="49">
        <f t="shared" si="2"/>
        <v>2.214</v>
      </c>
      <c r="X19" s="49">
        <f t="shared" si="3"/>
        <v>-11.85</v>
      </c>
      <c r="AC19" s="51"/>
      <c r="AD19" s="52"/>
      <c r="AE19" s="48"/>
    </row>
    <row r="20" spans="1:31" x14ac:dyDescent="0.4">
      <c r="A20" s="1" t="s">
        <v>138</v>
      </c>
      <c r="B20" s="1" t="s">
        <v>83</v>
      </c>
      <c r="C20" s="1" t="s">
        <v>82</v>
      </c>
      <c r="D20" s="1" t="s">
        <v>149</v>
      </c>
      <c r="E20" s="1" t="s">
        <v>148</v>
      </c>
      <c r="F20" s="1" t="s">
        <v>93</v>
      </c>
      <c r="G20" s="1" t="s">
        <v>5</v>
      </c>
      <c r="H20" s="1">
        <v>10000</v>
      </c>
      <c r="J20" s="51">
        <v>45072</v>
      </c>
      <c r="L20" s="51">
        <v>45048</v>
      </c>
      <c r="M20" s="1" t="s">
        <v>139</v>
      </c>
      <c r="N20" s="1">
        <v>-5</v>
      </c>
      <c r="O20" s="1">
        <v>2.2149999999999999</v>
      </c>
      <c r="P20" s="1">
        <v>-110750</v>
      </c>
      <c r="Q20" s="1">
        <v>-11.85</v>
      </c>
      <c r="R20" s="1" t="s">
        <v>83</v>
      </c>
      <c r="T20" s="50">
        <f>IF(ISNUMBER(VLOOKUP(U20,Blotter!B:C,2,0)),VLOOKUP(U20,Blotter!B:C,2,0),"")</f>
        <v>2</v>
      </c>
      <c r="U20" s="49" t="str">
        <f t="shared" si="0"/>
        <v>NGM3</v>
      </c>
      <c r="V20" s="49">
        <f t="shared" si="1"/>
        <v>-5</v>
      </c>
      <c r="W20" s="49">
        <f t="shared" si="2"/>
        <v>2.2149999999999999</v>
      </c>
      <c r="X20" s="49">
        <f t="shared" si="3"/>
        <v>-11.85</v>
      </c>
      <c r="AC20" s="51"/>
      <c r="AD20" s="52"/>
      <c r="AE20" s="48"/>
    </row>
    <row r="21" spans="1:31" x14ac:dyDescent="0.4">
      <c r="A21" s="1" t="s">
        <v>138</v>
      </c>
      <c r="B21" s="1" t="s">
        <v>83</v>
      </c>
      <c r="C21" s="1" t="s">
        <v>87</v>
      </c>
      <c r="D21" s="1" t="s">
        <v>153</v>
      </c>
      <c r="E21" s="1" t="s">
        <v>152</v>
      </c>
      <c r="F21" s="1" t="s">
        <v>129</v>
      </c>
      <c r="G21" s="1" t="s">
        <v>4</v>
      </c>
      <c r="H21" s="1">
        <v>100</v>
      </c>
      <c r="I21" s="1">
        <v>3850</v>
      </c>
      <c r="J21" s="51">
        <v>45093</v>
      </c>
      <c r="K21" s="1" t="s">
        <v>89</v>
      </c>
      <c r="L21" s="51">
        <v>45051</v>
      </c>
      <c r="M21" s="1" t="s">
        <v>139</v>
      </c>
      <c r="N21" s="1">
        <v>-6</v>
      </c>
      <c r="O21" s="1">
        <v>27</v>
      </c>
      <c r="P21" s="1">
        <v>-16200</v>
      </c>
      <c r="Q21" s="1">
        <v>-8.1692999999999998</v>
      </c>
      <c r="R21" s="1" t="s">
        <v>83</v>
      </c>
      <c r="T21" s="50">
        <f>IF(ISNUMBER(VLOOKUP(U21,Blotter!B:C,2,0)),VLOOKUP(U21,Blotter!B:C,2,0),"")</f>
        <v>1</v>
      </c>
      <c r="U21" s="49" t="str">
        <f t="shared" si="0"/>
        <v>SPX   230616P03850000</v>
      </c>
      <c r="V21" s="49">
        <f t="shared" si="1"/>
        <v>-6</v>
      </c>
      <c r="W21" s="49">
        <f t="shared" si="2"/>
        <v>27</v>
      </c>
      <c r="X21" s="49">
        <f t="shared" si="3"/>
        <v>-8.1692999999999998</v>
      </c>
      <c r="AC21" s="51"/>
      <c r="AD21" s="52"/>
      <c r="AE21" s="48"/>
    </row>
    <row r="22" spans="1:31" x14ac:dyDescent="0.4">
      <c r="A22" s="1" t="s">
        <v>138</v>
      </c>
      <c r="B22" s="1" t="s">
        <v>83</v>
      </c>
      <c r="C22" s="1" t="s">
        <v>86</v>
      </c>
      <c r="D22" s="1" t="s">
        <v>142</v>
      </c>
      <c r="E22" s="1" t="s">
        <v>141</v>
      </c>
      <c r="F22" s="1" t="s">
        <v>124</v>
      </c>
      <c r="G22" s="1" t="s">
        <v>140</v>
      </c>
      <c r="H22" s="1">
        <v>20</v>
      </c>
      <c r="I22" s="1">
        <v>13800</v>
      </c>
      <c r="J22" s="51">
        <v>45107</v>
      </c>
      <c r="K22" s="1" t="s">
        <v>57</v>
      </c>
      <c r="L22" s="51">
        <v>45054</v>
      </c>
      <c r="M22" s="1" t="s">
        <v>135</v>
      </c>
      <c r="N22" s="1">
        <v>1</v>
      </c>
      <c r="O22" s="1">
        <v>205</v>
      </c>
      <c r="P22" s="1">
        <v>4100</v>
      </c>
      <c r="Q22" s="1">
        <v>-1.42</v>
      </c>
      <c r="R22" s="1" t="s">
        <v>83</v>
      </c>
      <c r="T22" s="50">
        <f>IF(ISNUMBER(VLOOKUP(U22,Blotter!B:C,2,0)),VLOOKUP(U22,Blotter!B:C,2,0),"")</f>
        <v>5</v>
      </c>
      <c r="U22" s="49" t="str">
        <f t="shared" si="0"/>
        <v>QNEM3 C13800</v>
      </c>
      <c r="V22" s="49">
        <f t="shared" si="1"/>
        <v>1</v>
      </c>
      <c r="W22" s="49">
        <f t="shared" si="2"/>
        <v>205</v>
      </c>
      <c r="X22" s="49">
        <f t="shared" si="3"/>
        <v>-1.42</v>
      </c>
      <c r="AC22" s="51"/>
      <c r="AD22" s="52"/>
      <c r="AE22" s="48"/>
    </row>
    <row r="23" spans="1:31" x14ac:dyDescent="0.4">
      <c r="A23" s="1" t="s">
        <v>138</v>
      </c>
      <c r="B23" s="1" t="s">
        <v>83</v>
      </c>
      <c r="C23" s="1" t="s">
        <v>82</v>
      </c>
      <c r="D23" s="1" t="s">
        <v>147</v>
      </c>
      <c r="E23" s="1" t="s">
        <v>146</v>
      </c>
      <c r="F23" s="1" t="s">
        <v>124</v>
      </c>
      <c r="G23" s="1" t="s">
        <v>22</v>
      </c>
      <c r="H23" s="1">
        <v>20</v>
      </c>
      <c r="J23" s="51">
        <v>45093</v>
      </c>
      <c r="L23" s="51">
        <v>45055</v>
      </c>
      <c r="M23" s="1" t="s">
        <v>135</v>
      </c>
      <c r="N23" s="1">
        <v>1</v>
      </c>
      <c r="O23" s="1">
        <v>13290</v>
      </c>
      <c r="P23" s="1">
        <v>265800</v>
      </c>
      <c r="Q23" s="1">
        <v>-2.2000000000000002</v>
      </c>
      <c r="R23" s="1" t="s">
        <v>83</v>
      </c>
      <c r="T23" s="50">
        <f>IF(ISNUMBER(VLOOKUP(U23,Blotter!B:C,2,0)),VLOOKUP(U23,Blotter!B:C,2,0),"")</f>
        <v>5</v>
      </c>
      <c r="U23" s="49" t="str">
        <f t="shared" si="0"/>
        <v>NQM3</v>
      </c>
      <c r="V23" s="49">
        <f t="shared" si="1"/>
        <v>1</v>
      </c>
      <c r="W23" s="49">
        <f t="shared" si="2"/>
        <v>13290</v>
      </c>
      <c r="X23" s="49">
        <f t="shared" si="3"/>
        <v>-2.2000000000000002</v>
      </c>
      <c r="AC23" s="51"/>
      <c r="AD23" s="52"/>
      <c r="AE23" s="48"/>
    </row>
    <row r="24" spans="1:31" x14ac:dyDescent="0.4">
      <c r="A24" s="1" t="s">
        <v>138</v>
      </c>
      <c r="B24" s="1" t="s">
        <v>83</v>
      </c>
      <c r="C24" s="1" t="s">
        <v>82</v>
      </c>
      <c r="D24" s="1" t="s">
        <v>134</v>
      </c>
      <c r="E24" s="1" t="s">
        <v>143</v>
      </c>
      <c r="F24" s="1" t="s">
        <v>126</v>
      </c>
      <c r="G24" s="1" t="s">
        <v>27</v>
      </c>
      <c r="H24" s="1">
        <v>5000</v>
      </c>
      <c r="J24" s="51">
        <v>45134</v>
      </c>
      <c r="L24" s="51">
        <v>45061</v>
      </c>
      <c r="M24" s="1" t="s">
        <v>135</v>
      </c>
      <c r="N24" s="1">
        <v>1</v>
      </c>
      <c r="O24" s="1">
        <v>24.28</v>
      </c>
      <c r="P24" s="1">
        <v>121400</v>
      </c>
      <c r="Q24" s="1">
        <v>-2.42</v>
      </c>
      <c r="R24" s="1" t="s">
        <v>83</v>
      </c>
      <c r="T24" s="50">
        <f>IF(ISNUMBER(VLOOKUP(U24,Blotter!B:C,2,0)),VLOOKUP(U24,Blotter!B:C,2,0),"")</f>
        <v>6</v>
      </c>
      <c r="U24" s="49" t="str">
        <f t="shared" si="0"/>
        <v>SIN3</v>
      </c>
      <c r="V24" s="49">
        <f t="shared" si="1"/>
        <v>1</v>
      </c>
      <c r="W24" s="49">
        <f t="shared" si="2"/>
        <v>24.28</v>
      </c>
      <c r="X24" s="49">
        <f t="shared" si="3"/>
        <v>-2.42</v>
      </c>
      <c r="AC24" s="51"/>
      <c r="AD24" s="52"/>
      <c r="AE24" s="48"/>
    </row>
    <row r="25" spans="1:31" x14ac:dyDescent="0.4">
      <c r="A25" s="1" t="s">
        <v>138</v>
      </c>
      <c r="B25" s="1" t="s">
        <v>83</v>
      </c>
      <c r="C25" s="1" t="s">
        <v>82</v>
      </c>
      <c r="D25" s="1" t="s">
        <v>134</v>
      </c>
      <c r="E25" s="1" t="s">
        <v>143</v>
      </c>
      <c r="F25" s="1" t="s">
        <v>126</v>
      </c>
      <c r="G25" s="1" t="s">
        <v>27</v>
      </c>
      <c r="H25" s="1">
        <v>5000</v>
      </c>
      <c r="J25" s="51">
        <v>45134</v>
      </c>
      <c r="L25" s="51">
        <v>45061</v>
      </c>
      <c r="M25" s="1" t="s">
        <v>135</v>
      </c>
      <c r="N25" s="1">
        <v>1</v>
      </c>
      <c r="O25" s="1">
        <v>24.2</v>
      </c>
      <c r="P25" s="1">
        <v>121000</v>
      </c>
      <c r="Q25" s="1">
        <v>-2.42</v>
      </c>
      <c r="R25" s="1" t="s">
        <v>83</v>
      </c>
      <c r="T25" s="50">
        <f>IF(ISNUMBER(VLOOKUP(U25,Blotter!B:C,2,0)),VLOOKUP(U25,Blotter!B:C,2,0),"")</f>
        <v>6</v>
      </c>
      <c r="U25" s="49" t="str">
        <f t="shared" si="0"/>
        <v>SIN3</v>
      </c>
      <c r="V25" s="49">
        <f t="shared" si="1"/>
        <v>1</v>
      </c>
      <c r="W25" s="49">
        <f t="shared" si="2"/>
        <v>24.2</v>
      </c>
      <c r="X25" s="49">
        <f t="shared" si="3"/>
        <v>-2.42</v>
      </c>
      <c r="AC25" s="51"/>
      <c r="AD25" s="52"/>
      <c r="AE25" s="48"/>
    </row>
    <row r="26" spans="1:31" x14ac:dyDescent="0.4">
      <c r="A26" s="1" t="s">
        <v>138</v>
      </c>
      <c r="B26" s="1" t="s">
        <v>83</v>
      </c>
      <c r="C26" s="1" t="s">
        <v>86</v>
      </c>
      <c r="D26" s="1" t="s">
        <v>142</v>
      </c>
      <c r="E26" s="1" t="s">
        <v>141</v>
      </c>
      <c r="F26" s="1" t="s">
        <v>124</v>
      </c>
      <c r="G26" s="1" t="s">
        <v>140</v>
      </c>
      <c r="H26" s="1">
        <v>20</v>
      </c>
      <c r="I26" s="1">
        <v>13800</v>
      </c>
      <c r="J26" s="51">
        <v>45107</v>
      </c>
      <c r="K26" s="1" t="s">
        <v>57</v>
      </c>
      <c r="L26" s="51">
        <v>45062</v>
      </c>
      <c r="M26" s="1" t="s">
        <v>139</v>
      </c>
      <c r="N26" s="1">
        <v>-1</v>
      </c>
      <c r="O26" s="1">
        <v>275</v>
      </c>
      <c r="P26" s="1">
        <v>-5500</v>
      </c>
      <c r="Q26" s="1">
        <v>-1.42</v>
      </c>
      <c r="R26" s="1" t="s">
        <v>83</v>
      </c>
      <c r="T26" s="50">
        <f>IF(ISNUMBER(VLOOKUP(U26,Blotter!B:C,2,0)),VLOOKUP(U26,Blotter!B:C,2,0),"")</f>
        <v>5</v>
      </c>
      <c r="U26" s="49" t="str">
        <f t="shared" si="0"/>
        <v>QNEM3 C13800</v>
      </c>
      <c r="V26" s="49">
        <f t="shared" si="1"/>
        <v>-1</v>
      </c>
      <c r="W26" s="49">
        <f t="shared" si="2"/>
        <v>275</v>
      </c>
      <c r="X26" s="49">
        <f t="shared" si="3"/>
        <v>-1.42</v>
      </c>
      <c r="AC26" s="51"/>
      <c r="AD26" s="52"/>
      <c r="AE26" s="48"/>
    </row>
    <row r="27" spans="1:31" x14ac:dyDescent="0.4">
      <c r="A27" s="1" t="s">
        <v>138</v>
      </c>
      <c r="B27" s="1" t="s">
        <v>83</v>
      </c>
      <c r="C27" s="1" t="s">
        <v>82</v>
      </c>
      <c r="D27" s="1" t="s">
        <v>145</v>
      </c>
      <c r="E27" s="1" t="s">
        <v>144</v>
      </c>
      <c r="F27" s="1" t="s">
        <v>93</v>
      </c>
      <c r="G27" s="1" t="s">
        <v>9</v>
      </c>
      <c r="H27" s="1">
        <v>42000</v>
      </c>
      <c r="J27" s="51">
        <v>45077</v>
      </c>
      <c r="L27" s="51">
        <v>45063</v>
      </c>
      <c r="M27" s="1" t="s">
        <v>139</v>
      </c>
      <c r="N27" s="1">
        <v>-1</v>
      </c>
      <c r="O27" s="1">
        <v>2.5487000000000002</v>
      </c>
      <c r="P27" s="1">
        <v>-107045.4</v>
      </c>
      <c r="Q27" s="1">
        <v>-2.37</v>
      </c>
      <c r="R27" s="1" t="s">
        <v>83</v>
      </c>
      <c r="T27" s="50">
        <f>IF(ISNUMBER(VLOOKUP(U27,Blotter!B:C,2,0)),VLOOKUP(U27,Blotter!B:C,2,0),"")</f>
        <v>3</v>
      </c>
      <c r="U27" s="49" t="str">
        <f t="shared" si="0"/>
        <v>RBM3</v>
      </c>
      <c r="V27" s="49">
        <f t="shared" si="1"/>
        <v>-1</v>
      </c>
      <c r="W27" s="49">
        <f t="shared" si="2"/>
        <v>2.5487000000000002</v>
      </c>
      <c r="X27" s="49">
        <f t="shared" si="3"/>
        <v>-2.37</v>
      </c>
      <c r="AC27" s="51"/>
      <c r="AD27" s="52"/>
      <c r="AE27" s="48"/>
    </row>
    <row r="28" spans="1:31" x14ac:dyDescent="0.4">
      <c r="A28" s="1" t="s">
        <v>138</v>
      </c>
      <c r="B28" s="1" t="s">
        <v>83</v>
      </c>
      <c r="C28" s="1" t="s">
        <v>82</v>
      </c>
      <c r="D28" s="1" t="s">
        <v>134</v>
      </c>
      <c r="E28" s="1" t="s">
        <v>143</v>
      </c>
      <c r="F28" s="1" t="s">
        <v>126</v>
      </c>
      <c r="G28" s="1" t="s">
        <v>27</v>
      </c>
      <c r="H28" s="1">
        <v>5000</v>
      </c>
      <c r="J28" s="51">
        <v>45134</v>
      </c>
      <c r="L28" s="51">
        <v>45063</v>
      </c>
      <c r="M28" s="1" t="s">
        <v>135</v>
      </c>
      <c r="N28" s="1">
        <v>1</v>
      </c>
      <c r="O28" s="1">
        <v>23.78</v>
      </c>
      <c r="P28" s="1">
        <v>118900</v>
      </c>
      <c r="Q28" s="1">
        <v>-2.42</v>
      </c>
      <c r="R28" s="1" t="s">
        <v>83</v>
      </c>
      <c r="T28" s="50">
        <f>IF(ISNUMBER(VLOOKUP(U28,Blotter!B:C,2,0)),VLOOKUP(U28,Blotter!B:C,2,0),"")</f>
        <v>6</v>
      </c>
      <c r="U28" s="49" t="str">
        <f t="shared" si="0"/>
        <v>SIN3</v>
      </c>
      <c r="V28" s="49">
        <f t="shared" si="1"/>
        <v>1</v>
      </c>
      <c r="W28" s="49">
        <f t="shared" si="2"/>
        <v>23.78</v>
      </c>
      <c r="X28" s="49">
        <f t="shared" si="3"/>
        <v>-2.42</v>
      </c>
      <c r="AC28" s="51"/>
      <c r="AD28" s="52"/>
      <c r="AE28" s="48"/>
    </row>
    <row r="29" spans="1:31" x14ac:dyDescent="0.4">
      <c r="A29" s="1" t="s">
        <v>138</v>
      </c>
      <c r="B29" s="1" t="s">
        <v>83</v>
      </c>
      <c r="C29" s="1" t="s">
        <v>82</v>
      </c>
      <c r="D29" s="1" t="s">
        <v>147</v>
      </c>
      <c r="E29" s="1" t="s">
        <v>146</v>
      </c>
      <c r="F29" s="1" t="s">
        <v>124</v>
      </c>
      <c r="G29" s="1" t="s">
        <v>22</v>
      </c>
      <c r="H29" s="1">
        <v>20</v>
      </c>
      <c r="J29" s="51">
        <v>45093</v>
      </c>
      <c r="L29" s="51">
        <v>45064</v>
      </c>
      <c r="M29" s="1" t="s">
        <v>139</v>
      </c>
      <c r="N29" s="1">
        <v>-1</v>
      </c>
      <c r="O29" s="1">
        <v>13800</v>
      </c>
      <c r="P29" s="1">
        <v>-276000</v>
      </c>
      <c r="Q29" s="1">
        <v>-2.2000000000000002</v>
      </c>
      <c r="R29" s="1" t="s">
        <v>83</v>
      </c>
      <c r="T29" s="50">
        <f>IF(ISNUMBER(VLOOKUP(U29,Blotter!B:C,2,0)),VLOOKUP(U29,Blotter!B:C,2,0),"")</f>
        <v>5</v>
      </c>
      <c r="U29" s="49" t="str">
        <f t="shared" si="0"/>
        <v>NQM3</v>
      </c>
      <c r="V29" s="49">
        <f t="shared" si="1"/>
        <v>-1</v>
      </c>
      <c r="W29" s="49">
        <f t="shared" si="2"/>
        <v>13800</v>
      </c>
      <c r="X29" s="49">
        <f t="shared" si="3"/>
        <v>-2.2000000000000002</v>
      </c>
      <c r="AC29" s="51"/>
      <c r="AD29" s="52"/>
      <c r="AE29" s="48"/>
    </row>
    <row r="30" spans="1:31" x14ac:dyDescent="0.4">
      <c r="A30" s="1" t="s">
        <v>138</v>
      </c>
      <c r="B30" s="1" t="s">
        <v>83</v>
      </c>
      <c r="C30" s="1" t="s">
        <v>82</v>
      </c>
      <c r="D30" s="1" t="s">
        <v>145</v>
      </c>
      <c r="E30" s="1" t="s">
        <v>144</v>
      </c>
      <c r="F30" s="1" t="s">
        <v>93</v>
      </c>
      <c r="G30" s="1" t="s">
        <v>9</v>
      </c>
      <c r="H30" s="1">
        <v>42000</v>
      </c>
      <c r="J30" s="51">
        <v>45077</v>
      </c>
      <c r="L30" s="51">
        <v>45065</v>
      </c>
      <c r="M30" s="1" t="s">
        <v>139</v>
      </c>
      <c r="N30" s="1">
        <v>-1</v>
      </c>
      <c r="O30" s="1">
        <v>2.6</v>
      </c>
      <c r="P30" s="1">
        <v>-109200</v>
      </c>
      <c r="Q30" s="1">
        <v>-2.37</v>
      </c>
      <c r="R30" s="1" t="s">
        <v>83</v>
      </c>
      <c r="T30" s="50">
        <f>IF(ISNUMBER(VLOOKUP(U30,Blotter!B:C,2,0)),VLOOKUP(U30,Blotter!B:C,2,0),"")</f>
        <v>3</v>
      </c>
      <c r="U30" s="49" t="str">
        <f t="shared" si="0"/>
        <v>RBM3</v>
      </c>
      <c r="V30" s="49">
        <f t="shared" si="1"/>
        <v>-1</v>
      </c>
      <c r="W30" s="49">
        <f t="shared" si="2"/>
        <v>2.6</v>
      </c>
      <c r="X30" s="49">
        <f t="shared" si="3"/>
        <v>-2.37</v>
      </c>
      <c r="AC30" s="51"/>
      <c r="AD30" s="52"/>
      <c r="AE30" s="48"/>
    </row>
    <row r="31" spans="1:31" x14ac:dyDescent="0.4">
      <c r="A31" s="1" t="s">
        <v>138</v>
      </c>
      <c r="B31" s="1" t="s">
        <v>83</v>
      </c>
      <c r="C31" s="1" t="s">
        <v>82</v>
      </c>
      <c r="D31" s="1" t="s">
        <v>188</v>
      </c>
      <c r="E31" s="1" t="s">
        <v>189</v>
      </c>
      <c r="F31" s="1" t="s">
        <v>93</v>
      </c>
      <c r="G31" s="1" t="s">
        <v>5</v>
      </c>
      <c r="H31" s="1">
        <v>10000</v>
      </c>
      <c r="J31" s="51">
        <v>45105</v>
      </c>
      <c r="L31" s="51">
        <v>45068</v>
      </c>
      <c r="M31" s="1" t="s">
        <v>135</v>
      </c>
      <c r="N31" s="1">
        <v>3</v>
      </c>
      <c r="O31" s="1">
        <v>2.61</v>
      </c>
      <c r="P31" s="1">
        <v>78300</v>
      </c>
      <c r="Q31" s="1">
        <v>-7.11</v>
      </c>
      <c r="R31" s="1" t="s">
        <v>83</v>
      </c>
      <c r="T31" s="50">
        <f>IF(ISNUMBER(VLOOKUP(U31,Blotter!B:C,2,0)),VLOOKUP(U31,Blotter!B:C,2,0),"")</f>
        <v>2</v>
      </c>
      <c r="U31" s="49" t="str">
        <f t="shared" si="0"/>
        <v>NGN3</v>
      </c>
      <c r="V31" s="49">
        <f t="shared" si="1"/>
        <v>3</v>
      </c>
      <c r="W31" s="49">
        <f t="shared" si="2"/>
        <v>2.61</v>
      </c>
      <c r="X31" s="49">
        <f t="shared" si="3"/>
        <v>-7.11</v>
      </c>
      <c r="AC31" s="51"/>
      <c r="AD31" s="52"/>
      <c r="AE31" s="48"/>
    </row>
    <row r="32" spans="1:31" x14ac:dyDescent="0.4">
      <c r="A32" s="1" t="s">
        <v>138</v>
      </c>
      <c r="B32" s="1" t="s">
        <v>83</v>
      </c>
      <c r="C32" s="1" t="s">
        <v>82</v>
      </c>
      <c r="D32" s="1" t="s">
        <v>188</v>
      </c>
      <c r="E32" s="1" t="s">
        <v>189</v>
      </c>
      <c r="F32" s="1" t="s">
        <v>93</v>
      </c>
      <c r="G32" s="1" t="s">
        <v>5</v>
      </c>
      <c r="H32" s="1">
        <v>10000</v>
      </c>
      <c r="J32" s="51">
        <v>45105</v>
      </c>
      <c r="L32" s="51">
        <v>45068</v>
      </c>
      <c r="M32" s="1" t="s">
        <v>135</v>
      </c>
      <c r="N32" s="1">
        <v>2</v>
      </c>
      <c r="O32" s="1">
        <v>2.61</v>
      </c>
      <c r="P32" s="1">
        <v>52200</v>
      </c>
      <c r="Q32" s="1">
        <v>-4.74</v>
      </c>
      <c r="R32" s="1" t="s">
        <v>83</v>
      </c>
      <c r="T32" s="50">
        <f>IF(ISNUMBER(VLOOKUP(U32,Blotter!B:C,2,0)),VLOOKUP(U32,Blotter!B:C,2,0),"")</f>
        <v>2</v>
      </c>
      <c r="U32" s="49" t="str">
        <f t="shared" ref="U32" si="4">D32</f>
        <v>NGN3</v>
      </c>
      <c r="V32" s="49">
        <f t="shared" ref="V32" si="5">N32</f>
        <v>2</v>
      </c>
      <c r="W32" s="49">
        <f t="shared" ref="W32" si="6">O32</f>
        <v>2.61</v>
      </c>
      <c r="X32" s="49">
        <f t="shared" ref="X32" si="7">Q32</f>
        <v>-4.74</v>
      </c>
      <c r="AC32" s="51"/>
      <c r="AD32" s="52"/>
      <c r="AE32" s="48"/>
    </row>
    <row r="33" spans="1:31" x14ac:dyDescent="0.4">
      <c r="A33" s="1" t="s">
        <v>138</v>
      </c>
      <c r="B33" s="1" t="s">
        <v>83</v>
      </c>
      <c r="C33" s="1" t="s">
        <v>82</v>
      </c>
      <c r="D33" s="1" t="s">
        <v>149</v>
      </c>
      <c r="E33" s="1" t="s">
        <v>148</v>
      </c>
      <c r="F33" s="1" t="s">
        <v>93</v>
      </c>
      <c r="G33" s="1" t="s">
        <v>5</v>
      </c>
      <c r="H33" s="1">
        <v>10000</v>
      </c>
      <c r="J33" s="51">
        <v>45072</v>
      </c>
      <c r="L33" s="51">
        <v>45070</v>
      </c>
      <c r="M33" s="1" t="s">
        <v>139</v>
      </c>
      <c r="N33" s="1">
        <v>-5</v>
      </c>
      <c r="O33" s="1">
        <v>2.4</v>
      </c>
      <c r="P33" s="1">
        <v>-120000</v>
      </c>
      <c r="Q33" s="1">
        <v>-11.85</v>
      </c>
      <c r="R33" s="1" t="s">
        <v>83</v>
      </c>
      <c r="T33" s="50">
        <f>IF(ISNUMBER(VLOOKUP(U33,Blotter!B:C,2,0)),VLOOKUP(U33,Blotter!B:C,2,0),"")</f>
        <v>2</v>
      </c>
      <c r="U33" s="49" t="str">
        <f t="shared" ref="U33" si="8">D33</f>
        <v>NGM3</v>
      </c>
      <c r="V33" s="49">
        <f t="shared" ref="V33" si="9">N33</f>
        <v>-5</v>
      </c>
      <c r="W33" s="49">
        <f t="shared" ref="W33" si="10">O33</f>
        <v>2.4</v>
      </c>
      <c r="X33" s="49">
        <f t="shared" ref="X33" si="11">Q33</f>
        <v>-11.85</v>
      </c>
      <c r="AC33" s="51"/>
      <c r="AD33" s="52"/>
      <c r="AE33" s="48"/>
    </row>
    <row r="34" spans="1:31" x14ac:dyDescent="0.4">
      <c r="A34" s="1" t="s">
        <v>138</v>
      </c>
      <c r="B34" s="1" t="s">
        <v>83</v>
      </c>
      <c r="C34" s="1" t="s">
        <v>82</v>
      </c>
      <c r="D34" s="1" t="s">
        <v>188</v>
      </c>
      <c r="E34" s="1" t="s">
        <v>189</v>
      </c>
      <c r="F34" s="1" t="s">
        <v>93</v>
      </c>
      <c r="G34" s="1" t="s">
        <v>5</v>
      </c>
      <c r="H34" s="1">
        <v>10000</v>
      </c>
      <c r="J34" s="51">
        <v>45105</v>
      </c>
      <c r="L34" s="51">
        <v>45071</v>
      </c>
      <c r="M34" s="1" t="s">
        <v>135</v>
      </c>
      <c r="N34" s="1">
        <v>1</v>
      </c>
      <c r="O34" s="1">
        <v>2.5099999999999998</v>
      </c>
      <c r="P34" s="1">
        <v>25100</v>
      </c>
      <c r="Q34" s="1">
        <v>-2.37</v>
      </c>
      <c r="R34" s="1" t="s">
        <v>83</v>
      </c>
      <c r="T34" s="50">
        <f>IF(ISNUMBER(VLOOKUP(U34,Blotter!B:C,2,0)),VLOOKUP(U34,Blotter!B:C,2,0),"")</f>
        <v>2</v>
      </c>
      <c r="U34" s="49" t="str">
        <f t="shared" ref="U34:U35" si="12">D34</f>
        <v>NGN3</v>
      </c>
      <c r="V34" s="49">
        <f t="shared" ref="V34:V35" si="13">N34</f>
        <v>1</v>
      </c>
      <c r="W34" s="49">
        <f t="shared" ref="W34:W35" si="14">O34</f>
        <v>2.5099999999999998</v>
      </c>
      <c r="X34" s="49">
        <f t="shared" ref="X34:X35" si="15">Q34</f>
        <v>-2.37</v>
      </c>
    </row>
    <row r="35" spans="1:31" x14ac:dyDescent="0.4">
      <c r="A35" s="1" t="s">
        <v>138</v>
      </c>
      <c r="B35" s="1" t="s">
        <v>83</v>
      </c>
      <c r="C35" s="1" t="s">
        <v>82</v>
      </c>
      <c r="D35" s="1" t="s">
        <v>188</v>
      </c>
      <c r="E35" s="1" t="s">
        <v>189</v>
      </c>
      <c r="F35" s="1" t="s">
        <v>93</v>
      </c>
      <c r="G35" s="1" t="s">
        <v>5</v>
      </c>
      <c r="H35" s="1">
        <v>10000</v>
      </c>
      <c r="J35" s="51">
        <v>45105</v>
      </c>
      <c r="L35" s="51">
        <v>45071</v>
      </c>
      <c r="M35" s="1" t="s">
        <v>135</v>
      </c>
      <c r="N35" s="1">
        <v>1</v>
      </c>
      <c r="O35" s="1">
        <v>2.5099999999999998</v>
      </c>
      <c r="P35" s="1">
        <v>25100</v>
      </c>
      <c r="Q35" s="1">
        <v>-2.37</v>
      </c>
      <c r="R35" s="1" t="s">
        <v>83</v>
      </c>
      <c r="T35" s="50">
        <f>IF(ISNUMBER(VLOOKUP(U35,Blotter!B:C,2,0)),VLOOKUP(U35,Blotter!B:C,2,0),"")</f>
        <v>2</v>
      </c>
      <c r="U35" s="49" t="str">
        <f t="shared" si="12"/>
        <v>NGN3</v>
      </c>
      <c r="V35" s="49">
        <f t="shared" si="13"/>
        <v>1</v>
      </c>
      <c r="W35" s="49">
        <f t="shared" si="14"/>
        <v>2.5099999999999998</v>
      </c>
      <c r="X35" s="49">
        <f t="shared" si="15"/>
        <v>-2.37</v>
      </c>
    </row>
    <row r="36" spans="1:31" x14ac:dyDescent="0.4">
      <c r="A36" s="1" t="s">
        <v>138</v>
      </c>
      <c r="B36" s="1" t="s">
        <v>83</v>
      </c>
      <c r="C36" s="1" t="s">
        <v>82</v>
      </c>
      <c r="D36" s="1" t="s">
        <v>188</v>
      </c>
      <c r="E36" s="1" t="s">
        <v>189</v>
      </c>
      <c r="F36" s="1" t="s">
        <v>93</v>
      </c>
      <c r="G36" s="1" t="s">
        <v>5</v>
      </c>
      <c r="H36" s="1">
        <v>10000</v>
      </c>
      <c r="J36" s="51">
        <v>45105</v>
      </c>
      <c r="L36" s="51">
        <v>45071</v>
      </c>
      <c r="M36" s="1" t="s">
        <v>135</v>
      </c>
      <c r="N36" s="1">
        <v>1</v>
      </c>
      <c r="O36" s="1">
        <v>2.5099999999999998</v>
      </c>
      <c r="P36" s="1">
        <v>25100</v>
      </c>
      <c r="Q36" s="1">
        <v>-2.37</v>
      </c>
      <c r="R36" s="1" t="s">
        <v>83</v>
      </c>
      <c r="T36" s="50">
        <f>IF(ISNUMBER(VLOOKUP(U36,Blotter!B:C,2,0)),VLOOKUP(U36,Blotter!B:C,2,0),"")</f>
        <v>2</v>
      </c>
      <c r="U36" s="49" t="str">
        <f t="shared" ref="U36:U44" si="16">D36</f>
        <v>NGN3</v>
      </c>
      <c r="V36" s="49">
        <f t="shared" ref="V36:V44" si="17">N36</f>
        <v>1</v>
      </c>
      <c r="W36" s="49">
        <f t="shared" ref="W36:W44" si="18">O36</f>
        <v>2.5099999999999998</v>
      </c>
      <c r="X36" s="49">
        <f t="shared" ref="X36:X44" si="19">Q36</f>
        <v>-2.37</v>
      </c>
    </row>
    <row r="37" spans="1:31" x14ac:dyDescent="0.4">
      <c r="A37" s="1" t="s">
        <v>138</v>
      </c>
      <c r="B37" s="1" t="s">
        <v>83</v>
      </c>
      <c r="C37" s="1" t="s">
        <v>82</v>
      </c>
      <c r="D37" s="1" t="s">
        <v>188</v>
      </c>
      <c r="E37" s="1" t="s">
        <v>189</v>
      </c>
      <c r="F37" s="1" t="s">
        <v>93</v>
      </c>
      <c r="G37" s="1" t="s">
        <v>5</v>
      </c>
      <c r="H37" s="1">
        <v>10000</v>
      </c>
      <c r="J37" s="51">
        <v>45105</v>
      </c>
      <c r="L37" s="51">
        <v>45071</v>
      </c>
      <c r="M37" s="1" t="s">
        <v>135</v>
      </c>
      <c r="N37" s="1">
        <v>2</v>
      </c>
      <c r="O37" s="1">
        <v>2.5099999999999998</v>
      </c>
      <c r="P37" s="1">
        <v>50200</v>
      </c>
      <c r="Q37" s="1">
        <v>-4.74</v>
      </c>
      <c r="R37" s="1" t="s">
        <v>83</v>
      </c>
      <c r="T37" s="50">
        <f>IF(ISNUMBER(VLOOKUP(U37,Blotter!B:C,2,0)),VLOOKUP(U37,Blotter!B:C,2,0),"")</f>
        <v>2</v>
      </c>
      <c r="U37" s="49" t="str">
        <f t="shared" si="16"/>
        <v>NGN3</v>
      </c>
      <c r="V37" s="49">
        <f t="shared" si="17"/>
        <v>2</v>
      </c>
      <c r="W37" s="49">
        <f t="shared" si="18"/>
        <v>2.5099999999999998</v>
      </c>
      <c r="X37" s="49">
        <f t="shared" si="19"/>
        <v>-4.74</v>
      </c>
    </row>
    <row r="38" spans="1:31" x14ac:dyDescent="0.4">
      <c r="A38" s="1" t="s">
        <v>138</v>
      </c>
      <c r="B38" s="1" t="s">
        <v>83</v>
      </c>
      <c r="C38" s="1" t="s">
        <v>82</v>
      </c>
      <c r="D38" s="1" t="s">
        <v>134</v>
      </c>
      <c r="E38" s="1" t="s">
        <v>143</v>
      </c>
      <c r="F38" s="1" t="s">
        <v>126</v>
      </c>
      <c r="G38" s="1" t="s">
        <v>27</v>
      </c>
      <c r="H38" s="1">
        <v>5000</v>
      </c>
      <c r="J38" s="51">
        <v>45134</v>
      </c>
      <c r="L38" s="51">
        <v>45071</v>
      </c>
      <c r="M38" s="1" t="s">
        <v>135</v>
      </c>
      <c r="N38" s="1">
        <v>1</v>
      </c>
      <c r="O38" s="1">
        <v>22.89</v>
      </c>
      <c r="P38" s="1">
        <v>114450</v>
      </c>
      <c r="Q38" s="1">
        <v>-2.42</v>
      </c>
      <c r="R38" s="1" t="s">
        <v>83</v>
      </c>
      <c r="T38" s="50">
        <f>IF(ISNUMBER(VLOOKUP(U38,Blotter!B:C,2,0)),VLOOKUP(U38,Blotter!B:C,2,0),"")</f>
        <v>6</v>
      </c>
      <c r="U38" s="49" t="str">
        <f t="shared" si="16"/>
        <v>SIN3</v>
      </c>
      <c r="V38" s="49">
        <f t="shared" si="17"/>
        <v>1</v>
      </c>
      <c r="W38" s="49">
        <f t="shared" si="18"/>
        <v>22.89</v>
      </c>
      <c r="X38" s="49">
        <f t="shared" si="19"/>
        <v>-2.42</v>
      </c>
    </row>
    <row r="39" spans="1:31" x14ac:dyDescent="0.4">
      <c r="A39" s="1" t="s">
        <v>138</v>
      </c>
      <c r="B39" s="1" t="s">
        <v>83</v>
      </c>
      <c r="C39" s="1" t="s">
        <v>82</v>
      </c>
      <c r="D39" s="1" t="s">
        <v>134</v>
      </c>
      <c r="E39" s="1" t="s">
        <v>143</v>
      </c>
      <c r="F39" s="1" t="s">
        <v>126</v>
      </c>
      <c r="G39" s="1" t="s">
        <v>27</v>
      </c>
      <c r="H39" s="1">
        <v>5000</v>
      </c>
      <c r="J39" s="51">
        <v>45134</v>
      </c>
      <c r="L39" s="51">
        <v>45071</v>
      </c>
      <c r="M39" s="1" t="s">
        <v>135</v>
      </c>
      <c r="N39" s="1">
        <v>2</v>
      </c>
      <c r="O39" s="1">
        <v>22.89</v>
      </c>
      <c r="P39" s="1">
        <v>228900</v>
      </c>
      <c r="Q39" s="1">
        <v>-4.84</v>
      </c>
      <c r="R39" s="1" t="s">
        <v>83</v>
      </c>
      <c r="T39" s="50">
        <f>IF(ISNUMBER(VLOOKUP(U39,Blotter!B:C,2,0)),VLOOKUP(U39,Blotter!B:C,2,0),"")</f>
        <v>6</v>
      </c>
      <c r="U39" s="49" t="str">
        <f t="shared" si="16"/>
        <v>SIN3</v>
      </c>
      <c r="V39" s="49">
        <f t="shared" si="17"/>
        <v>2</v>
      </c>
      <c r="W39" s="49">
        <f t="shared" si="18"/>
        <v>22.89</v>
      </c>
      <c r="X39" s="49">
        <f t="shared" si="19"/>
        <v>-4.84</v>
      </c>
    </row>
    <row r="40" spans="1:31" x14ac:dyDescent="0.4">
      <c r="A40" s="1" t="s">
        <v>138</v>
      </c>
      <c r="B40" s="1" t="s">
        <v>83</v>
      </c>
      <c r="C40" s="1" t="s">
        <v>82</v>
      </c>
      <c r="D40" s="1" t="s">
        <v>134</v>
      </c>
      <c r="E40" s="1" t="s">
        <v>143</v>
      </c>
      <c r="F40" s="1" t="s">
        <v>126</v>
      </c>
      <c r="G40" s="1" t="s">
        <v>27</v>
      </c>
      <c r="H40" s="1">
        <v>5000</v>
      </c>
      <c r="J40" s="51">
        <v>45134</v>
      </c>
      <c r="L40" s="51">
        <v>45071</v>
      </c>
      <c r="M40" s="1" t="s">
        <v>135</v>
      </c>
      <c r="N40" s="1">
        <v>1</v>
      </c>
      <c r="O40" s="1">
        <v>22.94</v>
      </c>
      <c r="P40" s="1">
        <v>114700</v>
      </c>
      <c r="Q40" s="1">
        <v>-2.42</v>
      </c>
      <c r="R40" s="1" t="s">
        <v>83</v>
      </c>
      <c r="T40" s="50">
        <f>IF(ISNUMBER(VLOOKUP(U40,Blotter!B:C,2,0)),VLOOKUP(U40,Blotter!B:C,2,0),"")</f>
        <v>6</v>
      </c>
      <c r="U40" s="49" t="str">
        <f t="shared" si="16"/>
        <v>SIN3</v>
      </c>
      <c r="V40" s="49">
        <f t="shared" si="17"/>
        <v>1</v>
      </c>
      <c r="W40" s="49">
        <f t="shared" si="18"/>
        <v>22.94</v>
      </c>
      <c r="X40" s="49">
        <f t="shared" si="19"/>
        <v>-2.42</v>
      </c>
    </row>
    <row r="41" spans="1:31" x14ac:dyDescent="0.4">
      <c r="A41" s="1" t="s">
        <v>138</v>
      </c>
      <c r="B41" s="1" t="s">
        <v>83</v>
      </c>
      <c r="C41" s="1" t="s">
        <v>82</v>
      </c>
      <c r="D41" s="1" t="s">
        <v>134</v>
      </c>
      <c r="E41" s="1" t="s">
        <v>143</v>
      </c>
      <c r="F41" s="1" t="s">
        <v>126</v>
      </c>
      <c r="G41" s="1" t="s">
        <v>27</v>
      </c>
      <c r="H41" s="1">
        <v>5000</v>
      </c>
      <c r="J41" s="51">
        <v>45134</v>
      </c>
      <c r="L41" s="51">
        <v>45071</v>
      </c>
      <c r="M41" s="1" t="s">
        <v>135</v>
      </c>
      <c r="N41" s="1">
        <v>1</v>
      </c>
      <c r="O41" s="1">
        <v>22.94</v>
      </c>
      <c r="P41" s="1">
        <v>114700</v>
      </c>
      <c r="Q41" s="1">
        <v>-2.42</v>
      </c>
      <c r="R41" s="1" t="s">
        <v>83</v>
      </c>
      <c r="T41" s="50">
        <f>IF(ISNUMBER(VLOOKUP(U41,Blotter!B:C,2,0)),VLOOKUP(U41,Blotter!B:C,2,0),"")</f>
        <v>6</v>
      </c>
      <c r="U41" s="49" t="str">
        <f t="shared" si="16"/>
        <v>SIN3</v>
      </c>
      <c r="V41" s="49">
        <f t="shared" si="17"/>
        <v>1</v>
      </c>
      <c r="W41" s="49">
        <f t="shared" si="18"/>
        <v>22.94</v>
      </c>
      <c r="X41" s="49">
        <f t="shared" si="19"/>
        <v>-2.42</v>
      </c>
    </row>
    <row r="42" spans="1:31" x14ac:dyDescent="0.4">
      <c r="A42" s="1" t="s">
        <v>138</v>
      </c>
      <c r="B42" s="1" t="s">
        <v>83</v>
      </c>
      <c r="C42" s="1" t="s">
        <v>82</v>
      </c>
      <c r="D42" s="1" t="s">
        <v>134</v>
      </c>
      <c r="E42" s="1" t="s">
        <v>143</v>
      </c>
      <c r="F42" s="1" t="s">
        <v>126</v>
      </c>
      <c r="G42" s="1" t="s">
        <v>27</v>
      </c>
      <c r="H42" s="1">
        <v>5000</v>
      </c>
      <c r="J42" s="51">
        <v>45134</v>
      </c>
      <c r="L42" s="51">
        <v>45071</v>
      </c>
      <c r="M42" s="1" t="s">
        <v>139</v>
      </c>
      <c r="N42" s="1">
        <v>-1</v>
      </c>
      <c r="O42" s="1">
        <v>23.2</v>
      </c>
      <c r="P42" s="1">
        <v>-116000</v>
      </c>
      <c r="Q42" s="1">
        <v>-2.42</v>
      </c>
      <c r="R42" s="1" t="s">
        <v>83</v>
      </c>
      <c r="T42" s="50">
        <f>IF(ISNUMBER(VLOOKUP(U42,Blotter!B:C,2,0)),VLOOKUP(U42,Blotter!B:C,2,0),"")</f>
        <v>6</v>
      </c>
      <c r="U42" s="49" t="str">
        <f t="shared" si="16"/>
        <v>SIN3</v>
      </c>
      <c r="V42" s="49">
        <f t="shared" si="17"/>
        <v>-1</v>
      </c>
      <c r="W42" s="49">
        <f t="shared" si="18"/>
        <v>23.2</v>
      </c>
      <c r="X42" s="49">
        <f t="shared" si="19"/>
        <v>-2.42</v>
      </c>
    </row>
    <row r="43" spans="1:31" x14ac:dyDescent="0.4">
      <c r="A43" s="1" t="s">
        <v>138</v>
      </c>
      <c r="B43" s="1" t="s">
        <v>83</v>
      </c>
      <c r="C43" s="1" t="s">
        <v>82</v>
      </c>
      <c r="D43" s="1" t="s">
        <v>134</v>
      </c>
      <c r="E43" s="1" t="s">
        <v>143</v>
      </c>
      <c r="F43" s="1" t="s">
        <v>126</v>
      </c>
      <c r="G43" s="1" t="s">
        <v>27</v>
      </c>
      <c r="H43" s="1">
        <v>5000</v>
      </c>
      <c r="J43" s="51">
        <v>45134</v>
      </c>
      <c r="L43" s="51">
        <v>45071</v>
      </c>
      <c r="M43" s="1" t="s">
        <v>139</v>
      </c>
      <c r="N43" s="1">
        <v>-1</v>
      </c>
      <c r="O43" s="1">
        <v>23.2</v>
      </c>
      <c r="P43" s="1">
        <v>-116000</v>
      </c>
      <c r="Q43" s="1">
        <v>-2.42</v>
      </c>
      <c r="R43" s="1" t="s">
        <v>83</v>
      </c>
      <c r="T43" s="50">
        <f>IF(ISNUMBER(VLOOKUP(U43,Blotter!B:C,2,0)),VLOOKUP(U43,Blotter!B:C,2,0),"")</f>
        <v>6</v>
      </c>
      <c r="U43" s="49" t="str">
        <f t="shared" si="16"/>
        <v>SIN3</v>
      </c>
      <c r="V43" s="49">
        <f t="shared" si="17"/>
        <v>-1</v>
      </c>
      <c r="W43" s="49">
        <f t="shared" si="18"/>
        <v>23.2</v>
      </c>
      <c r="X43" s="49">
        <f t="shared" si="19"/>
        <v>-2.42</v>
      </c>
    </row>
    <row r="44" spans="1:31" x14ac:dyDescent="0.4">
      <c r="A44" s="1" t="s">
        <v>138</v>
      </c>
      <c r="B44" s="1" t="s">
        <v>83</v>
      </c>
      <c r="C44" s="1" t="s">
        <v>82</v>
      </c>
      <c r="D44" s="1" t="s">
        <v>134</v>
      </c>
      <c r="E44" s="1" t="s">
        <v>143</v>
      </c>
      <c r="F44" s="1" t="s">
        <v>126</v>
      </c>
      <c r="G44" s="1" t="s">
        <v>27</v>
      </c>
      <c r="H44" s="1">
        <v>5000</v>
      </c>
      <c r="J44" s="51">
        <v>45134</v>
      </c>
      <c r="L44" s="51">
        <v>45071</v>
      </c>
      <c r="M44" s="1" t="s">
        <v>139</v>
      </c>
      <c r="N44" s="1">
        <v>-1</v>
      </c>
      <c r="O44" s="1">
        <v>23.2</v>
      </c>
      <c r="P44" s="1">
        <v>-116000</v>
      </c>
      <c r="Q44" s="1">
        <v>-2.42</v>
      </c>
      <c r="R44" s="1" t="s">
        <v>83</v>
      </c>
      <c r="T44" s="50">
        <f>IF(ISNUMBER(VLOOKUP(U44,Blotter!B:C,2,0)),VLOOKUP(U44,Blotter!B:C,2,0),"")</f>
        <v>6</v>
      </c>
      <c r="U44" s="49" t="str">
        <f t="shared" si="16"/>
        <v>SIN3</v>
      </c>
      <c r="V44" s="49">
        <f t="shared" si="17"/>
        <v>-1</v>
      </c>
      <c r="W44" s="49">
        <f t="shared" si="18"/>
        <v>23.2</v>
      </c>
      <c r="X44" s="49">
        <f t="shared" si="19"/>
        <v>-2.42</v>
      </c>
    </row>
    <row r="45" spans="1:31" x14ac:dyDescent="0.4">
      <c r="A45" s="1" t="s">
        <v>138</v>
      </c>
      <c r="B45" s="1" t="s">
        <v>83</v>
      </c>
      <c r="C45" s="1" t="s">
        <v>82</v>
      </c>
      <c r="D45" s="1" t="s">
        <v>188</v>
      </c>
      <c r="E45" s="1" t="s">
        <v>189</v>
      </c>
      <c r="F45" s="1" t="s">
        <v>93</v>
      </c>
      <c r="G45" s="1" t="s">
        <v>5</v>
      </c>
      <c r="H45" s="1">
        <v>10000</v>
      </c>
      <c r="J45" s="51">
        <v>45105</v>
      </c>
      <c r="L45" s="51">
        <v>45072</v>
      </c>
      <c r="M45" s="1" t="s">
        <v>135</v>
      </c>
      <c r="N45" s="1">
        <v>1</v>
      </c>
      <c r="O45" s="1">
        <v>2.391</v>
      </c>
      <c r="P45" s="1">
        <v>23910</v>
      </c>
      <c r="Q45" s="1">
        <v>-2.37</v>
      </c>
      <c r="R45" s="1" t="s">
        <v>83</v>
      </c>
      <c r="T45" s="50">
        <f>IF(ISNUMBER(VLOOKUP(U45,Blotter!B:C,2,0)),VLOOKUP(U45,Blotter!B:C,2,0),"")</f>
        <v>2</v>
      </c>
      <c r="U45" s="49" t="str">
        <f t="shared" ref="U45:U51" si="20">D45</f>
        <v>NGN3</v>
      </c>
      <c r="V45" s="49">
        <f t="shared" ref="V45:V51" si="21">N45</f>
        <v>1</v>
      </c>
      <c r="W45" s="49">
        <f t="shared" ref="W45:W51" si="22">O45</f>
        <v>2.391</v>
      </c>
      <c r="X45" s="49">
        <f t="shared" ref="X45:X51" si="23">Q45</f>
        <v>-2.37</v>
      </c>
    </row>
    <row r="46" spans="1:31" x14ac:dyDescent="0.4">
      <c r="A46" s="1" t="s">
        <v>138</v>
      </c>
      <c r="B46" s="1" t="s">
        <v>83</v>
      </c>
      <c r="C46" s="1" t="s">
        <v>82</v>
      </c>
      <c r="D46" s="1" t="s">
        <v>188</v>
      </c>
      <c r="E46" s="1" t="s">
        <v>189</v>
      </c>
      <c r="F46" s="1" t="s">
        <v>93</v>
      </c>
      <c r="G46" s="1" t="s">
        <v>5</v>
      </c>
      <c r="H46" s="1">
        <v>10000</v>
      </c>
      <c r="J46" s="51">
        <v>45105</v>
      </c>
      <c r="L46" s="51">
        <v>45072</v>
      </c>
      <c r="M46" s="1" t="s">
        <v>135</v>
      </c>
      <c r="N46" s="1">
        <v>3</v>
      </c>
      <c r="O46" s="1">
        <v>2.391</v>
      </c>
      <c r="P46" s="1">
        <v>71730</v>
      </c>
      <c r="Q46" s="1">
        <v>-7.11</v>
      </c>
      <c r="R46" s="1" t="s">
        <v>83</v>
      </c>
      <c r="T46" s="50">
        <f>IF(ISNUMBER(VLOOKUP(U46,Blotter!B:C,2,0)),VLOOKUP(U46,Blotter!B:C,2,0),"")</f>
        <v>2</v>
      </c>
      <c r="U46" s="49" t="str">
        <f t="shared" si="20"/>
        <v>NGN3</v>
      </c>
      <c r="V46" s="49">
        <f t="shared" si="21"/>
        <v>3</v>
      </c>
      <c r="W46" s="49">
        <f t="shared" si="22"/>
        <v>2.391</v>
      </c>
      <c r="X46" s="49">
        <f t="shared" si="23"/>
        <v>-7.11</v>
      </c>
    </row>
    <row r="47" spans="1:31" x14ac:dyDescent="0.4">
      <c r="A47" s="1" t="s">
        <v>138</v>
      </c>
      <c r="B47" s="1" t="s">
        <v>83</v>
      </c>
      <c r="C47" s="1" t="s">
        <v>82</v>
      </c>
      <c r="D47" s="1" t="s">
        <v>188</v>
      </c>
      <c r="E47" s="1" t="s">
        <v>189</v>
      </c>
      <c r="F47" s="1" t="s">
        <v>93</v>
      </c>
      <c r="G47" s="1" t="s">
        <v>5</v>
      </c>
      <c r="H47" s="1">
        <v>10000</v>
      </c>
      <c r="J47" s="51">
        <v>45105</v>
      </c>
      <c r="L47" s="51">
        <v>45072</v>
      </c>
      <c r="M47" s="1" t="s">
        <v>135</v>
      </c>
      <c r="N47" s="1">
        <v>1</v>
      </c>
      <c r="O47" s="1">
        <v>2.391</v>
      </c>
      <c r="P47" s="1">
        <v>23910</v>
      </c>
      <c r="Q47" s="1">
        <v>-2.37</v>
      </c>
      <c r="R47" s="1" t="s">
        <v>83</v>
      </c>
      <c r="T47" s="50">
        <f>IF(ISNUMBER(VLOOKUP(U47,Blotter!B:C,2,0)),VLOOKUP(U47,Blotter!B:C,2,0),"")</f>
        <v>2</v>
      </c>
      <c r="U47" s="49" t="str">
        <f t="shared" si="20"/>
        <v>NGN3</v>
      </c>
      <c r="V47" s="49">
        <f t="shared" si="21"/>
        <v>1</v>
      </c>
      <c r="W47" s="49">
        <f t="shared" si="22"/>
        <v>2.391</v>
      </c>
      <c r="X47" s="49">
        <f t="shared" si="23"/>
        <v>-2.37</v>
      </c>
    </row>
    <row r="48" spans="1:31" x14ac:dyDescent="0.4">
      <c r="A48" s="1" t="s">
        <v>138</v>
      </c>
      <c r="B48" s="1" t="s">
        <v>83</v>
      </c>
      <c r="C48" s="1" t="s">
        <v>82</v>
      </c>
      <c r="D48" s="1" t="s">
        <v>188</v>
      </c>
      <c r="E48" s="1" t="s">
        <v>189</v>
      </c>
      <c r="F48" s="1" t="s">
        <v>93</v>
      </c>
      <c r="G48" s="1" t="s">
        <v>5</v>
      </c>
      <c r="H48" s="1">
        <v>10000</v>
      </c>
      <c r="J48" s="51">
        <v>45105</v>
      </c>
      <c r="L48" s="51">
        <v>45072</v>
      </c>
      <c r="M48" s="1" t="s">
        <v>135</v>
      </c>
      <c r="N48" s="1">
        <v>5</v>
      </c>
      <c r="O48" s="1">
        <v>2.3919999999999999</v>
      </c>
      <c r="P48" s="1">
        <v>119600</v>
      </c>
      <c r="Q48" s="1">
        <v>-11.85</v>
      </c>
      <c r="R48" s="1" t="s">
        <v>83</v>
      </c>
      <c r="T48" s="50">
        <f>IF(ISNUMBER(VLOOKUP(U48,Blotter!B:C,2,0)),VLOOKUP(U48,Blotter!B:C,2,0),"")</f>
        <v>2</v>
      </c>
      <c r="U48" s="49" t="str">
        <f t="shared" si="20"/>
        <v>NGN3</v>
      </c>
      <c r="V48" s="49">
        <f t="shared" si="21"/>
        <v>5</v>
      </c>
      <c r="W48" s="49">
        <f t="shared" si="22"/>
        <v>2.3919999999999999</v>
      </c>
      <c r="X48" s="49">
        <f t="shared" si="23"/>
        <v>-11.85</v>
      </c>
    </row>
    <row r="49" spans="1:24" x14ac:dyDescent="0.4">
      <c r="A49" s="1" t="s">
        <v>138</v>
      </c>
      <c r="B49" s="1" t="s">
        <v>83</v>
      </c>
      <c r="C49" s="1" t="s">
        <v>82</v>
      </c>
      <c r="D49" s="1" t="s">
        <v>188</v>
      </c>
      <c r="E49" s="1" t="s">
        <v>189</v>
      </c>
      <c r="F49" s="1" t="s">
        <v>93</v>
      </c>
      <c r="G49" s="1" t="s">
        <v>5</v>
      </c>
      <c r="H49" s="1">
        <v>10000</v>
      </c>
      <c r="J49" s="51">
        <v>45105</v>
      </c>
      <c r="L49" s="51">
        <v>45072</v>
      </c>
      <c r="M49" s="1" t="s">
        <v>139</v>
      </c>
      <c r="N49" s="1">
        <v>-3</v>
      </c>
      <c r="O49" s="1">
        <v>2.4300000000000002</v>
      </c>
      <c r="P49" s="1">
        <v>-72900</v>
      </c>
      <c r="Q49" s="1">
        <v>-7.11</v>
      </c>
      <c r="R49" s="1" t="s">
        <v>83</v>
      </c>
      <c r="T49" s="50">
        <f>IF(ISNUMBER(VLOOKUP(U49,Blotter!B:C,2,0)),VLOOKUP(U49,Blotter!B:C,2,0),"")</f>
        <v>2</v>
      </c>
      <c r="U49" s="49" t="str">
        <f t="shared" si="20"/>
        <v>NGN3</v>
      </c>
      <c r="V49" s="49">
        <f t="shared" si="21"/>
        <v>-3</v>
      </c>
      <c r="W49" s="49">
        <f t="shared" si="22"/>
        <v>2.4300000000000002</v>
      </c>
      <c r="X49" s="49">
        <f t="shared" si="23"/>
        <v>-7.11</v>
      </c>
    </row>
    <row r="50" spans="1:24" x14ac:dyDescent="0.4">
      <c r="A50" s="1" t="s">
        <v>138</v>
      </c>
      <c r="B50" s="1" t="s">
        <v>83</v>
      </c>
      <c r="C50" s="1" t="s">
        <v>82</v>
      </c>
      <c r="D50" s="1" t="s">
        <v>188</v>
      </c>
      <c r="E50" s="1" t="s">
        <v>189</v>
      </c>
      <c r="F50" s="1" t="s">
        <v>93</v>
      </c>
      <c r="G50" s="1" t="s">
        <v>5</v>
      </c>
      <c r="H50" s="1">
        <v>10000</v>
      </c>
      <c r="J50" s="51">
        <v>45105</v>
      </c>
      <c r="L50" s="51">
        <v>45072</v>
      </c>
      <c r="M50" s="1" t="s">
        <v>139</v>
      </c>
      <c r="N50" s="1">
        <v>-2</v>
      </c>
      <c r="O50" s="1">
        <v>2.4300000000000002</v>
      </c>
      <c r="P50" s="1">
        <v>-48600</v>
      </c>
      <c r="Q50" s="1">
        <v>-4.74</v>
      </c>
      <c r="R50" s="1" t="s">
        <v>83</v>
      </c>
      <c r="T50" s="50">
        <f>IF(ISNUMBER(VLOOKUP(U50,Blotter!B:C,2,0)),VLOOKUP(U50,Blotter!B:C,2,0),"")</f>
        <v>2</v>
      </c>
      <c r="U50" s="49" t="str">
        <f t="shared" si="20"/>
        <v>NGN3</v>
      </c>
      <c r="V50" s="49">
        <f t="shared" si="21"/>
        <v>-2</v>
      </c>
      <c r="W50" s="49">
        <f t="shared" si="22"/>
        <v>2.4300000000000002</v>
      </c>
      <c r="X50" s="49">
        <f t="shared" si="23"/>
        <v>-4.74</v>
      </c>
    </row>
    <row r="51" spans="1:24" x14ac:dyDescent="0.4">
      <c r="A51" s="1" t="s">
        <v>138</v>
      </c>
      <c r="B51" s="1" t="s">
        <v>83</v>
      </c>
      <c r="C51" s="1" t="s">
        <v>82</v>
      </c>
      <c r="D51" s="1" t="s">
        <v>134</v>
      </c>
      <c r="E51" s="1" t="s">
        <v>143</v>
      </c>
      <c r="F51" s="1" t="s">
        <v>126</v>
      </c>
      <c r="G51" s="1" t="s">
        <v>27</v>
      </c>
      <c r="H51" s="1">
        <v>5000</v>
      </c>
      <c r="J51" s="51">
        <v>45134</v>
      </c>
      <c r="L51" s="51">
        <v>45072</v>
      </c>
      <c r="M51" s="1" t="s">
        <v>139</v>
      </c>
      <c r="N51" s="1">
        <v>-2</v>
      </c>
      <c r="O51" s="1">
        <v>23</v>
      </c>
      <c r="P51" s="1">
        <v>-230000</v>
      </c>
      <c r="Q51" s="1">
        <v>-4.84</v>
      </c>
      <c r="R51" s="1" t="s">
        <v>83</v>
      </c>
      <c r="T51" s="50">
        <f>IF(ISNUMBER(VLOOKUP(U51,Blotter!B:C,2,0)),VLOOKUP(U51,Blotter!B:C,2,0),"")</f>
        <v>6</v>
      </c>
      <c r="U51" s="49" t="str">
        <f t="shared" si="20"/>
        <v>SIN3</v>
      </c>
      <c r="V51" s="49">
        <f t="shared" si="21"/>
        <v>-2</v>
      </c>
      <c r="W51" s="49">
        <f t="shared" si="22"/>
        <v>23</v>
      </c>
      <c r="X51" s="49">
        <f t="shared" si="23"/>
        <v>-4.84</v>
      </c>
    </row>
    <row r="52" spans="1:24" x14ac:dyDescent="0.4">
      <c r="A52" s="1" t="s">
        <v>138</v>
      </c>
      <c r="B52" s="1" t="s">
        <v>83</v>
      </c>
      <c r="C52" s="1" t="s">
        <v>82</v>
      </c>
      <c r="D52" s="1" t="s">
        <v>188</v>
      </c>
      <c r="E52" s="1" t="s">
        <v>189</v>
      </c>
      <c r="F52" s="1" t="s">
        <v>93</v>
      </c>
      <c r="G52" s="1" t="s">
        <v>5</v>
      </c>
      <c r="H52" s="1">
        <v>10000</v>
      </c>
      <c r="J52" s="51">
        <v>45105</v>
      </c>
      <c r="L52" s="51">
        <v>45076</v>
      </c>
      <c r="M52" s="1" t="s">
        <v>135</v>
      </c>
      <c r="N52" s="1">
        <v>5</v>
      </c>
      <c r="O52" s="1">
        <v>2.3532000000000002</v>
      </c>
      <c r="P52" s="1">
        <v>117660</v>
      </c>
      <c r="Q52" s="1">
        <v>-11.85</v>
      </c>
      <c r="R52" s="1" t="s">
        <v>83</v>
      </c>
      <c r="T52" s="50">
        <f>IF(ISNUMBER(VLOOKUP(U52,Blotter!B:C,2,0)),VLOOKUP(U52,Blotter!B:C,2,0),"")</f>
        <v>2</v>
      </c>
      <c r="U52" s="49" t="str">
        <f t="shared" ref="U52" si="24">D52</f>
        <v>NGN3</v>
      </c>
      <c r="V52" s="49">
        <f t="shared" ref="V52" si="25">N52</f>
        <v>5</v>
      </c>
      <c r="W52" s="49">
        <f t="shared" ref="W52" si="26">O52</f>
        <v>2.3532000000000002</v>
      </c>
      <c r="X52" s="49">
        <f t="shared" ref="X52" si="27">Q52</f>
        <v>-11.85</v>
      </c>
    </row>
    <row r="53" spans="1:24" x14ac:dyDescent="0.4">
      <c r="A53" s="1" t="s">
        <v>138</v>
      </c>
      <c r="B53" s="1" t="s">
        <v>83</v>
      </c>
      <c r="C53" s="1" t="s">
        <v>82</v>
      </c>
      <c r="D53" s="1" t="s">
        <v>193</v>
      </c>
      <c r="E53" s="1" t="s">
        <v>194</v>
      </c>
      <c r="F53" s="1" t="s">
        <v>126</v>
      </c>
      <c r="G53" s="1" t="s">
        <v>25</v>
      </c>
      <c r="H53" s="1">
        <v>25000</v>
      </c>
      <c r="J53" s="51">
        <v>45134</v>
      </c>
      <c r="L53" s="51">
        <v>45078</v>
      </c>
      <c r="M53" s="1" t="s">
        <v>135</v>
      </c>
      <c r="N53" s="1">
        <v>2</v>
      </c>
      <c r="O53" s="1">
        <v>3.72</v>
      </c>
      <c r="P53" s="1">
        <v>186000</v>
      </c>
      <c r="Q53" s="1">
        <v>-4.84</v>
      </c>
      <c r="R53" s="1" t="s">
        <v>83</v>
      </c>
      <c r="T53" s="50">
        <f>IF(ISNUMBER(VLOOKUP(U53,Blotter!B:C,2,0)),VLOOKUP(U53,Blotter!B:C,2,0),"")</f>
        <v>8</v>
      </c>
      <c r="U53" s="49" t="str">
        <f t="shared" ref="U53:U54" si="28">D53</f>
        <v>HGN3</v>
      </c>
      <c r="V53" s="49">
        <f t="shared" ref="V53:V54" si="29">N53</f>
        <v>2</v>
      </c>
      <c r="W53" s="49">
        <f t="shared" ref="W53:W54" si="30">O53</f>
        <v>3.72</v>
      </c>
      <c r="X53" s="49">
        <f t="shared" ref="X53:X54" si="31">Q53</f>
        <v>-4.84</v>
      </c>
    </row>
    <row r="54" spans="1:24" x14ac:dyDescent="0.4">
      <c r="A54" s="1" t="s">
        <v>138</v>
      </c>
      <c r="B54" s="1" t="s">
        <v>83</v>
      </c>
      <c r="C54" s="1" t="s">
        <v>82</v>
      </c>
      <c r="D54" s="1" t="s">
        <v>188</v>
      </c>
      <c r="E54" s="1" t="s">
        <v>189</v>
      </c>
      <c r="F54" s="1" t="s">
        <v>93</v>
      </c>
      <c r="G54" s="1" t="s">
        <v>5</v>
      </c>
      <c r="H54" s="1">
        <v>10000</v>
      </c>
      <c r="J54" s="51">
        <v>45105</v>
      </c>
      <c r="L54" s="51">
        <v>45078</v>
      </c>
      <c r="M54" s="1" t="s">
        <v>135</v>
      </c>
      <c r="N54" s="1">
        <v>5</v>
      </c>
      <c r="O54" s="1">
        <v>2.1589999999999998</v>
      </c>
      <c r="P54" s="1">
        <v>107950</v>
      </c>
      <c r="Q54" s="1">
        <v>-11.85</v>
      </c>
      <c r="R54" s="1" t="s">
        <v>83</v>
      </c>
      <c r="T54" s="50">
        <f>IF(ISNUMBER(VLOOKUP(U54,Blotter!B:C,2,0)),VLOOKUP(U54,Blotter!B:C,2,0),"")</f>
        <v>2</v>
      </c>
      <c r="U54" s="49" t="str">
        <f t="shared" si="28"/>
        <v>NGN3</v>
      </c>
      <c r="V54" s="49">
        <f t="shared" si="29"/>
        <v>5</v>
      </c>
      <c r="W54" s="49">
        <f t="shared" si="30"/>
        <v>2.1589999999999998</v>
      </c>
      <c r="X54" s="49">
        <f t="shared" si="31"/>
        <v>-11.85</v>
      </c>
    </row>
    <row r="55" spans="1:24" x14ac:dyDescent="0.4">
      <c r="A55" s="1" t="s">
        <v>138</v>
      </c>
      <c r="B55" s="1" t="s">
        <v>83</v>
      </c>
      <c r="C55" s="1" t="s">
        <v>87</v>
      </c>
      <c r="D55" s="1" t="s">
        <v>196</v>
      </c>
      <c r="E55" s="1" t="s">
        <v>197</v>
      </c>
      <c r="F55" s="1" t="s">
        <v>129</v>
      </c>
      <c r="G55" s="1" t="s">
        <v>195</v>
      </c>
      <c r="H55" s="1">
        <v>100</v>
      </c>
      <c r="I55" s="1">
        <v>44</v>
      </c>
      <c r="J55" s="51">
        <v>45275</v>
      </c>
      <c r="K55" s="1" t="s">
        <v>57</v>
      </c>
      <c r="L55" s="51">
        <v>45082</v>
      </c>
      <c r="M55" s="1" t="s">
        <v>135</v>
      </c>
      <c r="N55" s="1">
        <v>16</v>
      </c>
      <c r="O55" s="1">
        <v>1.35</v>
      </c>
      <c r="P55" s="1">
        <v>2160</v>
      </c>
      <c r="Q55" s="1">
        <v>0.81520000000000004</v>
      </c>
      <c r="R55" s="1" t="s">
        <v>83</v>
      </c>
      <c r="T55" s="50">
        <f>IF(ISNUMBER(VLOOKUP(U55,Blotter!B:C,2,0)),VLOOKUP(U55,Blotter!B:C,2,0),"")</f>
        <v>9</v>
      </c>
      <c r="U55" s="49" t="str">
        <f t="shared" ref="U55" si="32">D55</f>
        <v>INDA  231215C00044000</v>
      </c>
      <c r="V55" s="49">
        <f t="shared" ref="V55" si="33">N55</f>
        <v>16</v>
      </c>
      <c r="W55" s="49">
        <f t="shared" ref="W55" si="34">O55</f>
        <v>1.35</v>
      </c>
      <c r="X55" s="49">
        <f t="shared" ref="X55" si="35">Q55</f>
        <v>0.81520000000000004</v>
      </c>
    </row>
    <row r="56" spans="1:24" x14ac:dyDescent="0.4">
      <c r="A56" s="1" t="s">
        <v>138</v>
      </c>
      <c r="B56" s="1" t="s">
        <v>83</v>
      </c>
      <c r="C56" s="1" t="s">
        <v>82</v>
      </c>
      <c r="D56" s="1" t="s">
        <v>193</v>
      </c>
      <c r="E56" s="1" t="s">
        <v>194</v>
      </c>
      <c r="F56" s="1" t="s">
        <v>126</v>
      </c>
      <c r="G56" s="1" t="s">
        <v>25</v>
      </c>
      <c r="H56" s="1">
        <v>25000</v>
      </c>
      <c r="J56" s="51">
        <v>45134</v>
      </c>
      <c r="L56" s="51">
        <v>45082</v>
      </c>
      <c r="M56" s="1" t="s">
        <v>135</v>
      </c>
      <c r="N56" s="1">
        <v>2</v>
      </c>
      <c r="O56" s="1">
        <v>3.71</v>
      </c>
      <c r="P56" s="1">
        <v>185500</v>
      </c>
      <c r="Q56" s="1">
        <v>-4.84</v>
      </c>
      <c r="R56" s="1" t="s">
        <v>83</v>
      </c>
      <c r="T56" s="50">
        <f>IF(ISNUMBER(VLOOKUP(U56,Blotter!B:C,2,0)),VLOOKUP(U56,Blotter!B:C,2,0),"")</f>
        <v>8</v>
      </c>
      <c r="U56" s="49" t="str">
        <f t="shared" ref="U56" si="36">D56</f>
        <v>HGN3</v>
      </c>
      <c r="V56" s="49">
        <f t="shared" ref="V56" si="37">N56</f>
        <v>2</v>
      </c>
      <c r="W56" s="49">
        <f t="shared" ref="W56" si="38">O56</f>
        <v>3.71</v>
      </c>
      <c r="X56" s="49">
        <f t="shared" ref="X56" si="39">Q56</f>
        <v>-4.84</v>
      </c>
    </row>
    <row r="57" spans="1:24" x14ac:dyDescent="0.4">
      <c r="A57" s="1" t="s">
        <v>138</v>
      </c>
      <c r="B57" s="1" t="s">
        <v>83</v>
      </c>
      <c r="C57" s="1" t="s">
        <v>82</v>
      </c>
      <c r="D57" s="1" t="s">
        <v>188</v>
      </c>
      <c r="E57" s="1" t="s">
        <v>189</v>
      </c>
      <c r="F57" s="1" t="s">
        <v>93</v>
      </c>
      <c r="G57" s="1" t="s">
        <v>5</v>
      </c>
      <c r="H57" s="1">
        <v>10000</v>
      </c>
      <c r="J57" s="51">
        <v>45105</v>
      </c>
      <c r="L57" s="51">
        <v>45082</v>
      </c>
      <c r="M57" s="1" t="s">
        <v>139</v>
      </c>
      <c r="N57" s="1">
        <v>-10</v>
      </c>
      <c r="O57" s="1">
        <v>2.2599999999999998</v>
      </c>
      <c r="P57" s="1">
        <v>-226000</v>
      </c>
      <c r="Q57" s="1">
        <v>-23.7</v>
      </c>
      <c r="R57" s="1" t="s">
        <v>83</v>
      </c>
      <c r="T57" s="50">
        <f>IF(ISNUMBER(VLOOKUP(U57,Blotter!B:C,2,0)),VLOOKUP(U57,Blotter!B:C,2,0),"")</f>
        <v>2</v>
      </c>
      <c r="U57" s="49" t="str">
        <f t="shared" ref="U57" si="40">D57</f>
        <v>NGN3</v>
      </c>
      <c r="V57" s="49">
        <f t="shared" ref="V57" si="41">N57</f>
        <v>-10</v>
      </c>
      <c r="W57" s="49">
        <f t="shared" ref="W57" si="42">O57</f>
        <v>2.2599999999999998</v>
      </c>
      <c r="X57" s="49">
        <f t="shared" ref="X57" si="43">Q57</f>
        <v>-23.7</v>
      </c>
    </row>
    <row r="58" spans="1:24" x14ac:dyDescent="0.4">
      <c r="A58" s="1" t="s">
        <v>138</v>
      </c>
      <c r="B58" s="1" t="s">
        <v>83</v>
      </c>
      <c r="C58" s="1" t="s">
        <v>87</v>
      </c>
      <c r="D58" s="1" t="s">
        <v>196</v>
      </c>
      <c r="E58" s="1" t="s">
        <v>197</v>
      </c>
      <c r="F58" s="1" t="s">
        <v>129</v>
      </c>
      <c r="G58" s="1" t="s">
        <v>195</v>
      </c>
      <c r="H58" s="1">
        <v>100</v>
      </c>
      <c r="I58" s="1">
        <v>44</v>
      </c>
      <c r="J58" s="51">
        <v>45275</v>
      </c>
      <c r="K58" s="1" t="s">
        <v>57</v>
      </c>
      <c r="L58" s="51">
        <v>45083</v>
      </c>
      <c r="M58" s="1" t="s">
        <v>135</v>
      </c>
      <c r="N58" s="1">
        <v>10</v>
      </c>
      <c r="O58" s="1">
        <v>1.4</v>
      </c>
      <c r="P58" s="1">
        <v>1400</v>
      </c>
      <c r="Q58" s="1">
        <v>0.50949999999999995</v>
      </c>
      <c r="R58" s="1" t="s">
        <v>83</v>
      </c>
      <c r="T58" s="50">
        <f>IF(ISNUMBER(VLOOKUP(U58,Blotter!B:C,2,0)),VLOOKUP(U58,Blotter!B:C,2,0),"")</f>
        <v>9</v>
      </c>
      <c r="U58" s="49" t="str">
        <f t="shared" ref="U58:U59" si="44">D58</f>
        <v>INDA  231215C00044000</v>
      </c>
      <c r="V58" s="49">
        <f t="shared" ref="V58:V59" si="45">N58</f>
        <v>10</v>
      </c>
      <c r="W58" s="49">
        <f t="shared" ref="W58:W59" si="46">O58</f>
        <v>1.4</v>
      </c>
      <c r="X58" s="49">
        <f t="shared" ref="X58:X59" si="47">Q58</f>
        <v>0.50949999999999995</v>
      </c>
    </row>
    <row r="59" spans="1:24" x14ac:dyDescent="0.4">
      <c r="A59" s="1" t="s">
        <v>138</v>
      </c>
      <c r="B59" s="1" t="s">
        <v>83</v>
      </c>
      <c r="C59" s="1" t="s">
        <v>87</v>
      </c>
      <c r="D59" s="1" t="s">
        <v>196</v>
      </c>
      <c r="E59" s="1" t="s">
        <v>197</v>
      </c>
      <c r="F59" s="1" t="s">
        <v>129</v>
      </c>
      <c r="G59" s="1" t="s">
        <v>195</v>
      </c>
      <c r="H59" s="1">
        <v>100</v>
      </c>
      <c r="I59" s="1">
        <v>44</v>
      </c>
      <c r="J59" s="51">
        <v>45275</v>
      </c>
      <c r="K59" s="1" t="s">
        <v>57</v>
      </c>
      <c r="L59" s="51">
        <v>45083</v>
      </c>
      <c r="M59" s="1" t="s">
        <v>135</v>
      </c>
      <c r="N59" s="1">
        <v>10</v>
      </c>
      <c r="O59" s="1">
        <v>1.4</v>
      </c>
      <c r="P59" s="1">
        <v>1400</v>
      </c>
      <c r="Q59" s="1">
        <v>0.50949999999999995</v>
      </c>
      <c r="R59" s="1" t="s">
        <v>83</v>
      </c>
      <c r="T59" s="50">
        <f>IF(ISNUMBER(VLOOKUP(U59,Blotter!B:C,2,0)),VLOOKUP(U59,Blotter!B:C,2,0),"")</f>
        <v>9</v>
      </c>
      <c r="U59" s="49" t="str">
        <f t="shared" si="44"/>
        <v>INDA  231215C00044000</v>
      </c>
      <c r="V59" s="49">
        <f t="shared" si="45"/>
        <v>10</v>
      </c>
      <c r="W59" s="49">
        <f t="shared" si="46"/>
        <v>1.4</v>
      </c>
      <c r="X59" s="49">
        <f t="shared" si="47"/>
        <v>0.50949999999999995</v>
      </c>
    </row>
    <row r="60" spans="1:24" x14ac:dyDescent="0.4">
      <c r="A60" s="1" t="s">
        <v>138</v>
      </c>
      <c r="B60" s="1" t="s">
        <v>83</v>
      </c>
      <c r="C60" s="1" t="s">
        <v>87</v>
      </c>
      <c r="D60" s="1" t="s">
        <v>196</v>
      </c>
      <c r="E60" s="1" t="s">
        <v>197</v>
      </c>
      <c r="F60" s="1" t="s">
        <v>129</v>
      </c>
      <c r="G60" s="1" t="s">
        <v>195</v>
      </c>
      <c r="H60" s="1">
        <v>100</v>
      </c>
      <c r="I60" s="1">
        <v>44</v>
      </c>
      <c r="J60" s="51">
        <v>45275</v>
      </c>
      <c r="K60" s="1" t="s">
        <v>57</v>
      </c>
      <c r="L60" s="51">
        <v>45083</v>
      </c>
      <c r="M60" s="1" t="s">
        <v>135</v>
      </c>
      <c r="N60" s="1">
        <v>14</v>
      </c>
      <c r="O60" s="1">
        <v>1.45</v>
      </c>
      <c r="P60" s="1">
        <v>2030</v>
      </c>
      <c r="Q60" s="1">
        <v>0.71330000000000005</v>
      </c>
      <c r="R60" s="1" t="s">
        <v>83</v>
      </c>
      <c r="T60" s="50">
        <f>IF(ISNUMBER(VLOOKUP(U60,Blotter!B:C,2,0)),VLOOKUP(U60,Blotter!B:C,2,0),"")</f>
        <v>9</v>
      </c>
      <c r="U60" s="49" t="str">
        <f t="shared" ref="U60:U65" si="48">D60</f>
        <v>INDA  231215C00044000</v>
      </c>
      <c r="V60" s="49">
        <f t="shared" ref="V60:V65" si="49">N60</f>
        <v>14</v>
      </c>
      <c r="W60" s="49">
        <f t="shared" ref="W60:W65" si="50">O60</f>
        <v>1.45</v>
      </c>
      <c r="X60" s="49">
        <f t="shared" ref="X60:X65" si="51">Q60</f>
        <v>0.71330000000000005</v>
      </c>
    </row>
    <row r="61" spans="1:24" x14ac:dyDescent="0.4">
      <c r="A61" s="1" t="s">
        <v>138</v>
      </c>
      <c r="B61" s="1" t="s">
        <v>83</v>
      </c>
      <c r="C61" s="1" t="s">
        <v>82</v>
      </c>
      <c r="D61" s="1" t="s">
        <v>188</v>
      </c>
      <c r="E61" s="1" t="s">
        <v>189</v>
      </c>
      <c r="F61" s="1" t="s">
        <v>93</v>
      </c>
      <c r="G61" s="1" t="s">
        <v>5</v>
      </c>
      <c r="H61" s="1">
        <v>10000</v>
      </c>
      <c r="J61" s="51">
        <v>45105</v>
      </c>
      <c r="L61" s="51">
        <v>45083</v>
      </c>
      <c r="M61" s="1" t="s">
        <v>135</v>
      </c>
      <c r="N61" s="1">
        <v>1</v>
      </c>
      <c r="O61" s="1">
        <v>2.21</v>
      </c>
      <c r="P61" s="1">
        <v>22100</v>
      </c>
      <c r="Q61" s="1">
        <v>-2.37</v>
      </c>
      <c r="R61" s="1" t="s">
        <v>83</v>
      </c>
      <c r="T61" s="50">
        <f>IF(ISNUMBER(VLOOKUP(U61,Blotter!B:C,2,0)),VLOOKUP(U61,Blotter!B:C,2,0),"")</f>
        <v>2</v>
      </c>
      <c r="U61" s="49" t="str">
        <f t="shared" si="48"/>
        <v>NGN3</v>
      </c>
      <c r="V61" s="49">
        <f t="shared" si="49"/>
        <v>1</v>
      </c>
      <c r="W61" s="49">
        <f t="shared" si="50"/>
        <v>2.21</v>
      </c>
      <c r="X61" s="49">
        <f t="shared" si="51"/>
        <v>-2.37</v>
      </c>
    </row>
    <row r="62" spans="1:24" x14ac:dyDescent="0.4">
      <c r="A62" s="1" t="s">
        <v>138</v>
      </c>
      <c r="B62" s="1" t="s">
        <v>83</v>
      </c>
      <c r="C62" s="1" t="s">
        <v>82</v>
      </c>
      <c r="D62" s="1" t="s">
        <v>188</v>
      </c>
      <c r="E62" s="1" t="s">
        <v>189</v>
      </c>
      <c r="F62" s="1" t="s">
        <v>93</v>
      </c>
      <c r="G62" s="1" t="s">
        <v>5</v>
      </c>
      <c r="H62" s="1">
        <v>10000</v>
      </c>
      <c r="J62" s="51">
        <v>45105</v>
      </c>
      <c r="L62" s="51">
        <v>45083</v>
      </c>
      <c r="M62" s="1" t="s">
        <v>135</v>
      </c>
      <c r="N62" s="1">
        <v>1</v>
      </c>
      <c r="O62" s="1">
        <v>2.21</v>
      </c>
      <c r="P62" s="1">
        <v>22100</v>
      </c>
      <c r="Q62" s="1">
        <v>-2.37</v>
      </c>
      <c r="R62" s="1" t="s">
        <v>83</v>
      </c>
      <c r="T62" s="50">
        <f>IF(ISNUMBER(VLOOKUP(U62,Blotter!B:C,2,0)),VLOOKUP(U62,Blotter!B:C,2,0),"")</f>
        <v>2</v>
      </c>
      <c r="U62" s="49" t="str">
        <f t="shared" si="48"/>
        <v>NGN3</v>
      </c>
      <c r="V62" s="49">
        <f t="shared" si="49"/>
        <v>1</v>
      </c>
      <c r="W62" s="49">
        <f t="shared" si="50"/>
        <v>2.21</v>
      </c>
      <c r="X62" s="49">
        <f t="shared" si="51"/>
        <v>-2.37</v>
      </c>
    </row>
    <row r="63" spans="1:24" x14ac:dyDescent="0.4">
      <c r="A63" s="1" t="s">
        <v>138</v>
      </c>
      <c r="B63" s="1" t="s">
        <v>83</v>
      </c>
      <c r="C63" s="1" t="s">
        <v>82</v>
      </c>
      <c r="D63" s="1" t="s">
        <v>188</v>
      </c>
      <c r="E63" s="1" t="s">
        <v>189</v>
      </c>
      <c r="F63" s="1" t="s">
        <v>93</v>
      </c>
      <c r="G63" s="1" t="s">
        <v>5</v>
      </c>
      <c r="H63" s="1">
        <v>10000</v>
      </c>
      <c r="J63" s="51">
        <v>45105</v>
      </c>
      <c r="L63" s="51">
        <v>45083</v>
      </c>
      <c r="M63" s="1" t="s">
        <v>135</v>
      </c>
      <c r="N63" s="1">
        <v>3</v>
      </c>
      <c r="O63" s="1">
        <v>2.21</v>
      </c>
      <c r="P63" s="1">
        <v>66300</v>
      </c>
      <c r="Q63" s="1">
        <v>-7.11</v>
      </c>
      <c r="R63" s="1" t="s">
        <v>83</v>
      </c>
      <c r="T63" s="50">
        <f>IF(ISNUMBER(VLOOKUP(U63,Blotter!B:C,2,0)),VLOOKUP(U63,Blotter!B:C,2,0),"")</f>
        <v>2</v>
      </c>
      <c r="U63" s="49" t="str">
        <f t="shared" si="48"/>
        <v>NGN3</v>
      </c>
      <c r="V63" s="49">
        <f t="shared" si="49"/>
        <v>3</v>
      </c>
      <c r="W63" s="49">
        <f t="shared" si="50"/>
        <v>2.21</v>
      </c>
      <c r="X63" s="49">
        <f t="shared" si="51"/>
        <v>-7.11</v>
      </c>
    </row>
    <row r="64" spans="1:24" x14ac:dyDescent="0.4">
      <c r="A64" s="1" t="s">
        <v>138</v>
      </c>
      <c r="B64" s="1" t="s">
        <v>83</v>
      </c>
      <c r="C64" s="1" t="s">
        <v>82</v>
      </c>
      <c r="D64" s="1" t="s">
        <v>188</v>
      </c>
      <c r="E64" s="1" t="s">
        <v>189</v>
      </c>
      <c r="F64" s="1" t="s">
        <v>93</v>
      </c>
      <c r="G64" s="1" t="s">
        <v>5</v>
      </c>
      <c r="H64" s="1">
        <v>10000</v>
      </c>
      <c r="J64" s="51">
        <v>45105</v>
      </c>
      <c r="L64" s="51">
        <v>45083</v>
      </c>
      <c r="M64" s="1" t="s">
        <v>139</v>
      </c>
      <c r="N64" s="1">
        <v>-4</v>
      </c>
      <c r="O64" s="1">
        <v>2.2749999999999999</v>
      </c>
      <c r="P64" s="1">
        <v>-91000</v>
      </c>
      <c r="Q64" s="1">
        <v>-9.48</v>
      </c>
      <c r="R64" s="1" t="s">
        <v>83</v>
      </c>
      <c r="T64" s="50">
        <f>IF(ISNUMBER(VLOOKUP(U64,Blotter!B:C,2,0)),VLOOKUP(U64,Blotter!B:C,2,0),"")</f>
        <v>2</v>
      </c>
      <c r="U64" s="49" t="str">
        <f t="shared" si="48"/>
        <v>NGN3</v>
      </c>
      <c r="V64" s="49">
        <f t="shared" si="49"/>
        <v>-4</v>
      </c>
      <c r="W64" s="49">
        <f t="shared" si="50"/>
        <v>2.2749999999999999</v>
      </c>
      <c r="X64" s="49">
        <f t="shared" si="51"/>
        <v>-9.48</v>
      </c>
    </row>
    <row r="65" spans="1:24" x14ac:dyDescent="0.4">
      <c r="A65" s="1" t="s">
        <v>138</v>
      </c>
      <c r="B65" s="1" t="s">
        <v>83</v>
      </c>
      <c r="C65" s="1" t="s">
        <v>82</v>
      </c>
      <c r="D65" s="1" t="s">
        <v>188</v>
      </c>
      <c r="E65" s="1" t="s">
        <v>189</v>
      </c>
      <c r="F65" s="1" t="s">
        <v>93</v>
      </c>
      <c r="G65" s="1" t="s">
        <v>5</v>
      </c>
      <c r="H65" s="1">
        <v>10000</v>
      </c>
      <c r="J65" s="51">
        <v>45105</v>
      </c>
      <c r="L65" s="51">
        <v>45083</v>
      </c>
      <c r="M65" s="1" t="s">
        <v>139</v>
      </c>
      <c r="N65" s="1">
        <v>-1</v>
      </c>
      <c r="O65" s="1">
        <v>2.2749999999999999</v>
      </c>
      <c r="P65" s="1">
        <v>-22750</v>
      </c>
      <c r="Q65" s="1">
        <v>-2.37</v>
      </c>
      <c r="R65" s="1" t="s">
        <v>83</v>
      </c>
      <c r="T65" s="50">
        <f>IF(ISNUMBER(VLOOKUP(U65,Blotter!B:C,2,0)),VLOOKUP(U65,Blotter!B:C,2,0),"")</f>
        <v>2</v>
      </c>
      <c r="U65" s="49" t="str">
        <f t="shared" si="48"/>
        <v>NGN3</v>
      </c>
      <c r="V65" s="49">
        <f t="shared" si="49"/>
        <v>-1</v>
      </c>
      <c r="W65" s="49">
        <f t="shared" si="50"/>
        <v>2.2749999999999999</v>
      </c>
      <c r="X65" s="49">
        <f t="shared" si="51"/>
        <v>-2.37</v>
      </c>
    </row>
    <row r="66" spans="1:24" x14ac:dyDescent="0.4">
      <c r="A66" s="1" t="s">
        <v>138</v>
      </c>
      <c r="B66" s="1" t="s">
        <v>83</v>
      </c>
      <c r="C66" s="1" t="s">
        <v>87</v>
      </c>
      <c r="D66" s="1" t="s">
        <v>196</v>
      </c>
      <c r="E66" s="1" t="s">
        <v>197</v>
      </c>
      <c r="F66" s="1" t="s">
        <v>129</v>
      </c>
      <c r="G66" s="1" t="s">
        <v>195</v>
      </c>
      <c r="H66" s="1">
        <v>100</v>
      </c>
      <c r="I66" s="1">
        <v>44</v>
      </c>
      <c r="J66" s="51">
        <v>45275</v>
      </c>
      <c r="K66" s="1" t="s">
        <v>57</v>
      </c>
      <c r="L66" s="51">
        <v>45086</v>
      </c>
      <c r="M66" s="1" t="s">
        <v>135</v>
      </c>
      <c r="N66" s="1">
        <v>10</v>
      </c>
      <c r="O66" s="1">
        <v>1.4</v>
      </c>
      <c r="P66" s="1">
        <v>1400</v>
      </c>
      <c r="Q66" s="1">
        <v>0.50949999999999995</v>
      </c>
      <c r="R66" s="1" t="s">
        <v>83</v>
      </c>
      <c r="T66" s="50">
        <f>IF(ISNUMBER(VLOOKUP(U66,Blotter!B:C,2,0)),VLOOKUP(U66,Blotter!B:C,2,0),"")</f>
        <v>9</v>
      </c>
      <c r="U66" s="49" t="str">
        <f t="shared" ref="U66:U67" si="52">D66</f>
        <v>INDA  231215C00044000</v>
      </c>
      <c r="V66" s="49">
        <f t="shared" ref="V66:V67" si="53">N66</f>
        <v>10</v>
      </c>
      <c r="W66" s="49">
        <f t="shared" ref="W66:W67" si="54">O66</f>
        <v>1.4</v>
      </c>
      <c r="X66" s="49">
        <f t="shared" ref="X66:X67" si="55">Q66</f>
        <v>0.50949999999999995</v>
      </c>
    </row>
    <row r="67" spans="1:24" x14ac:dyDescent="0.4">
      <c r="A67" s="1" t="s">
        <v>138</v>
      </c>
      <c r="B67" s="1" t="s">
        <v>83</v>
      </c>
      <c r="C67" s="1" t="s">
        <v>87</v>
      </c>
      <c r="D67" s="1" t="s">
        <v>196</v>
      </c>
      <c r="E67" s="1" t="s">
        <v>197</v>
      </c>
      <c r="F67" s="1" t="s">
        <v>129</v>
      </c>
      <c r="G67" s="1" t="s">
        <v>195</v>
      </c>
      <c r="H67" s="1">
        <v>100</v>
      </c>
      <c r="I67" s="1">
        <v>44</v>
      </c>
      <c r="J67" s="51">
        <v>45275</v>
      </c>
      <c r="K67" s="1" t="s">
        <v>57</v>
      </c>
      <c r="L67" s="51">
        <v>45086</v>
      </c>
      <c r="M67" s="1" t="s">
        <v>135</v>
      </c>
      <c r="N67" s="1">
        <v>10</v>
      </c>
      <c r="O67" s="1">
        <v>1.4</v>
      </c>
      <c r="P67" s="1">
        <v>1400</v>
      </c>
      <c r="Q67" s="1">
        <v>0.50949999999999995</v>
      </c>
      <c r="R67" s="1" t="s">
        <v>83</v>
      </c>
      <c r="T67" s="50">
        <f>IF(ISNUMBER(VLOOKUP(U67,Blotter!B:C,2,0)),VLOOKUP(U67,Blotter!B:C,2,0),"")</f>
        <v>9</v>
      </c>
      <c r="U67" s="49" t="str">
        <f t="shared" si="52"/>
        <v>INDA  231215C00044000</v>
      </c>
      <c r="V67" s="49">
        <f t="shared" si="53"/>
        <v>10</v>
      </c>
      <c r="W67" s="49">
        <f t="shared" si="54"/>
        <v>1.4</v>
      </c>
      <c r="X67" s="49">
        <f t="shared" si="55"/>
        <v>0.50949999999999995</v>
      </c>
    </row>
    <row r="68" spans="1:24" x14ac:dyDescent="0.4">
      <c r="A68" s="1" t="s">
        <v>138</v>
      </c>
      <c r="B68" s="1" t="s">
        <v>83</v>
      </c>
      <c r="C68" s="1" t="s">
        <v>87</v>
      </c>
      <c r="D68" s="1" t="s">
        <v>202</v>
      </c>
      <c r="E68" s="1" t="s">
        <v>203</v>
      </c>
      <c r="F68" s="1" t="s">
        <v>129</v>
      </c>
      <c r="G68" s="1" t="s">
        <v>4</v>
      </c>
      <c r="H68" s="1">
        <v>100</v>
      </c>
      <c r="I68" s="1">
        <v>4340</v>
      </c>
      <c r="J68" s="51">
        <v>45099</v>
      </c>
      <c r="K68" s="1" t="s">
        <v>89</v>
      </c>
      <c r="L68" s="51">
        <v>45091</v>
      </c>
      <c r="M68" s="1" t="s">
        <v>135</v>
      </c>
      <c r="N68" s="1">
        <v>2</v>
      </c>
      <c r="O68" s="1">
        <v>14</v>
      </c>
      <c r="P68" s="1">
        <v>2800</v>
      </c>
      <c r="Q68" s="1">
        <v>-2.5831</v>
      </c>
      <c r="R68" s="1" t="s">
        <v>83</v>
      </c>
      <c r="T68" s="50">
        <f>IF(ISNUMBER(VLOOKUP(U68,Blotter!B:C,2,0)),VLOOKUP(U68,Blotter!B:C,2,0),"")</f>
        <v>10</v>
      </c>
      <c r="U68" s="49" t="str">
        <f t="shared" ref="U68" si="56">D68</f>
        <v>SPXW  230622P04340000</v>
      </c>
      <c r="V68" s="49">
        <f t="shared" ref="V68" si="57">N68</f>
        <v>2</v>
      </c>
      <c r="W68" s="49">
        <f t="shared" ref="W68" si="58">O68</f>
        <v>14</v>
      </c>
      <c r="X68" s="49">
        <f t="shared" ref="X68" si="59">Q68</f>
        <v>-2.5831</v>
      </c>
    </row>
    <row r="69" spans="1:24" x14ac:dyDescent="0.4">
      <c r="A69" s="1" t="s">
        <v>138</v>
      </c>
      <c r="B69" s="1" t="s">
        <v>83</v>
      </c>
      <c r="C69" s="1" t="s">
        <v>87</v>
      </c>
      <c r="D69" s="1" t="s">
        <v>202</v>
      </c>
      <c r="E69" s="1" t="s">
        <v>203</v>
      </c>
      <c r="F69" s="1" t="s">
        <v>129</v>
      </c>
      <c r="G69" s="1" t="s">
        <v>4</v>
      </c>
      <c r="H69" s="1">
        <v>100</v>
      </c>
      <c r="I69" s="1">
        <v>4340</v>
      </c>
      <c r="J69" s="51">
        <v>45099</v>
      </c>
      <c r="K69" s="1" t="s">
        <v>89</v>
      </c>
      <c r="L69" s="51">
        <v>45091</v>
      </c>
      <c r="M69" s="1" t="s">
        <v>139</v>
      </c>
      <c r="N69" s="1">
        <v>-2</v>
      </c>
      <c r="O69" s="1">
        <v>18</v>
      </c>
      <c r="P69" s="1">
        <v>-3600</v>
      </c>
      <c r="Q69" s="1">
        <v>-2.5831</v>
      </c>
      <c r="R69" s="1" t="s">
        <v>83</v>
      </c>
      <c r="T69" s="50">
        <f>IF(ISNUMBER(VLOOKUP(U69,Blotter!B:C,2,0)),VLOOKUP(U69,Blotter!B:C,2,0),"")</f>
        <v>10</v>
      </c>
      <c r="U69" s="49" t="str">
        <f t="shared" ref="U69" si="60">D69</f>
        <v>SPXW  230622P04340000</v>
      </c>
      <c r="V69" s="49">
        <f t="shared" ref="V69" si="61">N69</f>
        <v>-2</v>
      </c>
      <c r="W69" s="49">
        <f t="shared" ref="W69" si="62">O69</f>
        <v>18</v>
      </c>
      <c r="X69" s="49">
        <f t="shared" ref="X69" si="63">Q69</f>
        <v>-2.5831</v>
      </c>
    </row>
    <row r="70" spans="1:24" x14ac:dyDescent="0.4">
      <c r="A70" s="1" t="s">
        <v>138</v>
      </c>
      <c r="B70" s="1" t="s">
        <v>83</v>
      </c>
      <c r="C70" s="1" t="s">
        <v>82</v>
      </c>
      <c r="D70" s="1" t="s">
        <v>188</v>
      </c>
      <c r="E70" s="1" t="s">
        <v>189</v>
      </c>
      <c r="F70" s="1" t="s">
        <v>93</v>
      </c>
      <c r="G70" s="1" t="s">
        <v>5</v>
      </c>
      <c r="H70" s="1">
        <v>10000</v>
      </c>
      <c r="J70" s="51">
        <v>45105</v>
      </c>
      <c r="L70" s="51">
        <v>45091</v>
      </c>
      <c r="M70" s="1" t="s">
        <v>135</v>
      </c>
      <c r="N70" s="1">
        <v>5</v>
      </c>
      <c r="O70" s="1">
        <v>2.319</v>
      </c>
      <c r="P70" s="1">
        <v>115950</v>
      </c>
      <c r="Q70" s="1">
        <v>-11.85</v>
      </c>
      <c r="R70" s="1" t="s">
        <v>83</v>
      </c>
      <c r="T70" s="50">
        <f>IF(ISNUMBER(VLOOKUP(U70,Blotter!B:C,2,0)),VLOOKUP(U70,Blotter!B:C,2,0),"")</f>
        <v>2</v>
      </c>
      <c r="U70" s="49" t="str">
        <f t="shared" ref="U70:U71" si="64">D70</f>
        <v>NGN3</v>
      </c>
      <c r="V70" s="49">
        <f t="shared" ref="V70:V71" si="65">N70</f>
        <v>5</v>
      </c>
      <c r="W70" s="49">
        <f t="shared" ref="W70:W71" si="66">O70</f>
        <v>2.319</v>
      </c>
      <c r="X70" s="49">
        <f t="shared" ref="X70:X71" si="67">Q70</f>
        <v>-11.85</v>
      </c>
    </row>
    <row r="71" spans="1:24" x14ac:dyDescent="0.4">
      <c r="A71" s="1" t="s">
        <v>138</v>
      </c>
      <c r="B71" s="1" t="s">
        <v>83</v>
      </c>
      <c r="C71" s="1" t="s">
        <v>82</v>
      </c>
      <c r="D71" s="1" t="s">
        <v>188</v>
      </c>
      <c r="E71" s="1" t="s">
        <v>189</v>
      </c>
      <c r="F71" s="1" t="s">
        <v>93</v>
      </c>
      <c r="G71" s="1" t="s">
        <v>5</v>
      </c>
      <c r="H71" s="1">
        <v>10000</v>
      </c>
      <c r="J71" s="51">
        <v>45105</v>
      </c>
      <c r="L71" s="51">
        <v>45091</v>
      </c>
      <c r="M71" s="1" t="s">
        <v>139</v>
      </c>
      <c r="N71" s="1">
        <v>-5</v>
      </c>
      <c r="O71" s="1">
        <v>2.38</v>
      </c>
      <c r="P71" s="1">
        <v>-119000</v>
      </c>
      <c r="Q71" s="1">
        <v>-11.85</v>
      </c>
      <c r="R71" s="1" t="s">
        <v>83</v>
      </c>
      <c r="T71" s="50">
        <f>IF(ISNUMBER(VLOOKUP(U71,Blotter!B:C,2,0)),VLOOKUP(U71,Blotter!B:C,2,0),"")</f>
        <v>2</v>
      </c>
      <c r="U71" s="49" t="str">
        <f t="shared" si="64"/>
        <v>NGN3</v>
      </c>
      <c r="V71" s="49">
        <f t="shared" si="65"/>
        <v>-5</v>
      </c>
      <c r="W71" s="49">
        <f t="shared" si="66"/>
        <v>2.38</v>
      </c>
      <c r="X71" s="49">
        <f t="shared" si="67"/>
        <v>-11.85</v>
      </c>
    </row>
    <row r="72" spans="1:24" x14ac:dyDescent="0.4">
      <c r="A72" s="1" t="s">
        <v>138</v>
      </c>
      <c r="B72" s="1" t="s">
        <v>83</v>
      </c>
      <c r="C72" s="1" t="s">
        <v>82</v>
      </c>
      <c r="D72" s="1" t="s">
        <v>188</v>
      </c>
      <c r="E72" s="1" t="s">
        <v>189</v>
      </c>
      <c r="F72" s="1" t="s">
        <v>93</v>
      </c>
      <c r="G72" s="1" t="s">
        <v>5</v>
      </c>
      <c r="H72" s="1">
        <v>10000</v>
      </c>
      <c r="J72" s="51">
        <v>45105</v>
      </c>
      <c r="L72" s="51">
        <v>45091</v>
      </c>
      <c r="M72" s="1" t="s">
        <v>139</v>
      </c>
      <c r="N72" s="1">
        <v>-5</v>
      </c>
      <c r="O72" s="1">
        <v>2.355</v>
      </c>
      <c r="P72" s="1">
        <v>-117750</v>
      </c>
      <c r="Q72" s="1">
        <v>-11.85</v>
      </c>
      <c r="R72" s="1" t="s">
        <v>83</v>
      </c>
      <c r="T72" s="50">
        <f>IF(ISNUMBER(VLOOKUP(U72,Blotter!B:C,2,0)),VLOOKUP(U72,Blotter!B:C,2,0),"")</f>
        <v>2</v>
      </c>
      <c r="U72" s="49" t="str">
        <f t="shared" ref="U72" si="68">D72</f>
        <v>NGN3</v>
      </c>
      <c r="V72" s="49">
        <f t="shared" ref="V72" si="69">N72</f>
        <v>-5</v>
      </c>
      <c r="W72" s="49">
        <f t="shared" ref="W72" si="70">O72</f>
        <v>2.355</v>
      </c>
      <c r="X72" s="49">
        <f t="shared" ref="X72" si="71">Q72</f>
        <v>-11.85</v>
      </c>
    </row>
    <row r="73" spans="1:24" x14ac:dyDescent="0.4">
      <c r="A73" s="1" t="s">
        <v>138</v>
      </c>
      <c r="B73" s="1" t="s">
        <v>83</v>
      </c>
      <c r="C73" s="1" t="s">
        <v>87</v>
      </c>
      <c r="D73" s="1" t="s">
        <v>202</v>
      </c>
      <c r="E73" s="1" t="s">
        <v>203</v>
      </c>
      <c r="F73" s="1" t="s">
        <v>129</v>
      </c>
      <c r="G73" s="1" t="s">
        <v>4</v>
      </c>
      <c r="H73" s="1">
        <v>100</v>
      </c>
      <c r="I73" s="1">
        <v>4340</v>
      </c>
      <c r="J73" s="51">
        <v>45099</v>
      </c>
      <c r="K73" s="1" t="s">
        <v>89</v>
      </c>
      <c r="L73" s="51">
        <v>45092</v>
      </c>
      <c r="M73" s="1" t="s">
        <v>135</v>
      </c>
      <c r="N73" s="1">
        <v>4</v>
      </c>
      <c r="O73" s="1">
        <v>8.5</v>
      </c>
      <c r="P73" s="1">
        <v>3400</v>
      </c>
      <c r="Q73" s="1">
        <v>-5.1661999999999999</v>
      </c>
      <c r="R73" s="1" t="s">
        <v>83</v>
      </c>
      <c r="T73" s="50">
        <f>IF(ISNUMBER(VLOOKUP(U73,Blotter!B:C,2,0)),VLOOKUP(U73,Blotter!B:C,2,0),"")</f>
        <v>10</v>
      </c>
      <c r="U73" s="49" t="str">
        <f t="shared" ref="U73" si="72">D73</f>
        <v>SPXW  230622P04340000</v>
      </c>
      <c r="V73" s="49">
        <f t="shared" ref="V73" si="73">N73</f>
        <v>4</v>
      </c>
      <c r="W73" s="49">
        <f t="shared" ref="W73" si="74">O73</f>
        <v>8.5</v>
      </c>
      <c r="X73" s="49">
        <f t="shared" ref="X73" si="75">Q73</f>
        <v>-5.1661999999999999</v>
      </c>
    </row>
    <row r="74" spans="1:24" x14ac:dyDescent="0.4">
      <c r="A74" s="1" t="s">
        <v>138</v>
      </c>
      <c r="B74" s="1" t="s">
        <v>83</v>
      </c>
      <c r="C74" s="1" t="s">
        <v>82</v>
      </c>
      <c r="D74" s="1" t="s">
        <v>188</v>
      </c>
      <c r="E74" s="1" t="s">
        <v>189</v>
      </c>
      <c r="F74" s="1" t="s">
        <v>93</v>
      </c>
      <c r="G74" s="1" t="s">
        <v>5</v>
      </c>
      <c r="H74" s="1">
        <v>10000</v>
      </c>
      <c r="J74" s="51">
        <v>45105</v>
      </c>
      <c r="L74" s="51">
        <v>45092</v>
      </c>
      <c r="M74" s="1" t="s">
        <v>139</v>
      </c>
      <c r="N74" s="1">
        <v>-5</v>
      </c>
      <c r="O74" s="1">
        <v>2.48</v>
      </c>
      <c r="P74" s="1">
        <v>-124000</v>
      </c>
      <c r="Q74" s="1">
        <v>-11.85</v>
      </c>
      <c r="R74" s="1" t="s">
        <v>83</v>
      </c>
      <c r="T74" s="50">
        <f>IF(ISNUMBER(VLOOKUP(U74,Blotter!B:C,2,0)),VLOOKUP(U74,Blotter!B:C,2,0),"")</f>
        <v>2</v>
      </c>
      <c r="U74" s="49" t="str">
        <f t="shared" ref="U74" si="76">D74</f>
        <v>NGN3</v>
      </c>
      <c r="V74" s="49">
        <f t="shared" ref="V74" si="77">N74</f>
        <v>-5</v>
      </c>
      <c r="W74" s="49">
        <f t="shared" ref="W74" si="78">O74</f>
        <v>2.48</v>
      </c>
      <c r="X74" s="49">
        <f t="shared" ref="X74" si="79">Q74</f>
        <v>-11.85</v>
      </c>
    </row>
    <row r="75" spans="1:24" x14ac:dyDescent="0.4">
      <c r="A75" s="1" t="s">
        <v>138</v>
      </c>
      <c r="B75" s="1" t="s">
        <v>83</v>
      </c>
      <c r="C75" s="1" t="s">
        <v>82</v>
      </c>
      <c r="D75" s="1" t="s">
        <v>134</v>
      </c>
      <c r="E75" s="1" t="s">
        <v>143</v>
      </c>
      <c r="F75" s="1" t="s">
        <v>126</v>
      </c>
      <c r="G75" s="1" t="s">
        <v>27</v>
      </c>
      <c r="H75" s="1">
        <v>5000</v>
      </c>
      <c r="J75" s="51">
        <v>45134</v>
      </c>
      <c r="L75" s="51">
        <v>45092</v>
      </c>
      <c r="M75" s="1" t="s">
        <v>135</v>
      </c>
      <c r="N75" s="1">
        <v>2</v>
      </c>
      <c r="O75" s="1">
        <v>23.5</v>
      </c>
      <c r="P75" s="1">
        <v>235000</v>
      </c>
      <c r="Q75" s="1">
        <v>-4.84</v>
      </c>
      <c r="R75" s="1" t="s">
        <v>83</v>
      </c>
      <c r="T75" s="50">
        <f>IF(ISNUMBER(VLOOKUP(U75,Blotter!B:C,2,0)),VLOOKUP(U75,Blotter!B:C,2,0),"")</f>
        <v>6</v>
      </c>
      <c r="U75" s="49" t="str">
        <f t="shared" ref="U75" si="80">D75</f>
        <v>SIN3</v>
      </c>
      <c r="V75" s="49">
        <f t="shared" ref="V75" si="81">N75</f>
        <v>2</v>
      </c>
      <c r="W75" s="49">
        <f t="shared" ref="W75" si="82">O75</f>
        <v>23.5</v>
      </c>
      <c r="X75" s="49">
        <f t="shared" ref="X75" si="83">Q75</f>
        <v>-4.84</v>
      </c>
    </row>
    <row r="76" spans="1:24" x14ac:dyDescent="0.4">
      <c r="A76" s="1" t="s">
        <v>138</v>
      </c>
      <c r="B76" s="1" t="s">
        <v>83</v>
      </c>
      <c r="C76" s="1" t="s">
        <v>82</v>
      </c>
      <c r="D76" s="1" t="s">
        <v>134</v>
      </c>
      <c r="E76" s="1" t="s">
        <v>143</v>
      </c>
      <c r="F76" s="1" t="s">
        <v>126</v>
      </c>
      <c r="G76" s="1" t="s">
        <v>27</v>
      </c>
      <c r="H76" s="1">
        <v>5000</v>
      </c>
      <c r="J76" s="51">
        <v>45134</v>
      </c>
      <c r="L76" s="51">
        <v>45092</v>
      </c>
      <c r="M76" s="1" t="s">
        <v>135</v>
      </c>
      <c r="N76" s="1">
        <v>2</v>
      </c>
      <c r="O76" s="1">
        <v>23.74</v>
      </c>
      <c r="P76" s="1">
        <v>237400</v>
      </c>
      <c r="Q76" s="1">
        <v>-4.84</v>
      </c>
      <c r="R76" s="1" t="s">
        <v>83</v>
      </c>
      <c r="T76" s="50">
        <f>IF(ISNUMBER(VLOOKUP(U76,Blotter!B:C,2,0)),VLOOKUP(U76,Blotter!B:C,2,0),"")</f>
        <v>6</v>
      </c>
      <c r="U76" s="49" t="str">
        <f t="shared" ref="U76:U77" si="84">D76</f>
        <v>SIN3</v>
      </c>
      <c r="V76" s="49">
        <f t="shared" ref="V76:V77" si="85">N76</f>
        <v>2</v>
      </c>
      <c r="W76" s="49">
        <f t="shared" ref="W76:W77" si="86">O76</f>
        <v>23.74</v>
      </c>
      <c r="X76" s="49">
        <f t="shared" ref="X76:X77" si="87">Q76</f>
        <v>-4.84</v>
      </c>
    </row>
    <row r="77" spans="1:24" x14ac:dyDescent="0.4">
      <c r="A77" s="1" t="s">
        <v>138</v>
      </c>
      <c r="B77" s="1" t="s">
        <v>83</v>
      </c>
      <c r="C77" s="1" t="s">
        <v>82</v>
      </c>
      <c r="D77" s="1" t="s">
        <v>134</v>
      </c>
      <c r="E77" s="1" t="s">
        <v>143</v>
      </c>
      <c r="F77" s="1" t="s">
        <v>126</v>
      </c>
      <c r="G77" s="1" t="s">
        <v>27</v>
      </c>
      <c r="H77" s="1">
        <v>5000</v>
      </c>
      <c r="J77" s="51">
        <v>45134</v>
      </c>
      <c r="L77" s="51">
        <v>45092</v>
      </c>
      <c r="M77" s="1" t="s">
        <v>139</v>
      </c>
      <c r="N77" s="1">
        <v>-2</v>
      </c>
      <c r="O77" s="1">
        <v>23.75</v>
      </c>
      <c r="P77" s="1">
        <v>-237500</v>
      </c>
      <c r="Q77" s="1">
        <v>-4.84</v>
      </c>
      <c r="R77" s="1" t="s">
        <v>83</v>
      </c>
      <c r="T77" s="50">
        <f>IF(ISNUMBER(VLOOKUP(U77,Blotter!B:C,2,0)),VLOOKUP(U77,Blotter!B:C,2,0),"")</f>
        <v>6</v>
      </c>
      <c r="U77" s="49" t="str">
        <f t="shared" si="84"/>
        <v>SIN3</v>
      </c>
      <c r="V77" s="49">
        <f t="shared" si="85"/>
        <v>-2</v>
      </c>
      <c r="W77" s="49">
        <f t="shared" si="86"/>
        <v>23.75</v>
      </c>
      <c r="X77" s="49">
        <f t="shared" si="87"/>
        <v>-4.84</v>
      </c>
    </row>
    <row r="78" spans="1:24" x14ac:dyDescent="0.4">
      <c r="A78" s="1" t="s">
        <v>138</v>
      </c>
      <c r="B78" s="1" t="s">
        <v>83</v>
      </c>
      <c r="C78" s="1" t="s">
        <v>82</v>
      </c>
      <c r="D78" s="1" t="s">
        <v>134</v>
      </c>
      <c r="E78" s="1" t="s">
        <v>143</v>
      </c>
      <c r="F78" s="1" t="s">
        <v>126</v>
      </c>
      <c r="G78" s="1" t="s">
        <v>27</v>
      </c>
      <c r="H78" s="1">
        <v>5000</v>
      </c>
      <c r="J78" s="51">
        <v>45134</v>
      </c>
      <c r="L78" s="51">
        <v>45092</v>
      </c>
      <c r="M78" s="1" t="s">
        <v>139</v>
      </c>
      <c r="N78" s="1">
        <v>-2</v>
      </c>
      <c r="O78" s="1">
        <v>23.86</v>
      </c>
      <c r="P78" s="1">
        <v>-238600</v>
      </c>
      <c r="Q78" s="1">
        <v>-4.84</v>
      </c>
      <c r="R78" s="1" t="s">
        <v>83</v>
      </c>
      <c r="T78" s="50">
        <f>IF(ISNUMBER(VLOOKUP(U78,Blotter!B:C,2,0)),VLOOKUP(U78,Blotter!B:C,2,0),"")</f>
        <v>6</v>
      </c>
      <c r="U78" s="49" t="str">
        <f t="shared" ref="U78" si="88">D78</f>
        <v>SIN3</v>
      </c>
      <c r="V78" s="49">
        <f t="shared" ref="V78" si="89">N78</f>
        <v>-2</v>
      </c>
      <c r="W78" s="49">
        <f t="shared" ref="W78" si="90">O78</f>
        <v>23.86</v>
      </c>
      <c r="X78" s="49">
        <f t="shared" ref="X78" si="91">Q78</f>
        <v>-4.84</v>
      </c>
    </row>
    <row r="79" spans="1:24" x14ac:dyDescent="0.4">
      <c r="A79" s="1" t="s">
        <v>138</v>
      </c>
      <c r="B79" s="1" t="s">
        <v>83</v>
      </c>
      <c r="C79" s="1" t="s">
        <v>87</v>
      </c>
      <c r="D79" s="1" t="s">
        <v>155</v>
      </c>
      <c r="E79" s="1" t="s">
        <v>154</v>
      </c>
      <c r="F79" s="1" t="s">
        <v>129</v>
      </c>
      <c r="G79" s="1" t="s">
        <v>4</v>
      </c>
      <c r="H79" s="1">
        <v>100</v>
      </c>
      <c r="I79" s="1">
        <v>3700</v>
      </c>
      <c r="J79" s="51">
        <v>45093</v>
      </c>
      <c r="K79" s="1" t="s">
        <v>89</v>
      </c>
      <c r="L79" s="51">
        <v>45093</v>
      </c>
      <c r="M79" s="1" t="s">
        <v>135</v>
      </c>
      <c r="N79" s="1">
        <v>6</v>
      </c>
      <c r="O79" s="1">
        <v>0</v>
      </c>
      <c r="P79" s="1">
        <v>0</v>
      </c>
      <c r="Q79" s="1">
        <v>0</v>
      </c>
      <c r="R79" s="1" t="s">
        <v>83</v>
      </c>
      <c r="T79" s="50">
        <f>IF(ISNUMBER(VLOOKUP(U79,Blotter!B:C,2,0)),VLOOKUP(U79,Blotter!B:C,2,0),"")</f>
        <v>1</v>
      </c>
      <c r="U79" s="49" t="str">
        <f t="shared" ref="U79" si="92">D79</f>
        <v>SPX   230616P03700000</v>
      </c>
      <c r="V79" s="49">
        <f t="shared" ref="V79" si="93">N79</f>
        <v>6</v>
      </c>
      <c r="W79" s="49">
        <f t="shared" ref="W79" si="94">O79</f>
        <v>0</v>
      </c>
      <c r="X79" s="49">
        <f t="shared" ref="X79" si="95">Q79</f>
        <v>0</v>
      </c>
    </row>
    <row r="80" spans="1:24" x14ac:dyDescent="0.4">
      <c r="A80" s="1" t="s">
        <v>138</v>
      </c>
      <c r="B80" s="1" t="s">
        <v>83</v>
      </c>
      <c r="C80" s="1" t="s">
        <v>87</v>
      </c>
      <c r="D80" s="1" t="s">
        <v>202</v>
      </c>
      <c r="E80" s="1" t="s">
        <v>203</v>
      </c>
      <c r="F80" s="1" t="s">
        <v>129</v>
      </c>
      <c r="G80" s="1" t="s">
        <v>4</v>
      </c>
      <c r="H80" s="1">
        <v>100</v>
      </c>
      <c r="I80" s="1">
        <v>4340</v>
      </c>
      <c r="J80" s="51">
        <v>45099</v>
      </c>
      <c r="K80" s="1" t="s">
        <v>89</v>
      </c>
      <c r="L80" s="51">
        <v>45097</v>
      </c>
      <c r="M80" s="1" t="s">
        <v>139</v>
      </c>
      <c r="N80" s="1">
        <v>-4</v>
      </c>
      <c r="O80" s="1">
        <v>3.1</v>
      </c>
      <c r="P80" s="1">
        <v>-1240</v>
      </c>
      <c r="Q80" s="1">
        <v>-5.1661999999999999</v>
      </c>
      <c r="R80" s="1" t="s">
        <v>83</v>
      </c>
      <c r="T80" s="50">
        <f>IF(ISNUMBER(VLOOKUP(U80,Blotter!B:C,2,0)),VLOOKUP(U80,Blotter!B:C,2,0),"")</f>
        <v>10</v>
      </c>
      <c r="U80" s="49" t="str">
        <f t="shared" ref="U80" si="96">D80</f>
        <v>SPXW  230622P04340000</v>
      </c>
      <c r="V80" s="49">
        <f t="shared" ref="V80" si="97">N80</f>
        <v>-4</v>
      </c>
      <c r="W80" s="49">
        <f t="shared" ref="W80" si="98">O80</f>
        <v>3.1</v>
      </c>
      <c r="X80" s="49">
        <f t="shared" ref="X80" si="99">Q80</f>
        <v>-5.1661999999999999</v>
      </c>
    </row>
    <row r="81" spans="1:24" x14ac:dyDescent="0.4">
      <c r="A81" s="1" t="s">
        <v>138</v>
      </c>
      <c r="B81" s="1" t="s">
        <v>83</v>
      </c>
      <c r="C81" s="1" t="s">
        <v>82</v>
      </c>
      <c r="D81" s="1" t="s">
        <v>228</v>
      </c>
      <c r="E81" s="1" t="s">
        <v>232</v>
      </c>
      <c r="F81" s="1" t="s">
        <v>93</v>
      </c>
      <c r="G81" s="1" t="s">
        <v>9</v>
      </c>
      <c r="H81" s="1">
        <v>42000</v>
      </c>
      <c r="J81" s="51">
        <v>45138</v>
      </c>
      <c r="L81" s="51">
        <v>45097</v>
      </c>
      <c r="M81" s="1" t="s">
        <v>135</v>
      </c>
      <c r="N81" s="1">
        <v>1</v>
      </c>
      <c r="O81" s="1">
        <v>2.56</v>
      </c>
      <c r="P81" s="1">
        <v>107520</v>
      </c>
      <c r="Q81" s="1">
        <v>-2.37</v>
      </c>
      <c r="R81" s="1" t="s">
        <v>83</v>
      </c>
      <c r="T81" s="50">
        <f>IF(ISNUMBER(VLOOKUP(U81,Blotter!B:C,2,0)),VLOOKUP(U81,Blotter!B:C,2,0),"")</f>
        <v>11</v>
      </c>
      <c r="U81" s="49" t="str">
        <f t="shared" ref="U81:U100" si="100">D81</f>
        <v>RBQ3</v>
      </c>
      <c r="V81" s="49">
        <f t="shared" ref="V81:V100" si="101">N81</f>
        <v>1</v>
      </c>
      <c r="W81" s="49">
        <f t="shared" ref="W81:W100" si="102">O81</f>
        <v>2.56</v>
      </c>
      <c r="X81" s="49">
        <f t="shared" ref="X81:X100" si="103">Q81</f>
        <v>-2.37</v>
      </c>
    </row>
    <row r="82" spans="1:24" x14ac:dyDescent="0.4">
      <c r="A82" s="1" t="s">
        <v>138</v>
      </c>
      <c r="B82" s="1" t="s">
        <v>83</v>
      </c>
      <c r="C82" s="1" t="s">
        <v>82</v>
      </c>
      <c r="D82" s="1" t="s">
        <v>228</v>
      </c>
      <c r="E82" s="1" t="s">
        <v>232</v>
      </c>
      <c r="F82" s="1" t="s">
        <v>93</v>
      </c>
      <c r="G82" s="1" t="s">
        <v>9</v>
      </c>
      <c r="H82" s="1">
        <v>42000</v>
      </c>
      <c r="J82" s="51">
        <v>45138</v>
      </c>
      <c r="L82" s="51">
        <v>45097</v>
      </c>
      <c r="M82" s="1" t="s">
        <v>135</v>
      </c>
      <c r="N82" s="1">
        <v>1</v>
      </c>
      <c r="O82" s="1">
        <v>2.5499999999999998</v>
      </c>
      <c r="P82" s="1">
        <v>107100</v>
      </c>
      <c r="Q82" s="1">
        <v>-2.37</v>
      </c>
      <c r="R82" s="1" t="s">
        <v>83</v>
      </c>
      <c r="T82" s="50">
        <f>IF(ISNUMBER(VLOOKUP(U82,Blotter!B:C,2,0)),VLOOKUP(U82,Blotter!B:C,2,0),"")</f>
        <v>11</v>
      </c>
      <c r="U82" s="49" t="str">
        <f t="shared" si="100"/>
        <v>RBQ3</v>
      </c>
      <c r="V82" s="49">
        <f t="shared" si="101"/>
        <v>1</v>
      </c>
      <c r="W82" s="49">
        <f t="shared" si="102"/>
        <v>2.5499999999999998</v>
      </c>
      <c r="X82" s="49">
        <f t="shared" si="103"/>
        <v>-2.37</v>
      </c>
    </row>
    <row r="83" spans="1:24" x14ac:dyDescent="0.4">
      <c r="A83" s="1" t="s">
        <v>138</v>
      </c>
      <c r="B83" s="1" t="s">
        <v>83</v>
      </c>
      <c r="C83" s="1" t="s">
        <v>82</v>
      </c>
      <c r="D83" s="1" t="s">
        <v>134</v>
      </c>
      <c r="E83" s="1" t="s">
        <v>143</v>
      </c>
      <c r="F83" s="1" t="s">
        <v>126</v>
      </c>
      <c r="G83" s="1" t="s">
        <v>27</v>
      </c>
      <c r="H83" s="1">
        <v>5000</v>
      </c>
      <c r="J83" s="51">
        <v>45134</v>
      </c>
      <c r="L83" s="51">
        <v>45097</v>
      </c>
      <c r="M83" s="1" t="s">
        <v>135</v>
      </c>
      <c r="N83" s="1">
        <v>2</v>
      </c>
      <c r="O83" s="1">
        <v>23.675000000000001</v>
      </c>
      <c r="P83" s="1">
        <v>236750</v>
      </c>
      <c r="Q83" s="1">
        <v>-4.84</v>
      </c>
      <c r="R83" s="1" t="s">
        <v>83</v>
      </c>
      <c r="T83" s="50">
        <f>IF(ISNUMBER(VLOOKUP(U83,Blotter!B:C,2,0)),VLOOKUP(U83,Blotter!B:C,2,0),"")</f>
        <v>6</v>
      </c>
      <c r="U83" s="49" t="str">
        <f t="shared" si="100"/>
        <v>SIN3</v>
      </c>
      <c r="V83" s="49">
        <f t="shared" si="101"/>
        <v>2</v>
      </c>
      <c r="W83" s="49">
        <f t="shared" si="102"/>
        <v>23.675000000000001</v>
      </c>
      <c r="X83" s="49">
        <f t="shared" si="103"/>
        <v>-4.84</v>
      </c>
    </row>
    <row r="84" spans="1:24" x14ac:dyDescent="0.4">
      <c r="A84" s="1" t="s">
        <v>138</v>
      </c>
      <c r="B84" s="1" t="s">
        <v>83</v>
      </c>
      <c r="C84" s="1" t="s">
        <v>82</v>
      </c>
      <c r="D84" s="1" t="s">
        <v>193</v>
      </c>
      <c r="E84" s="1" t="s">
        <v>194</v>
      </c>
      <c r="F84" s="1" t="s">
        <v>126</v>
      </c>
      <c r="G84" s="1" t="s">
        <v>25</v>
      </c>
      <c r="H84" s="1">
        <v>25000</v>
      </c>
      <c r="J84" s="51">
        <v>45134</v>
      </c>
      <c r="L84" s="51">
        <v>45098</v>
      </c>
      <c r="M84" s="1" t="s">
        <v>139</v>
      </c>
      <c r="N84" s="1">
        <v>-2</v>
      </c>
      <c r="O84" s="1">
        <v>3.92</v>
      </c>
      <c r="P84" s="1">
        <v>-196000</v>
      </c>
      <c r="Q84" s="1">
        <v>-4.84</v>
      </c>
      <c r="R84" s="1" t="s">
        <v>83</v>
      </c>
      <c r="T84" s="50">
        <f>IF(ISNUMBER(VLOOKUP(U84,Blotter!B:C,2,0)),VLOOKUP(U84,Blotter!B:C,2,0),"")</f>
        <v>8</v>
      </c>
      <c r="U84" s="49" t="str">
        <f t="shared" si="100"/>
        <v>HGN3</v>
      </c>
      <c r="V84" s="49">
        <f t="shared" si="101"/>
        <v>-2</v>
      </c>
      <c r="W84" s="49">
        <f t="shared" si="102"/>
        <v>3.92</v>
      </c>
      <c r="X84" s="49">
        <f t="shared" si="103"/>
        <v>-4.84</v>
      </c>
    </row>
    <row r="85" spans="1:24" x14ac:dyDescent="0.4">
      <c r="A85" s="1" t="s">
        <v>138</v>
      </c>
      <c r="B85" s="1" t="s">
        <v>83</v>
      </c>
      <c r="C85" s="1" t="s">
        <v>82</v>
      </c>
      <c r="D85" s="1" t="s">
        <v>188</v>
      </c>
      <c r="E85" s="1" t="s">
        <v>189</v>
      </c>
      <c r="F85" s="1" t="s">
        <v>93</v>
      </c>
      <c r="G85" s="1" t="s">
        <v>5</v>
      </c>
      <c r="H85" s="1">
        <v>10000</v>
      </c>
      <c r="J85" s="51">
        <v>45105</v>
      </c>
      <c r="L85" s="51">
        <v>45098</v>
      </c>
      <c r="M85" s="1" t="s">
        <v>139</v>
      </c>
      <c r="N85" s="1">
        <v>-5</v>
      </c>
      <c r="O85" s="1">
        <v>2.58</v>
      </c>
      <c r="P85" s="1">
        <v>-129000</v>
      </c>
      <c r="Q85" s="1">
        <v>-11.85</v>
      </c>
      <c r="R85" s="1" t="s">
        <v>83</v>
      </c>
      <c r="T85" s="50">
        <f>IF(ISNUMBER(VLOOKUP(U85,Blotter!B:C,2,0)),VLOOKUP(U85,Blotter!B:C,2,0),"")</f>
        <v>2</v>
      </c>
      <c r="U85" s="49" t="str">
        <f t="shared" si="100"/>
        <v>NGN3</v>
      </c>
      <c r="V85" s="49">
        <f t="shared" si="101"/>
        <v>-5</v>
      </c>
      <c r="W85" s="49">
        <f t="shared" si="102"/>
        <v>2.58</v>
      </c>
      <c r="X85" s="49">
        <f t="shared" si="103"/>
        <v>-11.85</v>
      </c>
    </row>
    <row r="86" spans="1:24" x14ac:dyDescent="0.4">
      <c r="A86" s="1" t="s">
        <v>138</v>
      </c>
      <c r="B86" s="1" t="s">
        <v>83</v>
      </c>
      <c r="C86" s="1" t="s">
        <v>82</v>
      </c>
      <c r="D86" s="1" t="s">
        <v>193</v>
      </c>
      <c r="E86" s="1" t="s">
        <v>194</v>
      </c>
      <c r="F86" s="1" t="s">
        <v>126</v>
      </c>
      <c r="G86" s="1" t="s">
        <v>25</v>
      </c>
      <c r="H86" s="1">
        <v>25000</v>
      </c>
      <c r="J86" s="51">
        <v>45134</v>
      </c>
      <c r="L86" s="51">
        <v>45100</v>
      </c>
      <c r="M86" s="1" t="s">
        <v>135</v>
      </c>
      <c r="N86" s="1">
        <v>2</v>
      </c>
      <c r="O86" s="1">
        <v>3.8275000000000001</v>
      </c>
      <c r="P86" s="1">
        <v>191375</v>
      </c>
      <c r="Q86" s="1">
        <v>-4.84</v>
      </c>
      <c r="R86" s="1" t="s">
        <v>83</v>
      </c>
      <c r="T86" s="50">
        <f>IF(ISNUMBER(VLOOKUP(U86,Blotter!B:C,2,0)),VLOOKUP(U86,Blotter!B:C,2,0),"")</f>
        <v>8</v>
      </c>
      <c r="U86" s="49" t="str">
        <f t="shared" si="100"/>
        <v>HGN3</v>
      </c>
      <c r="V86" s="49">
        <f t="shared" si="101"/>
        <v>2</v>
      </c>
      <c r="W86" s="49">
        <f t="shared" si="102"/>
        <v>3.8275000000000001</v>
      </c>
      <c r="X86" s="49">
        <f t="shared" si="103"/>
        <v>-4.84</v>
      </c>
    </row>
    <row r="87" spans="1:24" x14ac:dyDescent="0.4">
      <c r="A87" s="1" t="s">
        <v>138</v>
      </c>
      <c r="B87" s="1" t="s">
        <v>83</v>
      </c>
      <c r="C87" s="1" t="s">
        <v>82</v>
      </c>
      <c r="D87" s="1" t="s">
        <v>188</v>
      </c>
      <c r="E87" s="1" t="s">
        <v>189</v>
      </c>
      <c r="F87" s="1" t="s">
        <v>93</v>
      </c>
      <c r="G87" s="1" t="s">
        <v>5</v>
      </c>
      <c r="H87" s="1">
        <v>10000</v>
      </c>
      <c r="J87" s="51">
        <v>45105</v>
      </c>
      <c r="L87" s="51">
        <v>45103</v>
      </c>
      <c r="M87" s="1" t="s">
        <v>139</v>
      </c>
      <c r="N87" s="1">
        <v>-5</v>
      </c>
      <c r="O87" s="1">
        <v>2.7679999999999998</v>
      </c>
      <c r="P87" s="1">
        <v>-138400</v>
      </c>
      <c r="Q87" s="1">
        <v>-11.85</v>
      </c>
      <c r="R87" s="1" t="s">
        <v>83</v>
      </c>
      <c r="T87" s="50">
        <f>IF(ISNUMBER(VLOOKUP(U87,Blotter!B:C,2,0)),VLOOKUP(U87,Blotter!B:C,2,0),"")</f>
        <v>2</v>
      </c>
      <c r="U87" s="49" t="str">
        <f t="shared" si="100"/>
        <v>NGN3</v>
      </c>
      <c r="V87" s="49">
        <f t="shared" si="101"/>
        <v>-5</v>
      </c>
      <c r="W87" s="49">
        <f t="shared" si="102"/>
        <v>2.7679999999999998</v>
      </c>
      <c r="X87" s="49">
        <f t="shared" si="103"/>
        <v>-11.85</v>
      </c>
    </row>
    <row r="88" spans="1:24" x14ac:dyDescent="0.4">
      <c r="A88" s="1" t="s">
        <v>138</v>
      </c>
      <c r="B88" s="1" t="s">
        <v>83</v>
      </c>
      <c r="C88" s="1" t="s">
        <v>82</v>
      </c>
      <c r="D88" s="1" t="s">
        <v>193</v>
      </c>
      <c r="E88" s="1" t="s">
        <v>194</v>
      </c>
      <c r="F88" s="1" t="s">
        <v>126</v>
      </c>
      <c r="G88" s="1" t="s">
        <v>25</v>
      </c>
      <c r="H88" s="1">
        <v>25000</v>
      </c>
      <c r="J88" s="51">
        <v>45134</v>
      </c>
      <c r="L88" s="51">
        <v>45105</v>
      </c>
      <c r="M88" s="1" t="s">
        <v>139</v>
      </c>
      <c r="N88" s="1">
        <v>-2</v>
      </c>
      <c r="O88" s="1">
        <v>3.7029999999999998</v>
      </c>
      <c r="P88" s="1">
        <v>-185150</v>
      </c>
      <c r="Q88" s="1">
        <v>-4.84</v>
      </c>
      <c r="R88" s="1" t="s">
        <v>83</v>
      </c>
      <c r="T88" s="50">
        <f>IF(ISNUMBER(VLOOKUP(U88,Blotter!B:C,2,0)),VLOOKUP(U88,Blotter!B:C,2,0),"")</f>
        <v>8</v>
      </c>
      <c r="U88" s="49" t="str">
        <f t="shared" si="100"/>
        <v>HGN3</v>
      </c>
      <c r="V88" s="49">
        <f t="shared" si="101"/>
        <v>-2</v>
      </c>
      <c r="W88" s="49">
        <f t="shared" si="102"/>
        <v>3.7029999999999998</v>
      </c>
      <c r="X88" s="49">
        <f t="shared" si="103"/>
        <v>-4.84</v>
      </c>
    </row>
    <row r="89" spans="1:24" x14ac:dyDescent="0.4">
      <c r="A89" s="1" t="s">
        <v>138</v>
      </c>
      <c r="B89" s="1" t="s">
        <v>83</v>
      </c>
      <c r="C89" s="1" t="s">
        <v>82</v>
      </c>
      <c r="D89" s="1" t="s">
        <v>193</v>
      </c>
      <c r="E89" s="1" t="s">
        <v>194</v>
      </c>
      <c r="F89" s="1" t="s">
        <v>126</v>
      </c>
      <c r="G89" s="1" t="s">
        <v>25</v>
      </c>
      <c r="H89" s="1">
        <v>25000</v>
      </c>
      <c r="J89" s="51">
        <v>45134</v>
      </c>
      <c r="L89" s="51">
        <v>45105</v>
      </c>
      <c r="M89" s="1" t="s">
        <v>139</v>
      </c>
      <c r="N89" s="1">
        <v>-2</v>
      </c>
      <c r="O89" s="1">
        <v>3.7029999999999998</v>
      </c>
      <c r="P89" s="1">
        <v>-185150</v>
      </c>
      <c r="Q89" s="1">
        <v>-4.84</v>
      </c>
      <c r="R89" s="1" t="s">
        <v>83</v>
      </c>
      <c r="T89" s="50">
        <f>IF(ISNUMBER(VLOOKUP(U89,Blotter!B:C,2,0)),VLOOKUP(U89,Blotter!B:C,2,0),"")</f>
        <v>8</v>
      </c>
      <c r="U89" s="49" t="str">
        <f t="shared" si="100"/>
        <v>HGN3</v>
      </c>
      <c r="V89" s="49">
        <f t="shared" si="101"/>
        <v>-2</v>
      </c>
      <c r="W89" s="49">
        <f t="shared" si="102"/>
        <v>3.7029999999999998</v>
      </c>
      <c r="X89" s="49">
        <f t="shared" si="103"/>
        <v>-4.84</v>
      </c>
    </row>
    <row r="90" spans="1:24" x14ac:dyDescent="0.4">
      <c r="A90" s="1" t="s">
        <v>138</v>
      </c>
      <c r="B90" s="1" t="s">
        <v>83</v>
      </c>
      <c r="C90" s="1" t="s">
        <v>82</v>
      </c>
      <c r="D90" s="1" t="s">
        <v>233</v>
      </c>
      <c r="E90" s="1" t="s">
        <v>234</v>
      </c>
      <c r="F90" s="1" t="s">
        <v>126</v>
      </c>
      <c r="G90" s="1" t="s">
        <v>25</v>
      </c>
      <c r="H90" s="1">
        <v>25000</v>
      </c>
      <c r="J90" s="51">
        <v>45196</v>
      </c>
      <c r="L90" s="51">
        <v>45105</v>
      </c>
      <c r="M90" s="1" t="s">
        <v>135</v>
      </c>
      <c r="N90" s="1">
        <v>4</v>
      </c>
      <c r="O90" s="1">
        <v>3.7534999999999998</v>
      </c>
      <c r="P90" s="1">
        <v>375350</v>
      </c>
      <c r="Q90" s="1">
        <v>-9.68</v>
      </c>
      <c r="R90" s="1" t="s">
        <v>83</v>
      </c>
      <c r="T90" s="50">
        <f>IF(ISNUMBER(VLOOKUP(U90,Blotter!B:C,2,0)),VLOOKUP(U90,Blotter!B:C,2,0),"")</f>
        <v>8</v>
      </c>
      <c r="U90" s="49" t="str">
        <f t="shared" si="100"/>
        <v>HGU3</v>
      </c>
      <c r="V90" s="49">
        <f t="shared" si="101"/>
        <v>4</v>
      </c>
      <c r="W90" s="49">
        <f t="shared" si="102"/>
        <v>3.7534999999999998</v>
      </c>
      <c r="X90" s="49">
        <f t="shared" si="103"/>
        <v>-9.68</v>
      </c>
    </row>
    <row r="91" spans="1:24" x14ac:dyDescent="0.4">
      <c r="A91" s="1" t="s">
        <v>138</v>
      </c>
      <c r="B91" s="1" t="s">
        <v>83</v>
      </c>
      <c r="C91" s="1" t="s">
        <v>82</v>
      </c>
      <c r="D91" s="1" t="s">
        <v>233</v>
      </c>
      <c r="E91" s="1" t="s">
        <v>234</v>
      </c>
      <c r="F91" s="1" t="s">
        <v>126</v>
      </c>
      <c r="G91" s="1" t="s">
        <v>25</v>
      </c>
      <c r="H91" s="1">
        <v>25000</v>
      </c>
      <c r="J91" s="51">
        <v>45196</v>
      </c>
      <c r="L91" s="51">
        <v>45105</v>
      </c>
      <c r="M91" s="1" t="s">
        <v>135</v>
      </c>
      <c r="N91" s="1">
        <v>4</v>
      </c>
      <c r="O91" s="1">
        <v>3.7204999999999999</v>
      </c>
      <c r="P91" s="1">
        <v>372050</v>
      </c>
      <c r="Q91" s="1">
        <v>-9.68</v>
      </c>
      <c r="R91" s="1" t="s">
        <v>83</v>
      </c>
      <c r="T91" s="50">
        <f>IF(ISNUMBER(VLOOKUP(U91,Blotter!B:C,2,0)),VLOOKUP(U91,Blotter!B:C,2,0),"")</f>
        <v>8</v>
      </c>
      <c r="U91" s="49" t="str">
        <f t="shared" si="100"/>
        <v>HGU3</v>
      </c>
      <c r="V91" s="49">
        <f t="shared" si="101"/>
        <v>4</v>
      </c>
      <c r="W91" s="49">
        <f t="shared" si="102"/>
        <v>3.7204999999999999</v>
      </c>
      <c r="X91" s="49">
        <f t="shared" si="103"/>
        <v>-9.68</v>
      </c>
    </row>
    <row r="92" spans="1:24" x14ac:dyDescent="0.4">
      <c r="A92" s="1" t="s">
        <v>138</v>
      </c>
      <c r="B92" s="1" t="s">
        <v>83</v>
      </c>
      <c r="C92" s="1" t="s">
        <v>82</v>
      </c>
      <c r="D92" s="1" t="s">
        <v>188</v>
      </c>
      <c r="E92" s="1" t="s">
        <v>189</v>
      </c>
      <c r="F92" s="1" t="s">
        <v>93</v>
      </c>
      <c r="G92" s="1" t="s">
        <v>5</v>
      </c>
      <c r="H92" s="1">
        <v>10000</v>
      </c>
      <c r="J92" s="51">
        <v>45105</v>
      </c>
      <c r="L92" s="51">
        <v>45105</v>
      </c>
      <c r="M92" s="1" t="s">
        <v>135</v>
      </c>
      <c r="N92" s="1">
        <v>5</v>
      </c>
      <c r="O92" s="1">
        <v>2.7709999999999999</v>
      </c>
      <c r="P92" s="1">
        <v>138550</v>
      </c>
      <c r="Q92" s="1">
        <v>-11.85</v>
      </c>
      <c r="R92" s="1" t="s">
        <v>83</v>
      </c>
      <c r="T92" s="50">
        <f>IF(ISNUMBER(VLOOKUP(U92,Blotter!B:C,2,0)),VLOOKUP(U92,Blotter!B:C,2,0),"")</f>
        <v>2</v>
      </c>
      <c r="U92" s="49" t="str">
        <f t="shared" si="100"/>
        <v>NGN3</v>
      </c>
      <c r="V92" s="49">
        <f t="shared" si="101"/>
        <v>5</v>
      </c>
      <c r="W92" s="49">
        <f t="shared" si="102"/>
        <v>2.7709999999999999</v>
      </c>
      <c r="X92" s="49">
        <f t="shared" si="103"/>
        <v>-11.85</v>
      </c>
    </row>
    <row r="93" spans="1:24" x14ac:dyDescent="0.4">
      <c r="A93" s="1" t="s">
        <v>138</v>
      </c>
      <c r="B93" s="1" t="s">
        <v>83</v>
      </c>
      <c r="C93" s="1" t="s">
        <v>82</v>
      </c>
      <c r="D93" s="1" t="s">
        <v>134</v>
      </c>
      <c r="E93" s="1" t="s">
        <v>143</v>
      </c>
      <c r="F93" s="1" t="s">
        <v>126</v>
      </c>
      <c r="G93" s="1" t="s">
        <v>27</v>
      </c>
      <c r="H93" s="1">
        <v>5000</v>
      </c>
      <c r="J93" s="51">
        <v>45134</v>
      </c>
      <c r="L93" s="51">
        <v>45105</v>
      </c>
      <c r="M93" s="1" t="s">
        <v>139</v>
      </c>
      <c r="N93" s="1">
        <v>-5</v>
      </c>
      <c r="O93" s="1">
        <v>22.66</v>
      </c>
      <c r="P93" s="1">
        <v>-566500</v>
      </c>
      <c r="Q93" s="1">
        <v>-12.1</v>
      </c>
      <c r="R93" s="1" t="s">
        <v>83</v>
      </c>
      <c r="T93" s="50">
        <f>IF(ISNUMBER(VLOOKUP(U93,Blotter!B:C,2,0)),VLOOKUP(U93,Blotter!B:C,2,0),"")</f>
        <v>6</v>
      </c>
      <c r="U93" s="49" t="str">
        <f t="shared" si="100"/>
        <v>SIN3</v>
      </c>
      <c r="V93" s="49">
        <f t="shared" si="101"/>
        <v>-5</v>
      </c>
      <c r="W93" s="49">
        <f t="shared" si="102"/>
        <v>22.66</v>
      </c>
      <c r="X93" s="49">
        <f t="shared" si="103"/>
        <v>-12.1</v>
      </c>
    </row>
    <row r="94" spans="1:24" x14ac:dyDescent="0.4">
      <c r="A94" s="1" t="s">
        <v>138</v>
      </c>
      <c r="B94" s="1" t="s">
        <v>83</v>
      </c>
      <c r="C94" s="1" t="s">
        <v>82</v>
      </c>
      <c r="D94" s="1" t="s">
        <v>235</v>
      </c>
      <c r="E94" s="1" t="s">
        <v>236</v>
      </c>
      <c r="F94" s="1" t="s">
        <v>126</v>
      </c>
      <c r="G94" s="1" t="s">
        <v>27</v>
      </c>
      <c r="H94" s="1">
        <v>5000</v>
      </c>
      <c r="J94" s="51">
        <v>45196</v>
      </c>
      <c r="L94" s="51">
        <v>45105</v>
      </c>
      <c r="M94" s="1" t="s">
        <v>135</v>
      </c>
      <c r="N94" s="1">
        <v>5</v>
      </c>
      <c r="O94" s="1">
        <v>22.96</v>
      </c>
      <c r="P94" s="1">
        <v>574000</v>
      </c>
      <c r="Q94" s="1">
        <v>-12.1</v>
      </c>
      <c r="R94" s="1" t="s">
        <v>83</v>
      </c>
      <c r="T94" s="50">
        <f>IF(ISNUMBER(VLOOKUP(U94,Blotter!B:C,2,0)),VLOOKUP(U94,Blotter!B:C,2,0),"")</f>
        <v>6</v>
      </c>
      <c r="U94" s="49" t="str">
        <f t="shared" si="100"/>
        <v>SIU3</v>
      </c>
      <c r="V94" s="49">
        <f t="shared" si="101"/>
        <v>5</v>
      </c>
      <c r="W94" s="49">
        <f t="shared" si="102"/>
        <v>22.96</v>
      </c>
      <c r="X94" s="49">
        <f t="shared" si="103"/>
        <v>-12.1</v>
      </c>
    </row>
    <row r="95" spans="1:24" x14ac:dyDescent="0.4">
      <c r="A95" s="1" t="s">
        <v>138</v>
      </c>
      <c r="B95" s="1" t="s">
        <v>83</v>
      </c>
      <c r="C95" s="1" t="s">
        <v>82</v>
      </c>
      <c r="D95" s="1" t="s">
        <v>235</v>
      </c>
      <c r="E95" s="1" t="s">
        <v>236</v>
      </c>
      <c r="F95" s="1" t="s">
        <v>126</v>
      </c>
      <c r="G95" s="1" t="s">
        <v>27</v>
      </c>
      <c r="H95" s="1">
        <v>5000</v>
      </c>
      <c r="J95" s="51">
        <v>45196</v>
      </c>
      <c r="L95" s="51">
        <v>45105</v>
      </c>
      <c r="M95" s="1" t="s">
        <v>139</v>
      </c>
      <c r="N95" s="1">
        <v>-5</v>
      </c>
      <c r="O95" s="1">
        <v>22.975000000000001</v>
      </c>
      <c r="P95" s="1">
        <v>-574375</v>
      </c>
      <c r="Q95" s="1">
        <v>-12.1</v>
      </c>
      <c r="R95" s="1" t="s">
        <v>83</v>
      </c>
      <c r="T95" s="50">
        <f>IF(ISNUMBER(VLOOKUP(U95,Blotter!B:C,2,0)),VLOOKUP(U95,Blotter!B:C,2,0),"")</f>
        <v>6</v>
      </c>
      <c r="U95" s="49" t="str">
        <f t="shared" si="100"/>
        <v>SIU3</v>
      </c>
      <c r="V95" s="49">
        <f t="shared" si="101"/>
        <v>-5</v>
      </c>
      <c r="W95" s="49">
        <f t="shared" si="102"/>
        <v>22.975000000000001</v>
      </c>
      <c r="X95" s="49">
        <f t="shared" si="103"/>
        <v>-12.1</v>
      </c>
    </row>
    <row r="96" spans="1:24" x14ac:dyDescent="0.4">
      <c r="A96" s="1" t="s">
        <v>138</v>
      </c>
      <c r="B96" s="1" t="s">
        <v>83</v>
      </c>
      <c r="C96" s="1" t="s">
        <v>82</v>
      </c>
      <c r="D96" s="1" t="s">
        <v>233</v>
      </c>
      <c r="E96" s="1" t="s">
        <v>234</v>
      </c>
      <c r="F96" s="1" t="s">
        <v>126</v>
      </c>
      <c r="G96" s="1" t="s">
        <v>25</v>
      </c>
      <c r="H96" s="1">
        <v>25000</v>
      </c>
      <c r="J96" s="51">
        <v>45196</v>
      </c>
      <c r="L96" s="51">
        <v>45106</v>
      </c>
      <c r="M96" s="1" t="s">
        <v>135</v>
      </c>
      <c r="N96" s="1">
        <v>4</v>
      </c>
      <c r="O96" s="1">
        <v>3.706</v>
      </c>
      <c r="P96" s="1">
        <v>370600</v>
      </c>
      <c r="Q96" s="1">
        <v>-9.68</v>
      </c>
      <c r="R96" s="1" t="s">
        <v>83</v>
      </c>
      <c r="T96" s="50">
        <f>IF(ISNUMBER(VLOOKUP(U96,Blotter!B:C,2,0)),VLOOKUP(U96,Blotter!B:C,2,0),"")</f>
        <v>8</v>
      </c>
      <c r="U96" s="49" t="str">
        <f t="shared" si="100"/>
        <v>HGU3</v>
      </c>
      <c r="V96" s="49">
        <f t="shared" si="101"/>
        <v>4</v>
      </c>
      <c r="W96" s="49">
        <f t="shared" si="102"/>
        <v>3.706</v>
      </c>
      <c r="X96" s="49">
        <f t="shared" si="103"/>
        <v>-9.68</v>
      </c>
    </row>
    <row r="97" spans="1:24" x14ac:dyDescent="0.4">
      <c r="A97" s="1" t="s">
        <v>138</v>
      </c>
      <c r="B97" s="1" t="s">
        <v>83</v>
      </c>
      <c r="C97" s="1" t="s">
        <v>82</v>
      </c>
      <c r="D97" s="1" t="s">
        <v>233</v>
      </c>
      <c r="E97" s="1" t="s">
        <v>234</v>
      </c>
      <c r="F97" s="1" t="s">
        <v>126</v>
      </c>
      <c r="G97" s="1" t="s">
        <v>25</v>
      </c>
      <c r="H97" s="1">
        <v>25000</v>
      </c>
      <c r="J97" s="51">
        <v>45196</v>
      </c>
      <c r="L97" s="51">
        <v>45106</v>
      </c>
      <c r="M97" s="1" t="s">
        <v>139</v>
      </c>
      <c r="N97" s="1">
        <v>-4</v>
      </c>
      <c r="O97" s="1">
        <v>3.75</v>
      </c>
      <c r="P97" s="1">
        <v>-375000</v>
      </c>
      <c r="Q97" s="1">
        <v>-9.68</v>
      </c>
      <c r="R97" s="1" t="s">
        <v>83</v>
      </c>
      <c r="T97" s="50">
        <f>IF(ISNUMBER(VLOOKUP(U97,Blotter!B:C,2,0)),VLOOKUP(U97,Blotter!B:C,2,0),"")</f>
        <v>8</v>
      </c>
      <c r="U97" s="49" t="str">
        <f t="shared" si="100"/>
        <v>HGU3</v>
      </c>
      <c r="V97" s="49">
        <f t="shared" si="101"/>
        <v>-4</v>
      </c>
      <c r="W97" s="49">
        <f t="shared" si="102"/>
        <v>3.75</v>
      </c>
      <c r="X97" s="49">
        <f t="shared" si="103"/>
        <v>-9.68</v>
      </c>
    </row>
    <row r="98" spans="1:24" x14ac:dyDescent="0.4">
      <c r="A98" s="1" t="s">
        <v>138</v>
      </c>
      <c r="B98" s="1" t="s">
        <v>83</v>
      </c>
      <c r="C98" s="1" t="s">
        <v>82</v>
      </c>
      <c r="D98" s="1" t="s">
        <v>235</v>
      </c>
      <c r="E98" s="1" t="s">
        <v>236</v>
      </c>
      <c r="F98" s="1" t="s">
        <v>126</v>
      </c>
      <c r="G98" s="1" t="s">
        <v>27</v>
      </c>
      <c r="H98" s="1">
        <v>5000</v>
      </c>
      <c r="J98" s="51">
        <v>45196</v>
      </c>
      <c r="L98" s="51">
        <v>45106</v>
      </c>
      <c r="M98" s="1" t="s">
        <v>135</v>
      </c>
      <c r="N98" s="1">
        <v>5</v>
      </c>
      <c r="O98" s="1">
        <v>22.97</v>
      </c>
      <c r="P98" s="1">
        <v>574250</v>
      </c>
      <c r="Q98" s="1">
        <v>-12.1</v>
      </c>
      <c r="R98" s="1" t="s">
        <v>83</v>
      </c>
      <c r="T98" s="50">
        <f>IF(ISNUMBER(VLOOKUP(U98,Blotter!B:C,2,0)),VLOOKUP(U98,Blotter!B:C,2,0),"")</f>
        <v>6</v>
      </c>
      <c r="U98" s="49" t="str">
        <f t="shared" si="100"/>
        <v>SIU3</v>
      </c>
      <c r="V98" s="49">
        <f t="shared" si="101"/>
        <v>5</v>
      </c>
      <c r="W98" s="49">
        <f t="shared" si="102"/>
        <v>22.97</v>
      </c>
      <c r="X98" s="49">
        <f t="shared" si="103"/>
        <v>-12.1</v>
      </c>
    </row>
    <row r="99" spans="1:24" x14ac:dyDescent="0.4">
      <c r="A99" s="1" t="s">
        <v>138</v>
      </c>
      <c r="B99" s="1" t="s">
        <v>83</v>
      </c>
      <c r="C99" s="1" t="s">
        <v>82</v>
      </c>
      <c r="D99" s="1" t="s">
        <v>235</v>
      </c>
      <c r="E99" s="1" t="s">
        <v>236</v>
      </c>
      <c r="F99" s="1" t="s">
        <v>126</v>
      </c>
      <c r="G99" s="1" t="s">
        <v>27</v>
      </c>
      <c r="H99" s="1">
        <v>5000</v>
      </c>
      <c r="J99" s="51">
        <v>45196</v>
      </c>
      <c r="L99" s="51">
        <v>45106</v>
      </c>
      <c r="M99" s="1" t="s">
        <v>135</v>
      </c>
      <c r="N99" s="1">
        <v>5</v>
      </c>
      <c r="O99" s="1">
        <v>22.85</v>
      </c>
      <c r="P99" s="1">
        <v>571250</v>
      </c>
      <c r="Q99" s="1">
        <v>-12.1</v>
      </c>
      <c r="R99" s="1" t="s">
        <v>83</v>
      </c>
      <c r="T99" s="50">
        <f>IF(ISNUMBER(VLOOKUP(U99,Blotter!B:C,2,0)),VLOOKUP(U99,Blotter!B:C,2,0),"")</f>
        <v>6</v>
      </c>
      <c r="U99" s="49" t="str">
        <f t="shared" si="100"/>
        <v>SIU3</v>
      </c>
      <c r="V99" s="49">
        <f t="shared" si="101"/>
        <v>5</v>
      </c>
      <c r="W99" s="49">
        <f t="shared" si="102"/>
        <v>22.85</v>
      </c>
      <c r="X99" s="49">
        <f t="shared" si="103"/>
        <v>-12.1</v>
      </c>
    </row>
    <row r="100" spans="1:24" x14ac:dyDescent="0.4">
      <c r="A100" s="1" t="s">
        <v>138</v>
      </c>
      <c r="B100" s="1" t="s">
        <v>83</v>
      </c>
      <c r="C100" s="1" t="s">
        <v>82</v>
      </c>
      <c r="D100" s="1" t="s">
        <v>235</v>
      </c>
      <c r="E100" s="1" t="s">
        <v>236</v>
      </c>
      <c r="F100" s="1" t="s">
        <v>126</v>
      </c>
      <c r="G100" s="1" t="s">
        <v>27</v>
      </c>
      <c r="H100" s="1">
        <v>5000</v>
      </c>
      <c r="J100" s="51">
        <v>45196</v>
      </c>
      <c r="L100" s="51">
        <v>45106</v>
      </c>
      <c r="M100" s="1" t="s">
        <v>139</v>
      </c>
      <c r="N100" s="1">
        <v>-5</v>
      </c>
      <c r="O100" s="1">
        <v>23.08</v>
      </c>
      <c r="P100" s="1">
        <v>-577000</v>
      </c>
      <c r="Q100" s="1">
        <v>-12.1</v>
      </c>
      <c r="R100" s="1" t="s">
        <v>83</v>
      </c>
      <c r="T100" s="50">
        <f>IF(ISNUMBER(VLOOKUP(U100,Blotter!B:C,2,0)),VLOOKUP(U100,Blotter!B:C,2,0),"")</f>
        <v>6</v>
      </c>
      <c r="U100" s="49" t="str">
        <f t="shared" si="100"/>
        <v>SIU3</v>
      </c>
      <c r="V100" s="49">
        <f t="shared" si="101"/>
        <v>-5</v>
      </c>
      <c r="W100" s="49">
        <f t="shared" si="102"/>
        <v>23.08</v>
      </c>
      <c r="X100" s="49">
        <f t="shared" si="103"/>
        <v>-12.1</v>
      </c>
    </row>
    <row r="101" spans="1:24" x14ac:dyDescent="0.4">
      <c r="A101" s="1" t="s">
        <v>138</v>
      </c>
      <c r="B101" s="1" t="s">
        <v>83</v>
      </c>
      <c r="C101" s="1" t="s">
        <v>82</v>
      </c>
      <c r="D101" s="1" t="s">
        <v>233</v>
      </c>
      <c r="E101" s="1" t="s">
        <v>234</v>
      </c>
      <c r="F101" s="1" t="s">
        <v>126</v>
      </c>
      <c r="G101" s="1" t="s">
        <v>25</v>
      </c>
      <c r="H101" s="1">
        <v>25000</v>
      </c>
      <c r="J101" s="51">
        <v>45196</v>
      </c>
      <c r="L101" s="51">
        <v>45107</v>
      </c>
      <c r="M101" s="1" t="s">
        <v>139</v>
      </c>
      <c r="N101" s="1">
        <v>-4</v>
      </c>
      <c r="O101" s="1">
        <v>3.75</v>
      </c>
      <c r="P101" s="1">
        <v>-375000</v>
      </c>
      <c r="Q101" s="1">
        <v>-9.68</v>
      </c>
      <c r="R101" s="1" t="s">
        <v>83</v>
      </c>
      <c r="T101" s="50">
        <f>IF(ISNUMBER(VLOOKUP(U101,Blotter!B:C,2,0)),VLOOKUP(U101,Blotter!B:C,2,0),"")</f>
        <v>8</v>
      </c>
      <c r="U101" s="49" t="str">
        <f t="shared" ref="U101" si="104">D101</f>
        <v>HGU3</v>
      </c>
      <c r="V101" s="49">
        <f t="shared" ref="V101" si="105">N101</f>
        <v>-4</v>
      </c>
      <c r="W101" s="49">
        <f t="shared" ref="W101" si="106">O101</f>
        <v>3.75</v>
      </c>
      <c r="X101" s="49">
        <f t="shared" ref="X101" si="107">Q101</f>
        <v>-9.68</v>
      </c>
    </row>
    <row r="102" spans="1:24" x14ac:dyDescent="0.4">
      <c r="A102" s="1" t="s">
        <v>138</v>
      </c>
      <c r="B102" s="1" t="s">
        <v>83</v>
      </c>
      <c r="C102" s="1" t="s">
        <v>82</v>
      </c>
      <c r="D102" s="1" t="s">
        <v>235</v>
      </c>
      <c r="E102" s="1" t="s">
        <v>236</v>
      </c>
      <c r="F102" s="1" t="s">
        <v>126</v>
      </c>
      <c r="G102" s="1" t="s">
        <v>27</v>
      </c>
      <c r="H102" s="1">
        <v>5000</v>
      </c>
      <c r="J102" s="51">
        <v>45196</v>
      </c>
      <c r="L102" s="51">
        <v>45107</v>
      </c>
      <c r="M102" s="1" t="s">
        <v>135</v>
      </c>
      <c r="N102" s="1">
        <v>10</v>
      </c>
      <c r="O102" s="1">
        <v>22.95</v>
      </c>
      <c r="P102" s="1">
        <v>1147500</v>
      </c>
      <c r="Q102" s="1">
        <v>-24.2</v>
      </c>
      <c r="R102" s="1" t="s">
        <v>83</v>
      </c>
      <c r="T102" s="50">
        <f>IF(ISNUMBER(VLOOKUP(U102,Blotter!B:C,2,0)),VLOOKUP(U102,Blotter!B:C,2,0),"")</f>
        <v>6</v>
      </c>
      <c r="U102" s="49" t="str">
        <f t="shared" ref="U102:U104" si="108">D102</f>
        <v>SIU3</v>
      </c>
      <c r="V102" s="49">
        <f t="shared" ref="V102:V104" si="109">N102</f>
        <v>10</v>
      </c>
      <c r="W102" s="49">
        <f t="shared" ref="W102:W104" si="110">O102</f>
        <v>22.95</v>
      </c>
      <c r="X102" s="49">
        <f t="shared" ref="X102:X104" si="111">Q102</f>
        <v>-24.2</v>
      </c>
    </row>
    <row r="103" spans="1:24" x14ac:dyDescent="0.4">
      <c r="A103" s="1" t="s">
        <v>138</v>
      </c>
      <c r="B103" s="1" t="s">
        <v>83</v>
      </c>
      <c r="C103" s="1" t="s">
        <v>82</v>
      </c>
      <c r="D103" s="1" t="s">
        <v>235</v>
      </c>
      <c r="E103" s="1" t="s">
        <v>236</v>
      </c>
      <c r="F103" s="1" t="s">
        <v>126</v>
      </c>
      <c r="G103" s="1" t="s">
        <v>27</v>
      </c>
      <c r="H103" s="1">
        <v>5000</v>
      </c>
      <c r="J103" s="51">
        <v>45196</v>
      </c>
      <c r="L103" s="51">
        <v>45107</v>
      </c>
      <c r="M103" s="1" t="s">
        <v>139</v>
      </c>
      <c r="N103" s="1">
        <v>-5</v>
      </c>
      <c r="O103" s="1">
        <v>22.95</v>
      </c>
      <c r="P103" s="1">
        <v>-573750</v>
      </c>
      <c r="Q103" s="1">
        <v>-12.1</v>
      </c>
      <c r="R103" s="1" t="s">
        <v>83</v>
      </c>
      <c r="T103" s="50">
        <f>IF(ISNUMBER(VLOOKUP(U103,Blotter!B:C,2,0)),VLOOKUP(U103,Blotter!B:C,2,0),"")</f>
        <v>6</v>
      </c>
      <c r="U103" s="49" t="str">
        <f t="shared" si="108"/>
        <v>SIU3</v>
      </c>
      <c r="V103" s="49">
        <f t="shared" si="109"/>
        <v>-5</v>
      </c>
      <c r="W103" s="49">
        <f t="shared" si="110"/>
        <v>22.95</v>
      </c>
      <c r="X103" s="49">
        <f t="shared" si="111"/>
        <v>-12.1</v>
      </c>
    </row>
    <row r="104" spans="1:24" x14ac:dyDescent="0.4">
      <c r="A104" s="1" t="s">
        <v>138</v>
      </c>
      <c r="B104" s="1" t="s">
        <v>83</v>
      </c>
      <c r="C104" s="1" t="s">
        <v>82</v>
      </c>
      <c r="D104" s="1" t="s">
        <v>235</v>
      </c>
      <c r="E104" s="1" t="s">
        <v>236</v>
      </c>
      <c r="F104" s="1" t="s">
        <v>126</v>
      </c>
      <c r="G104" s="1" t="s">
        <v>27</v>
      </c>
      <c r="H104" s="1">
        <v>5000</v>
      </c>
      <c r="J104" s="51">
        <v>45196</v>
      </c>
      <c r="L104" s="51">
        <v>45107</v>
      </c>
      <c r="M104" s="1" t="s">
        <v>139</v>
      </c>
      <c r="N104" s="1">
        <v>-5</v>
      </c>
      <c r="O104" s="1">
        <v>22.96</v>
      </c>
      <c r="P104" s="1">
        <v>-574000</v>
      </c>
      <c r="Q104" s="1">
        <v>-12.1</v>
      </c>
      <c r="R104" s="1" t="s">
        <v>83</v>
      </c>
      <c r="T104" s="50">
        <f>IF(ISNUMBER(VLOOKUP(U104,Blotter!B:C,2,0)),VLOOKUP(U104,Blotter!B:C,2,0),"")</f>
        <v>6</v>
      </c>
      <c r="U104" s="49" t="str">
        <f t="shared" si="108"/>
        <v>SIU3</v>
      </c>
      <c r="V104" s="49">
        <f t="shared" si="109"/>
        <v>-5</v>
      </c>
      <c r="W104" s="49">
        <f t="shared" si="110"/>
        <v>22.96</v>
      </c>
      <c r="X104" s="49">
        <f t="shared" si="111"/>
        <v>-12.1</v>
      </c>
    </row>
    <row r="105" spans="1:24" x14ac:dyDescent="0.4">
      <c r="A105" s="1" t="s">
        <v>138</v>
      </c>
      <c r="B105" s="1" t="s">
        <v>83</v>
      </c>
      <c r="C105" s="1" t="s">
        <v>82</v>
      </c>
      <c r="D105" s="1" t="s">
        <v>228</v>
      </c>
      <c r="E105" s="1" t="s">
        <v>232</v>
      </c>
      <c r="F105" s="1" t="s">
        <v>93</v>
      </c>
      <c r="G105" s="1" t="s">
        <v>9</v>
      </c>
      <c r="H105" s="1">
        <v>42000</v>
      </c>
      <c r="J105" s="51">
        <v>45138</v>
      </c>
      <c r="L105" s="51">
        <v>45110</v>
      </c>
      <c r="M105" s="1" t="s">
        <v>139</v>
      </c>
      <c r="N105" s="1">
        <v>-2</v>
      </c>
      <c r="O105" s="1">
        <v>2.56</v>
      </c>
      <c r="P105" s="1">
        <v>-215040</v>
      </c>
      <c r="Q105" s="1">
        <v>-4.74</v>
      </c>
      <c r="R105" s="1" t="s">
        <v>83</v>
      </c>
      <c r="T105" s="50">
        <f>IF(ISNUMBER(VLOOKUP(U105,Blotter!B:C,2,0)),VLOOKUP(U105,Blotter!B:C,2,0),"")</f>
        <v>11</v>
      </c>
      <c r="U105" s="49" t="str">
        <f t="shared" ref="U105" si="112">D105</f>
        <v>RBQ3</v>
      </c>
      <c r="V105" s="49">
        <f t="shared" ref="V105" si="113">N105</f>
        <v>-2</v>
      </c>
      <c r="W105" s="49">
        <f t="shared" ref="W105" si="114">O105</f>
        <v>2.56</v>
      </c>
      <c r="X105" s="49">
        <f t="shared" ref="X105" si="115">Q105</f>
        <v>-4.74</v>
      </c>
    </row>
    <row r="106" spans="1:24" x14ac:dyDescent="0.4">
      <c r="A106" s="1" t="s">
        <v>138</v>
      </c>
      <c r="B106" s="1" t="s">
        <v>83</v>
      </c>
      <c r="C106" s="1" t="s">
        <v>82</v>
      </c>
      <c r="D106" s="1" t="s">
        <v>235</v>
      </c>
      <c r="E106" s="1" t="s">
        <v>236</v>
      </c>
      <c r="F106" s="1" t="s">
        <v>126</v>
      </c>
      <c r="G106" s="1" t="s">
        <v>27</v>
      </c>
      <c r="H106" s="1">
        <v>5000</v>
      </c>
      <c r="J106" s="51">
        <v>45196</v>
      </c>
      <c r="L106" s="51">
        <v>45110</v>
      </c>
      <c r="M106" s="1" t="s">
        <v>135</v>
      </c>
      <c r="N106" s="1">
        <v>5</v>
      </c>
      <c r="O106" s="1">
        <v>23.13</v>
      </c>
      <c r="P106" s="1">
        <v>578250</v>
      </c>
      <c r="Q106" s="1">
        <v>-12.1</v>
      </c>
      <c r="R106" s="1" t="s">
        <v>83</v>
      </c>
      <c r="T106" s="50">
        <f>IF(ISNUMBER(VLOOKUP(U106,Blotter!B:C,2,0)),VLOOKUP(U106,Blotter!B:C,2,0),"")</f>
        <v>6</v>
      </c>
      <c r="U106" s="49" t="str">
        <f t="shared" ref="U106" si="116">D106</f>
        <v>SIU3</v>
      </c>
      <c r="V106" s="49">
        <f t="shared" ref="V106" si="117">N106</f>
        <v>5</v>
      </c>
      <c r="W106" s="49">
        <f t="shared" ref="W106" si="118">O106</f>
        <v>23.13</v>
      </c>
      <c r="X106" s="49">
        <f t="shared" ref="X106" si="119">Q106</f>
        <v>-12.1</v>
      </c>
    </row>
    <row r="107" spans="1:24" x14ac:dyDescent="0.4">
      <c r="A107" s="1" t="s">
        <v>138</v>
      </c>
      <c r="B107" s="1" t="s">
        <v>83</v>
      </c>
      <c r="C107" s="1" t="s">
        <v>82</v>
      </c>
      <c r="D107" s="1" t="s">
        <v>235</v>
      </c>
      <c r="E107" s="1" t="s">
        <v>236</v>
      </c>
      <c r="F107" s="1" t="s">
        <v>126</v>
      </c>
      <c r="G107" s="1" t="s">
        <v>27</v>
      </c>
      <c r="H107" s="1">
        <v>5000</v>
      </c>
      <c r="J107" s="51">
        <v>45196</v>
      </c>
      <c r="L107" s="51">
        <v>45110</v>
      </c>
      <c r="M107" s="1" t="s">
        <v>139</v>
      </c>
      <c r="N107" s="1">
        <v>-5</v>
      </c>
      <c r="O107" s="1">
        <v>23.15</v>
      </c>
      <c r="P107" s="1">
        <v>-578750</v>
      </c>
      <c r="Q107" s="1">
        <v>-12.1</v>
      </c>
      <c r="R107" s="1" t="s">
        <v>83</v>
      </c>
      <c r="T107" s="50">
        <f>IF(ISNUMBER(VLOOKUP(U107,Blotter!B:C,2,0)),VLOOKUP(U107,Blotter!B:C,2,0),"")</f>
        <v>6</v>
      </c>
      <c r="U107" s="49" t="str">
        <f t="shared" ref="U107:U110" si="120">D107</f>
        <v>SIU3</v>
      </c>
      <c r="V107" s="49">
        <f t="shared" ref="V107:V110" si="121">N107</f>
        <v>-5</v>
      </c>
      <c r="W107" s="49">
        <f t="shared" ref="W107:W110" si="122">O107</f>
        <v>23.15</v>
      </c>
      <c r="X107" s="49">
        <f t="shared" ref="X107:X110" si="123">Q107</f>
        <v>-12.1</v>
      </c>
    </row>
    <row r="108" spans="1:24" x14ac:dyDescent="0.4">
      <c r="A108" s="1" t="s">
        <v>138</v>
      </c>
      <c r="B108" s="1" t="s">
        <v>83</v>
      </c>
      <c r="C108" s="1" t="s">
        <v>82</v>
      </c>
      <c r="D108" s="1" t="s">
        <v>235</v>
      </c>
      <c r="E108" s="1" t="s">
        <v>236</v>
      </c>
      <c r="F108" s="1" t="s">
        <v>126</v>
      </c>
      <c r="G108" s="1" t="s">
        <v>27</v>
      </c>
      <c r="H108" s="1">
        <v>5000</v>
      </c>
      <c r="J108" s="51">
        <v>45196</v>
      </c>
      <c r="L108" s="51">
        <v>45110</v>
      </c>
      <c r="M108" s="1" t="s">
        <v>139</v>
      </c>
      <c r="N108" s="1">
        <v>-5</v>
      </c>
      <c r="O108" s="1">
        <v>23.23</v>
      </c>
      <c r="P108" s="1">
        <v>-580750</v>
      </c>
      <c r="Q108" s="1">
        <v>-12.1</v>
      </c>
      <c r="R108" s="1" t="s">
        <v>83</v>
      </c>
      <c r="T108" s="50">
        <f>IF(ISNUMBER(VLOOKUP(U108,Blotter!B:C,2,0)),VLOOKUP(U108,Blotter!B:C,2,0),"")</f>
        <v>6</v>
      </c>
      <c r="U108" s="49" t="str">
        <f t="shared" si="120"/>
        <v>SIU3</v>
      </c>
      <c r="V108" s="49">
        <f t="shared" si="121"/>
        <v>-5</v>
      </c>
      <c r="W108" s="49">
        <f t="shared" si="122"/>
        <v>23.23</v>
      </c>
      <c r="X108" s="49">
        <f t="shared" si="123"/>
        <v>-12.1</v>
      </c>
    </row>
    <row r="109" spans="1:24" x14ac:dyDescent="0.4">
      <c r="A109" s="1" t="s">
        <v>138</v>
      </c>
      <c r="B109" s="1" t="s">
        <v>83</v>
      </c>
      <c r="C109" s="1" t="s">
        <v>82</v>
      </c>
      <c r="D109" s="59" t="s">
        <v>241</v>
      </c>
      <c r="E109" s="1" t="s">
        <v>242</v>
      </c>
      <c r="F109" s="1" t="s">
        <v>127</v>
      </c>
      <c r="G109" s="1" t="s">
        <v>28</v>
      </c>
      <c r="H109" s="1">
        <v>5000</v>
      </c>
      <c r="J109" s="51">
        <v>45183</v>
      </c>
      <c r="L109" s="51">
        <v>45110</v>
      </c>
      <c r="M109" s="1" t="s">
        <v>135</v>
      </c>
      <c r="N109" s="1">
        <v>2</v>
      </c>
      <c r="O109" s="59">
        <v>487</v>
      </c>
      <c r="P109" s="1">
        <v>48700</v>
      </c>
      <c r="Q109" s="1">
        <v>-5.94</v>
      </c>
      <c r="R109" s="1" t="s">
        <v>83</v>
      </c>
      <c r="T109" s="50">
        <f>IF(ISNUMBER(VLOOKUP(U109,Blotter!B:C,2,0)),VLOOKUP(U109,Blotter!B:C,2,0),"")</f>
        <v>13</v>
      </c>
      <c r="U109" s="49" t="str">
        <f t="shared" si="120"/>
        <v>ZCU3</v>
      </c>
      <c r="V109" s="49">
        <f t="shared" si="121"/>
        <v>2</v>
      </c>
      <c r="W109" s="49">
        <f t="shared" si="122"/>
        <v>487</v>
      </c>
      <c r="X109" s="49">
        <f t="shared" si="123"/>
        <v>-5.94</v>
      </c>
    </row>
    <row r="110" spans="1:24" x14ac:dyDescent="0.4">
      <c r="A110" s="1" t="s">
        <v>138</v>
      </c>
      <c r="B110" s="1" t="s">
        <v>83</v>
      </c>
      <c r="C110" s="1" t="s">
        <v>86</v>
      </c>
      <c r="D110" s="1" t="s">
        <v>243</v>
      </c>
      <c r="E110" s="1" t="s">
        <v>244</v>
      </c>
      <c r="F110" s="1" t="s">
        <v>127</v>
      </c>
      <c r="G110" s="1" t="s">
        <v>245</v>
      </c>
      <c r="H110" s="1">
        <v>5000</v>
      </c>
      <c r="I110" s="1">
        <v>6</v>
      </c>
      <c r="J110" s="51">
        <v>45254</v>
      </c>
      <c r="K110" s="1" t="s">
        <v>57</v>
      </c>
      <c r="L110" s="51">
        <v>45110</v>
      </c>
      <c r="M110" s="1" t="s">
        <v>135</v>
      </c>
      <c r="N110" s="1">
        <v>12</v>
      </c>
      <c r="O110" s="59">
        <v>8.5</v>
      </c>
      <c r="P110" s="1">
        <v>5100</v>
      </c>
      <c r="Q110" s="1">
        <v>-35.64</v>
      </c>
      <c r="R110" s="1" t="s">
        <v>83</v>
      </c>
      <c r="T110" s="50">
        <f>IF(ISNUMBER(VLOOKUP(U110,Blotter!B:C,2,0)),VLOOKUP(U110,Blotter!B:C,2,0),"")</f>
        <v>13</v>
      </c>
      <c r="U110" s="49" t="str">
        <f t="shared" si="120"/>
        <v>C OZC  DEC 23   6000</v>
      </c>
      <c r="V110" s="49">
        <f t="shared" si="121"/>
        <v>12</v>
      </c>
      <c r="W110" s="49">
        <f t="shared" si="122"/>
        <v>8.5</v>
      </c>
      <c r="X110" s="49">
        <f t="shared" si="123"/>
        <v>-35.64</v>
      </c>
    </row>
    <row r="111" spans="1:24" x14ac:dyDescent="0.4">
      <c r="A111" s="1" t="s">
        <v>138</v>
      </c>
      <c r="B111" s="1" t="s">
        <v>83</v>
      </c>
      <c r="C111" s="1" t="s">
        <v>82</v>
      </c>
      <c r="D111" s="1" t="s">
        <v>233</v>
      </c>
      <c r="E111" s="1" t="s">
        <v>234</v>
      </c>
      <c r="F111" s="1" t="s">
        <v>126</v>
      </c>
      <c r="G111" s="1" t="s">
        <v>25</v>
      </c>
      <c r="H111" s="1">
        <v>25000</v>
      </c>
      <c r="J111" s="51">
        <v>45196</v>
      </c>
      <c r="L111" s="51">
        <v>45112</v>
      </c>
      <c r="M111" s="1" t="s">
        <v>135</v>
      </c>
      <c r="N111" s="1">
        <v>1</v>
      </c>
      <c r="O111" s="1">
        <v>3.74</v>
      </c>
      <c r="P111" s="1">
        <v>93500</v>
      </c>
      <c r="Q111" s="1">
        <v>-2.42</v>
      </c>
      <c r="R111" s="1" t="s">
        <v>83</v>
      </c>
      <c r="T111" s="50">
        <f>IF(ISNUMBER(VLOOKUP(U111,Blotter!B:C,2,0)),VLOOKUP(U111,Blotter!B:C,2,0),"")</f>
        <v>8</v>
      </c>
      <c r="U111" s="49" t="str">
        <f t="shared" ref="U111:U113" si="124">D111</f>
        <v>HGU3</v>
      </c>
      <c r="V111" s="49">
        <f t="shared" ref="V111:V113" si="125">N111</f>
        <v>1</v>
      </c>
      <c r="W111" s="49">
        <f t="shared" ref="W111:W113" si="126">O111</f>
        <v>3.74</v>
      </c>
      <c r="X111" s="49">
        <f t="shared" ref="X111:X113" si="127">Q111</f>
        <v>-2.42</v>
      </c>
    </row>
    <row r="112" spans="1:24" x14ac:dyDescent="0.4">
      <c r="A112" s="1" t="s">
        <v>138</v>
      </c>
      <c r="B112" s="1" t="s">
        <v>83</v>
      </c>
      <c r="C112" s="1" t="s">
        <v>82</v>
      </c>
      <c r="D112" s="1" t="s">
        <v>233</v>
      </c>
      <c r="E112" s="1" t="s">
        <v>234</v>
      </c>
      <c r="F112" s="1" t="s">
        <v>126</v>
      </c>
      <c r="G112" s="1" t="s">
        <v>25</v>
      </c>
      <c r="H112" s="1">
        <v>25000</v>
      </c>
      <c r="J112" s="51">
        <v>45196</v>
      </c>
      <c r="L112" s="51">
        <v>45112</v>
      </c>
      <c r="M112" s="1" t="s">
        <v>135</v>
      </c>
      <c r="N112" s="1">
        <v>1</v>
      </c>
      <c r="O112" s="1">
        <v>3.74</v>
      </c>
      <c r="P112" s="1">
        <v>93500</v>
      </c>
      <c r="Q112" s="1">
        <v>-2.42</v>
      </c>
      <c r="R112" s="1" t="s">
        <v>83</v>
      </c>
      <c r="T112" s="50">
        <f>IF(ISNUMBER(VLOOKUP(U112,Blotter!B:C,2,0)),VLOOKUP(U112,Blotter!B:C,2,0),"")</f>
        <v>8</v>
      </c>
      <c r="U112" s="49" t="str">
        <f t="shared" si="124"/>
        <v>HGU3</v>
      </c>
      <c r="V112" s="49">
        <f t="shared" si="125"/>
        <v>1</v>
      </c>
      <c r="W112" s="49">
        <f t="shared" si="126"/>
        <v>3.74</v>
      </c>
      <c r="X112" s="49">
        <f t="shared" si="127"/>
        <v>-2.42</v>
      </c>
    </row>
    <row r="113" spans="1:24" x14ac:dyDescent="0.4">
      <c r="A113" s="1" t="s">
        <v>138</v>
      </c>
      <c r="B113" s="1" t="s">
        <v>83</v>
      </c>
      <c r="C113" s="1" t="s">
        <v>82</v>
      </c>
      <c r="D113" s="1" t="s">
        <v>233</v>
      </c>
      <c r="E113" s="1" t="s">
        <v>234</v>
      </c>
      <c r="F113" s="1" t="s">
        <v>126</v>
      </c>
      <c r="G113" s="1" t="s">
        <v>25</v>
      </c>
      <c r="H113" s="1">
        <v>25000</v>
      </c>
      <c r="J113" s="51">
        <v>45196</v>
      </c>
      <c r="L113" s="51">
        <v>45112</v>
      </c>
      <c r="M113" s="1" t="s">
        <v>135</v>
      </c>
      <c r="N113" s="1">
        <v>2</v>
      </c>
      <c r="O113" s="1">
        <v>3.7389999999999999</v>
      </c>
      <c r="P113" s="1">
        <v>186950</v>
      </c>
      <c r="Q113" s="1">
        <v>-4.84</v>
      </c>
      <c r="R113" s="1" t="s">
        <v>83</v>
      </c>
      <c r="T113" s="50">
        <f>IF(ISNUMBER(VLOOKUP(U113,Blotter!B:C,2,0)),VLOOKUP(U113,Blotter!B:C,2,0),"")</f>
        <v>8</v>
      </c>
      <c r="U113" s="49" t="str">
        <f t="shared" si="124"/>
        <v>HGU3</v>
      </c>
      <c r="V113" s="49">
        <f t="shared" si="125"/>
        <v>2</v>
      </c>
      <c r="W113" s="49">
        <f t="shared" si="126"/>
        <v>3.7389999999999999</v>
      </c>
      <c r="X113" s="49">
        <f t="shared" si="127"/>
        <v>-4.84</v>
      </c>
    </row>
    <row r="114" spans="1:24" x14ac:dyDescent="0.4">
      <c r="A114" s="1" t="s">
        <v>138</v>
      </c>
      <c r="B114" s="1" t="s">
        <v>83</v>
      </c>
      <c r="C114" s="1" t="s">
        <v>82</v>
      </c>
      <c r="D114" s="1" t="s">
        <v>233</v>
      </c>
      <c r="E114" s="1" t="s">
        <v>234</v>
      </c>
      <c r="F114" s="1" t="s">
        <v>126</v>
      </c>
      <c r="G114" s="1" t="s">
        <v>25</v>
      </c>
      <c r="H114" s="1">
        <v>25000</v>
      </c>
      <c r="J114" s="51">
        <v>45196</v>
      </c>
      <c r="L114" s="51">
        <v>45112</v>
      </c>
      <c r="M114" s="1" t="s">
        <v>139</v>
      </c>
      <c r="N114" s="1">
        <v>-2</v>
      </c>
      <c r="O114" s="1">
        <v>3.76</v>
      </c>
      <c r="P114" s="1">
        <v>-188000</v>
      </c>
      <c r="Q114" s="1">
        <v>-4.84</v>
      </c>
      <c r="R114" s="1" t="s">
        <v>83</v>
      </c>
      <c r="T114" s="50">
        <f>IF(ISNUMBER(VLOOKUP(U114,Blotter!B:C,2,0)),VLOOKUP(U114,Blotter!B:C,2,0),"")</f>
        <v>8</v>
      </c>
      <c r="U114" s="49" t="str">
        <f t="shared" ref="U114:U124" si="128">D114</f>
        <v>HGU3</v>
      </c>
      <c r="V114" s="49">
        <f t="shared" ref="V114:V124" si="129">N114</f>
        <v>-2</v>
      </c>
      <c r="W114" s="49">
        <f t="shared" ref="W114:W124" si="130">O114</f>
        <v>3.76</v>
      </c>
      <c r="X114" s="49">
        <f t="shared" ref="X114:X124" si="131">Q114</f>
        <v>-4.84</v>
      </c>
    </row>
    <row r="115" spans="1:24" x14ac:dyDescent="0.4">
      <c r="A115" s="1" t="s">
        <v>138</v>
      </c>
      <c r="B115" s="1" t="s">
        <v>83</v>
      </c>
      <c r="C115" s="1" t="s">
        <v>82</v>
      </c>
      <c r="D115" s="1" t="s">
        <v>233</v>
      </c>
      <c r="E115" s="1" t="s">
        <v>234</v>
      </c>
      <c r="F115" s="1" t="s">
        <v>126</v>
      </c>
      <c r="G115" s="1" t="s">
        <v>25</v>
      </c>
      <c r="H115" s="1">
        <v>25000</v>
      </c>
      <c r="J115" s="51">
        <v>45196</v>
      </c>
      <c r="L115" s="51">
        <v>45112</v>
      </c>
      <c r="M115" s="1" t="s">
        <v>139</v>
      </c>
      <c r="N115" s="1">
        <v>-2</v>
      </c>
      <c r="O115" s="1">
        <v>3.78</v>
      </c>
      <c r="P115" s="1">
        <v>-189000</v>
      </c>
      <c r="Q115" s="1">
        <v>-4.84</v>
      </c>
      <c r="R115" s="1" t="s">
        <v>83</v>
      </c>
      <c r="T115" s="50">
        <f>IF(ISNUMBER(VLOOKUP(U115,Blotter!B:C,2,0)),VLOOKUP(U115,Blotter!B:C,2,0),"")</f>
        <v>8</v>
      </c>
      <c r="U115" s="49" t="str">
        <f t="shared" si="128"/>
        <v>HGU3</v>
      </c>
      <c r="V115" s="49">
        <f t="shared" si="129"/>
        <v>-2</v>
      </c>
      <c r="W115" s="49">
        <f t="shared" si="130"/>
        <v>3.78</v>
      </c>
      <c r="X115" s="49">
        <f t="shared" si="131"/>
        <v>-4.84</v>
      </c>
    </row>
    <row r="116" spans="1:24" x14ac:dyDescent="0.4">
      <c r="A116" s="1" t="s">
        <v>138</v>
      </c>
      <c r="B116" s="1" t="s">
        <v>83</v>
      </c>
      <c r="C116" s="1" t="s">
        <v>82</v>
      </c>
      <c r="D116" s="1" t="s">
        <v>228</v>
      </c>
      <c r="E116" s="1" t="s">
        <v>232</v>
      </c>
      <c r="F116" s="1" t="s">
        <v>93</v>
      </c>
      <c r="G116" s="1" t="s">
        <v>9</v>
      </c>
      <c r="H116" s="1">
        <v>42000</v>
      </c>
      <c r="J116" s="51">
        <v>45138</v>
      </c>
      <c r="L116" s="51">
        <v>45112</v>
      </c>
      <c r="M116" s="1" t="s">
        <v>135</v>
      </c>
      <c r="N116" s="1">
        <v>2</v>
      </c>
      <c r="O116" s="1">
        <v>2.528</v>
      </c>
      <c r="P116" s="1">
        <v>212352</v>
      </c>
      <c r="Q116" s="1">
        <v>-4.74</v>
      </c>
      <c r="R116" s="1" t="s">
        <v>83</v>
      </c>
      <c r="T116" s="50">
        <f>IF(ISNUMBER(VLOOKUP(U116,Blotter!B:C,2,0)),VLOOKUP(U116,Blotter!B:C,2,0),"")</f>
        <v>11</v>
      </c>
      <c r="U116" s="49" t="str">
        <f t="shared" si="128"/>
        <v>RBQ3</v>
      </c>
      <c r="V116" s="49">
        <f t="shared" si="129"/>
        <v>2</v>
      </c>
      <c r="W116" s="49">
        <f t="shared" si="130"/>
        <v>2.528</v>
      </c>
      <c r="X116" s="49">
        <f t="shared" si="131"/>
        <v>-4.74</v>
      </c>
    </row>
    <row r="117" spans="1:24" x14ac:dyDescent="0.4">
      <c r="A117" s="1" t="s">
        <v>138</v>
      </c>
      <c r="B117" s="1" t="s">
        <v>83</v>
      </c>
      <c r="C117" s="1" t="s">
        <v>82</v>
      </c>
      <c r="D117" s="1" t="s">
        <v>228</v>
      </c>
      <c r="E117" s="1" t="s">
        <v>232</v>
      </c>
      <c r="F117" s="1" t="s">
        <v>93</v>
      </c>
      <c r="G117" s="1" t="s">
        <v>9</v>
      </c>
      <c r="H117" s="1">
        <v>42000</v>
      </c>
      <c r="J117" s="51">
        <v>45138</v>
      </c>
      <c r="L117" s="51">
        <v>45112</v>
      </c>
      <c r="M117" s="1" t="s">
        <v>135</v>
      </c>
      <c r="N117" s="1">
        <v>1</v>
      </c>
      <c r="O117" s="1">
        <v>2.5249999999999999</v>
      </c>
      <c r="P117" s="1">
        <v>106050</v>
      </c>
      <c r="Q117" s="1">
        <v>-2.37</v>
      </c>
      <c r="R117" s="1" t="s">
        <v>83</v>
      </c>
      <c r="T117" s="50">
        <f>IF(ISNUMBER(VLOOKUP(U117,Blotter!B:C,2,0)),VLOOKUP(U117,Blotter!B:C,2,0),"")</f>
        <v>11</v>
      </c>
      <c r="U117" s="49" t="str">
        <f t="shared" si="128"/>
        <v>RBQ3</v>
      </c>
      <c r="V117" s="49">
        <f t="shared" si="129"/>
        <v>1</v>
      </c>
      <c r="W117" s="49">
        <f t="shared" si="130"/>
        <v>2.5249999999999999</v>
      </c>
      <c r="X117" s="49">
        <f t="shared" si="131"/>
        <v>-2.37</v>
      </c>
    </row>
    <row r="118" spans="1:24" x14ac:dyDescent="0.4">
      <c r="A118" s="1" t="s">
        <v>138</v>
      </c>
      <c r="B118" s="1" t="s">
        <v>83</v>
      </c>
      <c r="C118" s="1" t="s">
        <v>82</v>
      </c>
      <c r="D118" s="1" t="s">
        <v>228</v>
      </c>
      <c r="E118" s="1" t="s">
        <v>232</v>
      </c>
      <c r="F118" s="1" t="s">
        <v>93</v>
      </c>
      <c r="G118" s="1" t="s">
        <v>9</v>
      </c>
      <c r="H118" s="1">
        <v>42000</v>
      </c>
      <c r="J118" s="51">
        <v>45138</v>
      </c>
      <c r="L118" s="51">
        <v>45112</v>
      </c>
      <c r="M118" s="1" t="s">
        <v>135</v>
      </c>
      <c r="N118" s="1">
        <v>2</v>
      </c>
      <c r="O118" s="1">
        <v>2.5249999999999999</v>
      </c>
      <c r="P118" s="1">
        <v>212100</v>
      </c>
      <c r="Q118" s="1">
        <v>-4.74</v>
      </c>
      <c r="R118" s="1" t="s">
        <v>83</v>
      </c>
      <c r="T118" s="50">
        <f>IF(ISNUMBER(VLOOKUP(U118,Blotter!B:C,2,0)),VLOOKUP(U118,Blotter!B:C,2,0),"")</f>
        <v>11</v>
      </c>
      <c r="U118" s="49" t="str">
        <f t="shared" si="128"/>
        <v>RBQ3</v>
      </c>
      <c r="V118" s="49">
        <f t="shared" si="129"/>
        <v>2</v>
      </c>
      <c r="W118" s="49">
        <f t="shared" si="130"/>
        <v>2.5249999999999999</v>
      </c>
      <c r="X118" s="49">
        <f t="shared" si="131"/>
        <v>-4.74</v>
      </c>
    </row>
    <row r="119" spans="1:24" x14ac:dyDescent="0.4">
      <c r="A119" s="1" t="s">
        <v>138</v>
      </c>
      <c r="B119" s="1" t="s">
        <v>83</v>
      </c>
      <c r="C119" s="1" t="s">
        <v>82</v>
      </c>
      <c r="D119" s="1" t="s">
        <v>228</v>
      </c>
      <c r="E119" s="1" t="s">
        <v>232</v>
      </c>
      <c r="F119" s="1" t="s">
        <v>93</v>
      </c>
      <c r="G119" s="1" t="s">
        <v>9</v>
      </c>
      <c r="H119" s="1">
        <v>42000</v>
      </c>
      <c r="J119" s="51">
        <v>45138</v>
      </c>
      <c r="L119" s="51">
        <v>45112</v>
      </c>
      <c r="M119" s="1" t="s">
        <v>135</v>
      </c>
      <c r="N119" s="1">
        <v>1</v>
      </c>
      <c r="O119" s="1">
        <v>2.5249999999999999</v>
      </c>
      <c r="P119" s="1">
        <v>106050</v>
      </c>
      <c r="Q119" s="1">
        <v>-2.37</v>
      </c>
      <c r="R119" s="1" t="s">
        <v>83</v>
      </c>
      <c r="T119" s="50">
        <f>IF(ISNUMBER(VLOOKUP(U119,Blotter!B:C,2,0)),VLOOKUP(U119,Blotter!B:C,2,0),"")</f>
        <v>11</v>
      </c>
      <c r="U119" s="49" t="str">
        <f t="shared" si="128"/>
        <v>RBQ3</v>
      </c>
      <c r="V119" s="49">
        <f t="shared" si="129"/>
        <v>1</v>
      </c>
      <c r="W119" s="49">
        <f t="shared" si="130"/>
        <v>2.5249999999999999</v>
      </c>
      <c r="X119" s="49">
        <f t="shared" si="131"/>
        <v>-2.37</v>
      </c>
    </row>
    <row r="120" spans="1:24" x14ac:dyDescent="0.4">
      <c r="A120" s="1" t="s">
        <v>138</v>
      </c>
      <c r="B120" s="1" t="s">
        <v>83</v>
      </c>
      <c r="C120" s="1" t="s">
        <v>82</v>
      </c>
      <c r="D120" s="1" t="s">
        <v>228</v>
      </c>
      <c r="E120" s="1" t="s">
        <v>232</v>
      </c>
      <c r="F120" s="1" t="s">
        <v>93</v>
      </c>
      <c r="G120" s="1" t="s">
        <v>9</v>
      </c>
      <c r="H120" s="1">
        <v>42000</v>
      </c>
      <c r="J120" s="51">
        <v>45138</v>
      </c>
      <c r="L120" s="51">
        <v>45112</v>
      </c>
      <c r="M120" s="1" t="s">
        <v>135</v>
      </c>
      <c r="N120" s="1">
        <v>1</v>
      </c>
      <c r="O120" s="1">
        <v>2.5099999999999998</v>
      </c>
      <c r="P120" s="1">
        <v>105420</v>
      </c>
      <c r="Q120" s="1">
        <v>-2.37</v>
      </c>
      <c r="R120" s="1" t="s">
        <v>83</v>
      </c>
      <c r="T120" s="50">
        <f>IF(ISNUMBER(VLOOKUP(U120,Blotter!B:C,2,0)),VLOOKUP(U120,Blotter!B:C,2,0),"")</f>
        <v>11</v>
      </c>
      <c r="U120" s="49" t="str">
        <f t="shared" si="128"/>
        <v>RBQ3</v>
      </c>
      <c r="V120" s="49">
        <f t="shared" si="129"/>
        <v>1</v>
      </c>
      <c r="W120" s="49">
        <f t="shared" si="130"/>
        <v>2.5099999999999998</v>
      </c>
      <c r="X120" s="49">
        <f t="shared" si="131"/>
        <v>-2.37</v>
      </c>
    </row>
    <row r="121" spans="1:24" x14ac:dyDescent="0.4">
      <c r="A121" s="1" t="s">
        <v>138</v>
      </c>
      <c r="B121" s="1" t="s">
        <v>83</v>
      </c>
      <c r="C121" s="1" t="s">
        <v>82</v>
      </c>
      <c r="D121" s="1" t="s">
        <v>228</v>
      </c>
      <c r="E121" s="1" t="s">
        <v>232</v>
      </c>
      <c r="F121" s="1" t="s">
        <v>93</v>
      </c>
      <c r="G121" s="1" t="s">
        <v>9</v>
      </c>
      <c r="H121" s="1">
        <v>42000</v>
      </c>
      <c r="J121" s="51">
        <v>45138</v>
      </c>
      <c r="L121" s="51">
        <v>45112</v>
      </c>
      <c r="M121" s="1" t="s">
        <v>139</v>
      </c>
      <c r="N121" s="1">
        <v>-1</v>
      </c>
      <c r="O121" s="1">
        <v>2.5</v>
      </c>
      <c r="P121" s="1">
        <v>-105000</v>
      </c>
      <c r="Q121" s="1">
        <v>-2.37</v>
      </c>
      <c r="R121" s="1" t="s">
        <v>83</v>
      </c>
      <c r="T121" s="50">
        <f>IF(ISNUMBER(VLOOKUP(U121,Blotter!B:C,2,0)),VLOOKUP(U121,Blotter!B:C,2,0),"")</f>
        <v>11</v>
      </c>
      <c r="U121" s="49" t="str">
        <f t="shared" si="128"/>
        <v>RBQ3</v>
      </c>
      <c r="V121" s="49">
        <f t="shared" si="129"/>
        <v>-1</v>
      </c>
      <c r="W121" s="49">
        <f t="shared" si="130"/>
        <v>2.5</v>
      </c>
      <c r="X121" s="49">
        <f t="shared" si="131"/>
        <v>-2.37</v>
      </c>
    </row>
    <row r="122" spans="1:24" x14ac:dyDescent="0.4">
      <c r="A122" s="1" t="s">
        <v>138</v>
      </c>
      <c r="B122" s="1" t="s">
        <v>83</v>
      </c>
      <c r="C122" s="1" t="s">
        <v>82</v>
      </c>
      <c r="D122" s="1" t="s">
        <v>228</v>
      </c>
      <c r="E122" s="1" t="s">
        <v>232</v>
      </c>
      <c r="F122" s="1" t="s">
        <v>93</v>
      </c>
      <c r="G122" s="1" t="s">
        <v>9</v>
      </c>
      <c r="H122" s="1">
        <v>42000</v>
      </c>
      <c r="J122" s="51">
        <v>45138</v>
      </c>
      <c r="L122" s="51">
        <v>45112</v>
      </c>
      <c r="M122" s="1" t="s">
        <v>139</v>
      </c>
      <c r="N122" s="1">
        <v>-1</v>
      </c>
      <c r="O122" s="1">
        <v>2.5</v>
      </c>
      <c r="P122" s="1">
        <v>-105000</v>
      </c>
      <c r="Q122" s="1">
        <v>-2.37</v>
      </c>
      <c r="R122" s="1" t="s">
        <v>83</v>
      </c>
      <c r="T122" s="50">
        <f>IF(ISNUMBER(VLOOKUP(U122,Blotter!B:C,2,0)),VLOOKUP(U122,Blotter!B:C,2,0),"")</f>
        <v>11</v>
      </c>
      <c r="U122" s="49" t="str">
        <f t="shared" si="128"/>
        <v>RBQ3</v>
      </c>
      <c r="V122" s="49">
        <f t="shared" si="129"/>
        <v>-1</v>
      </c>
      <c r="W122" s="49">
        <f t="shared" si="130"/>
        <v>2.5</v>
      </c>
      <c r="X122" s="49">
        <f t="shared" si="131"/>
        <v>-2.37</v>
      </c>
    </row>
    <row r="123" spans="1:24" x14ac:dyDescent="0.4">
      <c r="A123" s="1" t="s">
        <v>138</v>
      </c>
      <c r="B123" s="1" t="s">
        <v>83</v>
      </c>
      <c r="C123" s="1" t="s">
        <v>82</v>
      </c>
      <c r="D123" s="1" t="s">
        <v>228</v>
      </c>
      <c r="E123" s="1" t="s">
        <v>232</v>
      </c>
      <c r="F123" s="1" t="s">
        <v>93</v>
      </c>
      <c r="G123" s="1" t="s">
        <v>9</v>
      </c>
      <c r="H123" s="1">
        <v>42000</v>
      </c>
      <c r="J123" s="51">
        <v>45138</v>
      </c>
      <c r="L123" s="51">
        <v>45112</v>
      </c>
      <c r="M123" s="1" t="s">
        <v>139</v>
      </c>
      <c r="N123" s="1">
        <v>-2</v>
      </c>
      <c r="O123" s="1">
        <v>2.5409999999999999</v>
      </c>
      <c r="P123" s="1">
        <v>-213444</v>
      </c>
      <c r="Q123" s="1">
        <v>-4.74</v>
      </c>
      <c r="R123" s="1" t="s">
        <v>83</v>
      </c>
      <c r="T123" s="50">
        <f>IF(ISNUMBER(VLOOKUP(U123,Blotter!B:C,2,0)),VLOOKUP(U123,Blotter!B:C,2,0),"")</f>
        <v>11</v>
      </c>
      <c r="U123" s="49" t="str">
        <f t="shared" si="128"/>
        <v>RBQ3</v>
      </c>
      <c r="V123" s="49">
        <f t="shared" si="129"/>
        <v>-2</v>
      </c>
      <c r="W123" s="49">
        <f t="shared" si="130"/>
        <v>2.5409999999999999</v>
      </c>
      <c r="X123" s="49">
        <f t="shared" si="131"/>
        <v>-4.74</v>
      </c>
    </row>
    <row r="124" spans="1:24" x14ac:dyDescent="0.4">
      <c r="A124" s="1" t="s">
        <v>138</v>
      </c>
      <c r="B124" s="1" t="s">
        <v>83</v>
      </c>
      <c r="C124" s="1" t="s">
        <v>82</v>
      </c>
      <c r="D124" s="1" t="s">
        <v>228</v>
      </c>
      <c r="E124" s="1" t="s">
        <v>232</v>
      </c>
      <c r="F124" s="1" t="s">
        <v>93</v>
      </c>
      <c r="G124" s="1" t="s">
        <v>9</v>
      </c>
      <c r="H124" s="1">
        <v>42000</v>
      </c>
      <c r="J124" s="51">
        <v>45138</v>
      </c>
      <c r="L124" s="51">
        <v>45112</v>
      </c>
      <c r="M124" s="1" t="s">
        <v>139</v>
      </c>
      <c r="N124" s="1">
        <v>-2</v>
      </c>
      <c r="O124" s="1">
        <v>2.5470000000000002</v>
      </c>
      <c r="P124" s="1">
        <v>-213948</v>
      </c>
      <c r="Q124" s="1">
        <v>-4.74</v>
      </c>
      <c r="R124" s="1" t="s">
        <v>83</v>
      </c>
      <c r="T124" s="50">
        <f>IF(ISNUMBER(VLOOKUP(U124,Blotter!B:C,2,0)),VLOOKUP(U124,Blotter!B:C,2,0),"")</f>
        <v>11</v>
      </c>
      <c r="U124" s="49" t="str">
        <f t="shared" si="128"/>
        <v>RBQ3</v>
      </c>
      <c r="V124" s="49">
        <f t="shared" si="129"/>
        <v>-2</v>
      </c>
      <c r="W124" s="49">
        <f t="shared" si="130"/>
        <v>2.5470000000000002</v>
      </c>
      <c r="X124" s="49">
        <f t="shared" si="131"/>
        <v>-4.74</v>
      </c>
    </row>
    <row r="125" spans="1:24" x14ac:dyDescent="0.4">
      <c r="A125" s="1" t="s">
        <v>138</v>
      </c>
      <c r="B125" s="1" t="s">
        <v>83</v>
      </c>
      <c r="C125" s="1" t="s">
        <v>82</v>
      </c>
      <c r="D125" s="1" t="s">
        <v>228</v>
      </c>
      <c r="E125" s="1" t="s">
        <v>232</v>
      </c>
      <c r="F125" s="1" t="s">
        <v>93</v>
      </c>
      <c r="G125" s="1" t="s">
        <v>9</v>
      </c>
      <c r="H125" s="1">
        <v>42000</v>
      </c>
      <c r="J125" s="51">
        <v>45138</v>
      </c>
      <c r="L125" s="51">
        <v>45112</v>
      </c>
      <c r="M125" s="1" t="s">
        <v>139</v>
      </c>
      <c r="N125" s="1">
        <v>-1</v>
      </c>
      <c r="O125" s="1">
        <v>2.5375000000000001</v>
      </c>
      <c r="P125" s="1">
        <v>-106575</v>
      </c>
      <c r="Q125" s="1">
        <v>-2.37</v>
      </c>
      <c r="R125" s="1" t="s">
        <v>83</v>
      </c>
      <c r="T125" s="50">
        <f>IF(ISNUMBER(VLOOKUP(U125,Blotter!B:C,2,0)),VLOOKUP(U125,Blotter!B:C,2,0),"")</f>
        <v>11</v>
      </c>
      <c r="U125" s="49" t="str">
        <f t="shared" ref="U125:U126" si="132">D125</f>
        <v>RBQ3</v>
      </c>
      <c r="V125" s="49">
        <f t="shared" ref="V125:V126" si="133">N125</f>
        <v>-1</v>
      </c>
      <c r="W125" s="49">
        <f t="shared" ref="W125:W126" si="134">O125</f>
        <v>2.5375000000000001</v>
      </c>
      <c r="X125" s="49">
        <f t="shared" ref="X125:X126" si="135">Q125</f>
        <v>-2.37</v>
      </c>
    </row>
    <row r="126" spans="1:24" x14ac:dyDescent="0.4">
      <c r="A126" s="1" t="s">
        <v>138</v>
      </c>
      <c r="B126" s="1" t="s">
        <v>83</v>
      </c>
      <c r="C126" s="1" t="s">
        <v>82</v>
      </c>
      <c r="D126" s="1" t="s">
        <v>235</v>
      </c>
      <c r="E126" s="1" t="s">
        <v>236</v>
      </c>
      <c r="F126" s="1" t="s">
        <v>126</v>
      </c>
      <c r="G126" s="1" t="s">
        <v>27</v>
      </c>
      <c r="H126" s="1">
        <v>5000</v>
      </c>
      <c r="J126" s="51">
        <v>45196</v>
      </c>
      <c r="L126" s="51">
        <v>45112</v>
      </c>
      <c r="M126" s="1" t="s">
        <v>135</v>
      </c>
      <c r="N126" s="1">
        <v>5</v>
      </c>
      <c r="O126" s="1">
        <v>23.16</v>
      </c>
      <c r="P126" s="1">
        <v>579000</v>
      </c>
      <c r="Q126" s="1">
        <v>-12.1</v>
      </c>
      <c r="R126" s="1" t="s">
        <v>83</v>
      </c>
      <c r="T126" s="50">
        <f>IF(ISNUMBER(VLOOKUP(U126,Blotter!B:C,2,0)),VLOOKUP(U126,Blotter!B:C,2,0),"")</f>
        <v>6</v>
      </c>
      <c r="U126" s="49" t="str">
        <f t="shared" si="132"/>
        <v>SIU3</v>
      </c>
      <c r="V126" s="49">
        <f t="shared" si="133"/>
        <v>5</v>
      </c>
      <c r="W126" s="49">
        <f t="shared" si="134"/>
        <v>23.16</v>
      </c>
      <c r="X126" s="49">
        <f t="shared" si="135"/>
        <v>-12.1</v>
      </c>
    </row>
    <row r="127" spans="1:24" x14ac:dyDescent="0.4">
      <c r="A127" s="1" t="s">
        <v>138</v>
      </c>
      <c r="B127" s="1" t="s">
        <v>83</v>
      </c>
      <c r="C127" s="1" t="s">
        <v>82</v>
      </c>
      <c r="D127" s="1" t="s">
        <v>235</v>
      </c>
      <c r="E127" s="1" t="s">
        <v>236</v>
      </c>
      <c r="F127" s="1" t="s">
        <v>126</v>
      </c>
      <c r="G127" s="1" t="s">
        <v>27</v>
      </c>
      <c r="H127" s="1">
        <v>5000</v>
      </c>
      <c r="J127" s="51">
        <v>45196</v>
      </c>
      <c r="L127" s="51">
        <v>45112</v>
      </c>
      <c r="M127" s="1" t="s">
        <v>135</v>
      </c>
      <c r="N127" s="1">
        <v>1</v>
      </c>
      <c r="O127" s="1">
        <v>23.01</v>
      </c>
      <c r="P127" s="1">
        <v>115050</v>
      </c>
      <c r="Q127" s="1">
        <v>-2.42</v>
      </c>
      <c r="R127" s="1" t="s">
        <v>83</v>
      </c>
      <c r="T127" s="50">
        <f>IF(ISNUMBER(VLOOKUP(U127,Blotter!B:C,2,0)),VLOOKUP(U127,Blotter!B:C,2,0),"")</f>
        <v>6</v>
      </c>
      <c r="U127" s="49" t="str">
        <f t="shared" ref="U127:U128" si="136">D127</f>
        <v>SIU3</v>
      </c>
      <c r="V127" s="49">
        <f t="shared" ref="V127:V128" si="137">N127</f>
        <v>1</v>
      </c>
      <c r="W127" s="49">
        <f t="shared" ref="W127:W128" si="138">O127</f>
        <v>23.01</v>
      </c>
      <c r="X127" s="49">
        <f t="shared" ref="X127:X128" si="139">Q127</f>
        <v>-2.42</v>
      </c>
    </row>
    <row r="128" spans="1:24" x14ac:dyDescent="0.4">
      <c r="A128" s="1" t="s">
        <v>138</v>
      </c>
      <c r="B128" s="1" t="s">
        <v>83</v>
      </c>
      <c r="C128" s="1" t="s">
        <v>82</v>
      </c>
      <c r="D128" s="1" t="s">
        <v>235</v>
      </c>
      <c r="E128" s="1" t="s">
        <v>236</v>
      </c>
      <c r="F128" s="1" t="s">
        <v>126</v>
      </c>
      <c r="G128" s="1" t="s">
        <v>27</v>
      </c>
      <c r="H128" s="1">
        <v>5000</v>
      </c>
      <c r="J128" s="51">
        <v>45196</v>
      </c>
      <c r="L128" s="51">
        <v>45112</v>
      </c>
      <c r="M128" s="1" t="s">
        <v>135</v>
      </c>
      <c r="N128" s="1">
        <v>1</v>
      </c>
      <c r="O128" s="1">
        <v>23.01</v>
      </c>
      <c r="P128" s="1">
        <v>115050</v>
      </c>
      <c r="Q128" s="1">
        <v>-2.42</v>
      </c>
      <c r="R128" s="1" t="s">
        <v>83</v>
      </c>
      <c r="T128" s="50">
        <f>IF(ISNUMBER(VLOOKUP(U128,Blotter!B:C,2,0)),VLOOKUP(U128,Blotter!B:C,2,0),"")</f>
        <v>6</v>
      </c>
      <c r="U128" s="49" t="str">
        <f t="shared" si="136"/>
        <v>SIU3</v>
      </c>
      <c r="V128" s="49">
        <f t="shared" si="137"/>
        <v>1</v>
      </c>
      <c r="W128" s="49">
        <f t="shared" si="138"/>
        <v>23.01</v>
      </c>
      <c r="X128" s="49">
        <f t="shared" si="139"/>
        <v>-2.42</v>
      </c>
    </row>
    <row r="129" spans="1:24" x14ac:dyDescent="0.4">
      <c r="A129" s="1" t="s">
        <v>138</v>
      </c>
      <c r="B129" s="1" t="s">
        <v>83</v>
      </c>
      <c r="C129" s="1" t="s">
        <v>82</v>
      </c>
      <c r="D129" s="1" t="s">
        <v>235</v>
      </c>
      <c r="E129" s="1" t="s">
        <v>236</v>
      </c>
      <c r="F129" s="1" t="s">
        <v>126</v>
      </c>
      <c r="G129" s="1" t="s">
        <v>27</v>
      </c>
      <c r="H129" s="1">
        <v>5000</v>
      </c>
      <c r="J129" s="51">
        <v>45196</v>
      </c>
      <c r="L129" s="51">
        <v>45112</v>
      </c>
      <c r="M129" s="1" t="s">
        <v>135</v>
      </c>
      <c r="N129" s="1">
        <v>3</v>
      </c>
      <c r="O129" s="1">
        <v>23.01</v>
      </c>
      <c r="P129" s="1">
        <v>345150</v>
      </c>
      <c r="Q129" s="1">
        <v>-7.26</v>
      </c>
      <c r="R129" s="1" t="s">
        <v>83</v>
      </c>
      <c r="T129" s="50">
        <f>IF(ISNUMBER(VLOOKUP(U129,Blotter!B:C,2,0)),VLOOKUP(U129,Blotter!B:C,2,0),"")</f>
        <v>6</v>
      </c>
      <c r="U129" s="49" t="str">
        <f t="shared" ref="U129" si="140">D129</f>
        <v>SIU3</v>
      </c>
      <c r="V129" s="49">
        <f t="shared" ref="V129" si="141">N129</f>
        <v>3</v>
      </c>
      <c r="W129" s="49">
        <f t="shared" ref="W129" si="142">O129</f>
        <v>23.01</v>
      </c>
      <c r="X129" s="49">
        <f t="shared" ref="X129" si="143">Q129</f>
        <v>-7.26</v>
      </c>
    </row>
    <row r="130" spans="1:24" x14ac:dyDescent="0.4">
      <c r="A130" s="1" t="s">
        <v>138</v>
      </c>
      <c r="B130" s="1" t="s">
        <v>83</v>
      </c>
      <c r="C130" s="1" t="s">
        <v>82</v>
      </c>
      <c r="D130" s="1" t="s">
        <v>235</v>
      </c>
      <c r="E130" s="1" t="s">
        <v>236</v>
      </c>
      <c r="F130" s="1" t="s">
        <v>126</v>
      </c>
      <c r="G130" s="1" t="s">
        <v>27</v>
      </c>
      <c r="H130" s="1">
        <v>5000</v>
      </c>
      <c r="J130" s="51">
        <v>45196</v>
      </c>
      <c r="L130" s="51">
        <v>45112</v>
      </c>
      <c r="M130" s="1" t="s">
        <v>135</v>
      </c>
      <c r="N130" s="1">
        <v>5</v>
      </c>
      <c r="O130" s="1">
        <v>23.34</v>
      </c>
      <c r="P130" s="1">
        <v>583500</v>
      </c>
      <c r="Q130" s="1">
        <v>-12.1</v>
      </c>
      <c r="R130" s="1" t="s">
        <v>83</v>
      </c>
      <c r="T130" s="50">
        <f>IF(ISNUMBER(VLOOKUP(U130,Blotter!B:C,2,0)),VLOOKUP(U130,Blotter!B:C,2,0),"")</f>
        <v>6</v>
      </c>
      <c r="U130" s="49" t="str">
        <f t="shared" ref="U130:U131" si="144">D130</f>
        <v>SIU3</v>
      </c>
      <c r="V130" s="49">
        <f t="shared" ref="V130:V131" si="145">N130</f>
        <v>5</v>
      </c>
      <c r="W130" s="49">
        <f t="shared" ref="W130:W131" si="146">O130</f>
        <v>23.34</v>
      </c>
      <c r="X130" s="49">
        <f t="shared" ref="X130:X131" si="147">Q130</f>
        <v>-12.1</v>
      </c>
    </row>
    <row r="131" spans="1:24" x14ac:dyDescent="0.4">
      <c r="A131" s="1" t="s">
        <v>138</v>
      </c>
      <c r="B131" s="1" t="s">
        <v>83</v>
      </c>
      <c r="C131" s="1" t="s">
        <v>82</v>
      </c>
      <c r="D131" s="1" t="s">
        <v>235</v>
      </c>
      <c r="E131" s="1" t="s">
        <v>236</v>
      </c>
      <c r="F131" s="1" t="s">
        <v>126</v>
      </c>
      <c r="G131" s="1" t="s">
        <v>27</v>
      </c>
      <c r="H131" s="1">
        <v>5000</v>
      </c>
      <c r="J131" s="51">
        <v>45196</v>
      </c>
      <c r="L131" s="51">
        <v>45112</v>
      </c>
      <c r="M131" s="1" t="s">
        <v>135</v>
      </c>
      <c r="N131" s="1">
        <v>5</v>
      </c>
      <c r="O131" s="1">
        <v>23.22</v>
      </c>
      <c r="P131" s="1">
        <v>580500</v>
      </c>
      <c r="Q131" s="1">
        <v>-12.1</v>
      </c>
      <c r="R131" s="1" t="s">
        <v>83</v>
      </c>
      <c r="T131" s="50">
        <f>IF(ISNUMBER(VLOOKUP(U131,Blotter!B:C,2,0)),VLOOKUP(U131,Blotter!B:C,2,0),"")</f>
        <v>6</v>
      </c>
      <c r="U131" s="49" t="str">
        <f t="shared" si="144"/>
        <v>SIU3</v>
      </c>
      <c r="V131" s="49">
        <f t="shared" si="145"/>
        <v>5</v>
      </c>
      <c r="W131" s="49">
        <f t="shared" si="146"/>
        <v>23.22</v>
      </c>
      <c r="X131" s="49">
        <f t="shared" si="147"/>
        <v>-12.1</v>
      </c>
    </row>
    <row r="132" spans="1:24" x14ac:dyDescent="0.4">
      <c r="A132" s="1" t="s">
        <v>138</v>
      </c>
      <c r="B132" s="1" t="s">
        <v>83</v>
      </c>
      <c r="C132" s="1" t="s">
        <v>82</v>
      </c>
      <c r="D132" s="1" t="s">
        <v>235</v>
      </c>
      <c r="E132" s="1" t="s">
        <v>236</v>
      </c>
      <c r="F132" s="1" t="s">
        <v>126</v>
      </c>
      <c r="G132" s="1" t="s">
        <v>27</v>
      </c>
      <c r="H132" s="1">
        <v>5000</v>
      </c>
      <c r="J132" s="51">
        <v>45196</v>
      </c>
      <c r="L132" s="51">
        <v>45112</v>
      </c>
      <c r="M132" s="1" t="s">
        <v>135</v>
      </c>
      <c r="N132" s="1">
        <v>5</v>
      </c>
      <c r="O132" s="1">
        <v>23.385000000000002</v>
      </c>
      <c r="P132" s="1">
        <v>584625</v>
      </c>
      <c r="Q132" s="1">
        <v>-12.1</v>
      </c>
      <c r="R132" s="1" t="s">
        <v>83</v>
      </c>
      <c r="T132" s="50">
        <f>IF(ISNUMBER(VLOOKUP(U132,Blotter!B:C,2,0)),VLOOKUP(U132,Blotter!B:C,2,0),"")</f>
        <v>6</v>
      </c>
      <c r="U132" s="49" t="str">
        <f t="shared" ref="U132:U146" si="148">D132</f>
        <v>SIU3</v>
      </c>
      <c r="V132" s="49">
        <f t="shared" ref="V132:V146" si="149">N132</f>
        <v>5</v>
      </c>
      <c r="W132" s="49">
        <f t="shared" ref="W132:W146" si="150">O132</f>
        <v>23.385000000000002</v>
      </c>
      <c r="X132" s="49">
        <f t="shared" ref="X132:X146" si="151">Q132</f>
        <v>-12.1</v>
      </c>
    </row>
    <row r="133" spans="1:24" x14ac:dyDescent="0.4">
      <c r="A133" s="1" t="s">
        <v>138</v>
      </c>
      <c r="B133" s="1" t="s">
        <v>83</v>
      </c>
      <c r="C133" s="1" t="s">
        <v>82</v>
      </c>
      <c r="D133" s="1" t="s">
        <v>235</v>
      </c>
      <c r="E133" s="1" t="s">
        <v>236</v>
      </c>
      <c r="F133" s="1" t="s">
        <v>126</v>
      </c>
      <c r="G133" s="1" t="s">
        <v>27</v>
      </c>
      <c r="H133" s="1">
        <v>5000</v>
      </c>
      <c r="J133" s="51">
        <v>45196</v>
      </c>
      <c r="L133" s="51">
        <v>45112</v>
      </c>
      <c r="M133" s="1" t="s">
        <v>139</v>
      </c>
      <c r="N133" s="1">
        <v>-3</v>
      </c>
      <c r="O133" s="1">
        <v>23.23</v>
      </c>
      <c r="P133" s="1">
        <v>-348450</v>
      </c>
      <c r="Q133" s="1">
        <v>-7.26</v>
      </c>
      <c r="R133" s="1" t="s">
        <v>83</v>
      </c>
      <c r="T133" s="50">
        <f>IF(ISNUMBER(VLOOKUP(U133,Blotter!B:C,2,0)),VLOOKUP(U133,Blotter!B:C,2,0),"")</f>
        <v>6</v>
      </c>
      <c r="U133" s="49" t="str">
        <f t="shared" si="148"/>
        <v>SIU3</v>
      </c>
      <c r="V133" s="49">
        <f t="shared" si="149"/>
        <v>-3</v>
      </c>
      <c r="W133" s="49">
        <f t="shared" si="150"/>
        <v>23.23</v>
      </c>
      <c r="X133" s="49">
        <f t="shared" si="151"/>
        <v>-7.26</v>
      </c>
    </row>
    <row r="134" spans="1:24" x14ac:dyDescent="0.4">
      <c r="A134" s="1" t="s">
        <v>138</v>
      </c>
      <c r="B134" s="1" t="s">
        <v>83</v>
      </c>
      <c r="C134" s="1" t="s">
        <v>82</v>
      </c>
      <c r="D134" s="1" t="s">
        <v>235</v>
      </c>
      <c r="E134" s="1" t="s">
        <v>236</v>
      </c>
      <c r="F134" s="1" t="s">
        <v>126</v>
      </c>
      <c r="G134" s="1" t="s">
        <v>27</v>
      </c>
      <c r="H134" s="1">
        <v>5000</v>
      </c>
      <c r="J134" s="51">
        <v>45196</v>
      </c>
      <c r="L134" s="51">
        <v>45112</v>
      </c>
      <c r="M134" s="1" t="s">
        <v>139</v>
      </c>
      <c r="N134" s="1">
        <v>-1</v>
      </c>
      <c r="O134" s="1">
        <v>23.23</v>
      </c>
      <c r="P134" s="1">
        <v>-116150</v>
      </c>
      <c r="Q134" s="1">
        <v>-2.42</v>
      </c>
      <c r="R134" s="1" t="s">
        <v>83</v>
      </c>
      <c r="T134" s="50">
        <f>IF(ISNUMBER(VLOOKUP(U134,Blotter!B:C,2,0)),VLOOKUP(U134,Blotter!B:C,2,0),"")</f>
        <v>6</v>
      </c>
      <c r="U134" s="49" t="str">
        <f t="shared" si="148"/>
        <v>SIU3</v>
      </c>
      <c r="V134" s="49">
        <f t="shared" si="149"/>
        <v>-1</v>
      </c>
      <c r="W134" s="49">
        <f t="shared" si="150"/>
        <v>23.23</v>
      </c>
      <c r="X134" s="49">
        <f t="shared" si="151"/>
        <v>-2.42</v>
      </c>
    </row>
    <row r="135" spans="1:24" x14ac:dyDescent="0.4">
      <c r="A135" s="1" t="s">
        <v>138</v>
      </c>
      <c r="B135" s="1" t="s">
        <v>83</v>
      </c>
      <c r="C135" s="1" t="s">
        <v>82</v>
      </c>
      <c r="D135" s="1" t="s">
        <v>235</v>
      </c>
      <c r="E135" s="1" t="s">
        <v>236</v>
      </c>
      <c r="F135" s="1" t="s">
        <v>126</v>
      </c>
      <c r="G135" s="1" t="s">
        <v>27</v>
      </c>
      <c r="H135" s="1">
        <v>5000</v>
      </c>
      <c r="J135" s="51">
        <v>45196</v>
      </c>
      <c r="L135" s="51">
        <v>45112</v>
      </c>
      <c r="M135" s="1" t="s">
        <v>139</v>
      </c>
      <c r="N135" s="1">
        <v>-1</v>
      </c>
      <c r="O135" s="1">
        <v>23.23</v>
      </c>
      <c r="P135" s="1">
        <v>-116150</v>
      </c>
      <c r="Q135" s="1">
        <v>-2.42</v>
      </c>
      <c r="R135" s="1" t="s">
        <v>83</v>
      </c>
      <c r="T135" s="50">
        <f>IF(ISNUMBER(VLOOKUP(U135,Blotter!B:C,2,0)),VLOOKUP(U135,Blotter!B:C,2,0),"")</f>
        <v>6</v>
      </c>
      <c r="U135" s="49" t="str">
        <f t="shared" si="148"/>
        <v>SIU3</v>
      </c>
      <c r="V135" s="49">
        <f t="shared" si="149"/>
        <v>-1</v>
      </c>
      <c r="W135" s="49">
        <f t="shared" si="150"/>
        <v>23.23</v>
      </c>
      <c r="X135" s="49">
        <f t="shared" si="151"/>
        <v>-2.42</v>
      </c>
    </row>
    <row r="136" spans="1:24" x14ac:dyDescent="0.4">
      <c r="A136" s="1" t="s">
        <v>138</v>
      </c>
      <c r="B136" s="1" t="s">
        <v>83</v>
      </c>
      <c r="C136" s="1" t="s">
        <v>82</v>
      </c>
      <c r="D136" s="1" t="s">
        <v>235</v>
      </c>
      <c r="E136" s="1" t="s">
        <v>236</v>
      </c>
      <c r="F136" s="1" t="s">
        <v>126</v>
      </c>
      <c r="G136" s="1" t="s">
        <v>27</v>
      </c>
      <c r="H136" s="1">
        <v>5000</v>
      </c>
      <c r="J136" s="51">
        <v>45196</v>
      </c>
      <c r="L136" s="51">
        <v>45112</v>
      </c>
      <c r="M136" s="1" t="s">
        <v>139</v>
      </c>
      <c r="N136" s="1">
        <v>-4</v>
      </c>
      <c r="O136" s="1">
        <v>23.125</v>
      </c>
      <c r="P136" s="1">
        <v>-462500</v>
      </c>
      <c r="Q136" s="1">
        <v>-9.68</v>
      </c>
      <c r="R136" s="1" t="s">
        <v>83</v>
      </c>
      <c r="T136" s="50">
        <f>IF(ISNUMBER(VLOOKUP(U136,Blotter!B:C,2,0)),VLOOKUP(U136,Blotter!B:C,2,0),"")</f>
        <v>6</v>
      </c>
      <c r="U136" s="49" t="str">
        <f t="shared" si="148"/>
        <v>SIU3</v>
      </c>
      <c r="V136" s="49">
        <f t="shared" si="149"/>
        <v>-4</v>
      </c>
      <c r="W136" s="49">
        <f t="shared" si="150"/>
        <v>23.125</v>
      </c>
      <c r="X136" s="49">
        <f t="shared" si="151"/>
        <v>-9.68</v>
      </c>
    </row>
    <row r="137" spans="1:24" x14ac:dyDescent="0.4">
      <c r="A137" s="1" t="s">
        <v>138</v>
      </c>
      <c r="B137" s="1" t="s">
        <v>83</v>
      </c>
      <c r="C137" s="1" t="s">
        <v>82</v>
      </c>
      <c r="D137" s="1" t="s">
        <v>235</v>
      </c>
      <c r="E137" s="1" t="s">
        <v>236</v>
      </c>
      <c r="F137" s="1" t="s">
        <v>126</v>
      </c>
      <c r="G137" s="1" t="s">
        <v>27</v>
      </c>
      <c r="H137" s="1">
        <v>5000</v>
      </c>
      <c r="J137" s="51">
        <v>45196</v>
      </c>
      <c r="L137" s="51">
        <v>45112</v>
      </c>
      <c r="M137" s="1" t="s">
        <v>139</v>
      </c>
      <c r="N137" s="1">
        <v>-1</v>
      </c>
      <c r="O137" s="1">
        <v>23.125</v>
      </c>
      <c r="P137" s="1">
        <v>-115625</v>
      </c>
      <c r="Q137" s="1">
        <v>-2.42</v>
      </c>
      <c r="R137" s="1" t="s">
        <v>83</v>
      </c>
      <c r="T137" s="50">
        <f>IF(ISNUMBER(VLOOKUP(U137,Blotter!B:C,2,0)),VLOOKUP(U137,Blotter!B:C,2,0),"")</f>
        <v>6</v>
      </c>
      <c r="U137" s="49" t="str">
        <f t="shared" si="148"/>
        <v>SIU3</v>
      </c>
      <c r="V137" s="49">
        <f t="shared" si="149"/>
        <v>-1</v>
      </c>
      <c r="W137" s="49">
        <f t="shared" si="150"/>
        <v>23.125</v>
      </c>
      <c r="X137" s="49">
        <f t="shared" si="151"/>
        <v>-2.42</v>
      </c>
    </row>
    <row r="138" spans="1:24" x14ac:dyDescent="0.4">
      <c r="A138" s="1" t="s">
        <v>138</v>
      </c>
      <c r="B138" s="1" t="s">
        <v>83</v>
      </c>
      <c r="C138" s="1" t="s">
        <v>82</v>
      </c>
      <c r="D138" s="1" t="s">
        <v>235</v>
      </c>
      <c r="E138" s="1" t="s">
        <v>236</v>
      </c>
      <c r="F138" s="1" t="s">
        <v>126</v>
      </c>
      <c r="G138" s="1" t="s">
        <v>27</v>
      </c>
      <c r="H138" s="1">
        <v>5000</v>
      </c>
      <c r="J138" s="51">
        <v>45196</v>
      </c>
      <c r="L138" s="51">
        <v>45112</v>
      </c>
      <c r="M138" s="1" t="s">
        <v>139</v>
      </c>
      <c r="N138" s="1">
        <v>-5</v>
      </c>
      <c r="O138" s="1">
        <v>23.516999999999999</v>
      </c>
      <c r="P138" s="1">
        <v>-587925</v>
      </c>
      <c r="Q138" s="1">
        <v>-12.1</v>
      </c>
      <c r="R138" s="1" t="s">
        <v>83</v>
      </c>
      <c r="T138" s="50">
        <f>IF(ISNUMBER(VLOOKUP(U138,Blotter!B:C,2,0)),VLOOKUP(U138,Blotter!B:C,2,0),"")</f>
        <v>6</v>
      </c>
      <c r="U138" s="49" t="str">
        <f t="shared" si="148"/>
        <v>SIU3</v>
      </c>
      <c r="V138" s="49">
        <f t="shared" si="149"/>
        <v>-5</v>
      </c>
      <c r="W138" s="49">
        <f t="shared" si="150"/>
        <v>23.516999999999999</v>
      </c>
      <c r="X138" s="49">
        <f t="shared" si="151"/>
        <v>-12.1</v>
      </c>
    </row>
    <row r="139" spans="1:24" x14ac:dyDescent="0.4">
      <c r="A139" s="1" t="s">
        <v>138</v>
      </c>
      <c r="B139" s="1" t="s">
        <v>83</v>
      </c>
      <c r="C139" s="1" t="s">
        <v>82</v>
      </c>
      <c r="D139" s="1" t="s">
        <v>235</v>
      </c>
      <c r="E139" s="1" t="s">
        <v>236</v>
      </c>
      <c r="F139" s="1" t="s">
        <v>126</v>
      </c>
      <c r="G139" s="1" t="s">
        <v>27</v>
      </c>
      <c r="H139" s="1">
        <v>5000</v>
      </c>
      <c r="J139" s="51">
        <v>45196</v>
      </c>
      <c r="L139" s="51">
        <v>45112</v>
      </c>
      <c r="M139" s="1" t="s">
        <v>139</v>
      </c>
      <c r="N139" s="1">
        <v>-1</v>
      </c>
      <c r="O139" s="1">
        <v>23.324999999999999</v>
      </c>
      <c r="P139" s="1">
        <v>-116625</v>
      </c>
      <c r="Q139" s="1">
        <v>-2.42</v>
      </c>
      <c r="R139" s="1" t="s">
        <v>83</v>
      </c>
      <c r="T139" s="50">
        <f>IF(ISNUMBER(VLOOKUP(U139,Blotter!B:C,2,0)),VLOOKUP(U139,Blotter!B:C,2,0),"")</f>
        <v>6</v>
      </c>
      <c r="U139" s="49" t="str">
        <f t="shared" si="148"/>
        <v>SIU3</v>
      </c>
      <c r="V139" s="49">
        <f t="shared" si="149"/>
        <v>-1</v>
      </c>
      <c r="W139" s="49">
        <f t="shared" si="150"/>
        <v>23.324999999999999</v>
      </c>
      <c r="X139" s="49">
        <f t="shared" si="151"/>
        <v>-2.42</v>
      </c>
    </row>
    <row r="140" spans="1:24" x14ac:dyDescent="0.4">
      <c r="A140" s="1" t="s">
        <v>138</v>
      </c>
      <c r="B140" s="1" t="s">
        <v>83</v>
      </c>
      <c r="C140" s="1" t="s">
        <v>82</v>
      </c>
      <c r="D140" s="1" t="s">
        <v>235</v>
      </c>
      <c r="E140" s="1" t="s">
        <v>236</v>
      </c>
      <c r="F140" s="1" t="s">
        <v>126</v>
      </c>
      <c r="G140" s="1" t="s">
        <v>27</v>
      </c>
      <c r="H140" s="1">
        <v>5000</v>
      </c>
      <c r="J140" s="51">
        <v>45196</v>
      </c>
      <c r="L140" s="51">
        <v>45112</v>
      </c>
      <c r="M140" s="1" t="s">
        <v>139</v>
      </c>
      <c r="N140" s="1">
        <v>-2</v>
      </c>
      <c r="O140" s="1">
        <v>23.324999999999999</v>
      </c>
      <c r="P140" s="1">
        <v>-233250</v>
      </c>
      <c r="Q140" s="1">
        <v>-4.84</v>
      </c>
      <c r="R140" s="1" t="s">
        <v>83</v>
      </c>
      <c r="T140" s="50">
        <f>IF(ISNUMBER(VLOOKUP(U140,Blotter!B:C,2,0)),VLOOKUP(U140,Blotter!B:C,2,0),"")</f>
        <v>6</v>
      </c>
      <c r="U140" s="49" t="str">
        <f t="shared" si="148"/>
        <v>SIU3</v>
      </c>
      <c r="V140" s="49">
        <f t="shared" si="149"/>
        <v>-2</v>
      </c>
      <c r="W140" s="49">
        <f t="shared" si="150"/>
        <v>23.324999999999999</v>
      </c>
      <c r="X140" s="49">
        <f t="shared" si="151"/>
        <v>-4.84</v>
      </c>
    </row>
    <row r="141" spans="1:24" x14ac:dyDescent="0.4">
      <c r="A141" s="1" t="s">
        <v>138</v>
      </c>
      <c r="B141" s="1" t="s">
        <v>83</v>
      </c>
      <c r="C141" s="1" t="s">
        <v>82</v>
      </c>
      <c r="D141" s="1" t="s">
        <v>235</v>
      </c>
      <c r="E141" s="1" t="s">
        <v>236</v>
      </c>
      <c r="F141" s="1" t="s">
        <v>126</v>
      </c>
      <c r="G141" s="1" t="s">
        <v>27</v>
      </c>
      <c r="H141" s="1">
        <v>5000</v>
      </c>
      <c r="J141" s="51">
        <v>45196</v>
      </c>
      <c r="L141" s="51">
        <v>45112</v>
      </c>
      <c r="M141" s="1" t="s">
        <v>139</v>
      </c>
      <c r="N141" s="1">
        <v>-2</v>
      </c>
      <c r="O141" s="1">
        <v>23.324999999999999</v>
      </c>
      <c r="P141" s="1">
        <v>-233250</v>
      </c>
      <c r="Q141" s="1">
        <v>-4.84</v>
      </c>
      <c r="R141" s="1" t="s">
        <v>83</v>
      </c>
      <c r="T141" s="50">
        <f>IF(ISNUMBER(VLOOKUP(U141,Blotter!B:C,2,0)),VLOOKUP(U141,Blotter!B:C,2,0),"")</f>
        <v>6</v>
      </c>
      <c r="U141" s="49" t="str">
        <f t="shared" si="148"/>
        <v>SIU3</v>
      </c>
      <c r="V141" s="49">
        <f t="shared" si="149"/>
        <v>-2</v>
      </c>
      <c r="W141" s="49">
        <f t="shared" si="150"/>
        <v>23.324999999999999</v>
      </c>
      <c r="X141" s="49">
        <f t="shared" si="151"/>
        <v>-4.84</v>
      </c>
    </row>
    <row r="142" spans="1:24" x14ac:dyDescent="0.4">
      <c r="A142" s="1" t="s">
        <v>138</v>
      </c>
      <c r="B142" s="1" t="s">
        <v>83</v>
      </c>
      <c r="C142" s="1" t="s">
        <v>82</v>
      </c>
      <c r="D142" s="1" t="s">
        <v>235</v>
      </c>
      <c r="E142" s="1" t="s">
        <v>236</v>
      </c>
      <c r="F142" s="1" t="s">
        <v>126</v>
      </c>
      <c r="G142" s="1" t="s">
        <v>27</v>
      </c>
      <c r="H142" s="1">
        <v>5000</v>
      </c>
      <c r="J142" s="51">
        <v>45196</v>
      </c>
      <c r="L142" s="51">
        <v>45112</v>
      </c>
      <c r="M142" s="1" t="s">
        <v>139</v>
      </c>
      <c r="N142" s="1">
        <v>-1</v>
      </c>
      <c r="O142" s="1">
        <v>23.41</v>
      </c>
      <c r="P142" s="1">
        <v>-117050</v>
      </c>
      <c r="Q142" s="1">
        <v>-2.42</v>
      </c>
      <c r="R142" s="1" t="s">
        <v>83</v>
      </c>
      <c r="T142" s="50">
        <f>IF(ISNUMBER(VLOOKUP(U142,Blotter!B:C,2,0)),VLOOKUP(U142,Blotter!B:C,2,0),"")</f>
        <v>6</v>
      </c>
      <c r="U142" s="49" t="str">
        <f t="shared" si="148"/>
        <v>SIU3</v>
      </c>
      <c r="V142" s="49">
        <f t="shared" si="149"/>
        <v>-1</v>
      </c>
      <c r="W142" s="49">
        <f t="shared" si="150"/>
        <v>23.41</v>
      </c>
      <c r="X142" s="49">
        <f t="shared" si="151"/>
        <v>-2.42</v>
      </c>
    </row>
    <row r="143" spans="1:24" x14ac:dyDescent="0.4">
      <c r="A143" s="1" t="s">
        <v>138</v>
      </c>
      <c r="B143" s="1" t="s">
        <v>83</v>
      </c>
      <c r="C143" s="1" t="s">
        <v>82</v>
      </c>
      <c r="D143" s="1" t="s">
        <v>235</v>
      </c>
      <c r="E143" s="1" t="s">
        <v>236</v>
      </c>
      <c r="F143" s="1" t="s">
        <v>126</v>
      </c>
      <c r="G143" s="1" t="s">
        <v>27</v>
      </c>
      <c r="H143" s="1">
        <v>5000</v>
      </c>
      <c r="J143" s="51">
        <v>45196</v>
      </c>
      <c r="L143" s="51">
        <v>45112</v>
      </c>
      <c r="M143" s="1" t="s">
        <v>139</v>
      </c>
      <c r="N143" s="1">
        <v>-1</v>
      </c>
      <c r="O143" s="1">
        <v>23.41</v>
      </c>
      <c r="P143" s="1">
        <v>-117050</v>
      </c>
      <c r="Q143" s="1">
        <v>-2.42</v>
      </c>
      <c r="R143" s="1" t="s">
        <v>83</v>
      </c>
      <c r="T143" s="50">
        <f>IF(ISNUMBER(VLOOKUP(U143,Blotter!B:C,2,0)),VLOOKUP(U143,Blotter!B:C,2,0),"")</f>
        <v>6</v>
      </c>
      <c r="U143" s="49" t="str">
        <f t="shared" si="148"/>
        <v>SIU3</v>
      </c>
      <c r="V143" s="49">
        <f t="shared" si="149"/>
        <v>-1</v>
      </c>
      <c r="W143" s="49">
        <f t="shared" si="150"/>
        <v>23.41</v>
      </c>
      <c r="X143" s="49">
        <f t="shared" si="151"/>
        <v>-2.42</v>
      </c>
    </row>
    <row r="144" spans="1:24" x14ac:dyDescent="0.4">
      <c r="A144" s="1" t="s">
        <v>138</v>
      </c>
      <c r="B144" s="1" t="s">
        <v>83</v>
      </c>
      <c r="C144" s="1" t="s">
        <v>82</v>
      </c>
      <c r="D144" s="1" t="s">
        <v>235</v>
      </c>
      <c r="E144" s="1" t="s">
        <v>236</v>
      </c>
      <c r="F144" s="1" t="s">
        <v>126</v>
      </c>
      <c r="G144" s="1" t="s">
        <v>27</v>
      </c>
      <c r="H144" s="1">
        <v>5000</v>
      </c>
      <c r="J144" s="51">
        <v>45196</v>
      </c>
      <c r="L144" s="51">
        <v>45112</v>
      </c>
      <c r="M144" s="1" t="s">
        <v>139</v>
      </c>
      <c r="N144" s="1">
        <v>-1</v>
      </c>
      <c r="O144" s="1">
        <v>23.41</v>
      </c>
      <c r="P144" s="1">
        <v>-117050</v>
      </c>
      <c r="Q144" s="1">
        <v>-2.42</v>
      </c>
      <c r="R144" s="1" t="s">
        <v>83</v>
      </c>
      <c r="T144" s="50">
        <f>IF(ISNUMBER(VLOOKUP(U144,Blotter!B:C,2,0)),VLOOKUP(U144,Blotter!B:C,2,0),"")</f>
        <v>6</v>
      </c>
      <c r="U144" s="49" t="str">
        <f t="shared" si="148"/>
        <v>SIU3</v>
      </c>
      <c r="V144" s="49">
        <f t="shared" si="149"/>
        <v>-1</v>
      </c>
      <c r="W144" s="49">
        <f t="shared" si="150"/>
        <v>23.41</v>
      </c>
      <c r="X144" s="49">
        <f t="shared" si="151"/>
        <v>-2.42</v>
      </c>
    </row>
    <row r="145" spans="1:24" x14ac:dyDescent="0.4">
      <c r="A145" s="1" t="s">
        <v>138</v>
      </c>
      <c r="B145" s="1" t="s">
        <v>83</v>
      </c>
      <c r="C145" s="1" t="s">
        <v>82</v>
      </c>
      <c r="D145" s="1" t="s">
        <v>235</v>
      </c>
      <c r="E145" s="1" t="s">
        <v>236</v>
      </c>
      <c r="F145" s="1" t="s">
        <v>126</v>
      </c>
      <c r="G145" s="1" t="s">
        <v>27</v>
      </c>
      <c r="H145" s="1">
        <v>5000</v>
      </c>
      <c r="J145" s="51">
        <v>45196</v>
      </c>
      <c r="L145" s="51">
        <v>45112</v>
      </c>
      <c r="M145" s="1" t="s">
        <v>139</v>
      </c>
      <c r="N145" s="1">
        <v>-2</v>
      </c>
      <c r="O145" s="1">
        <v>23.41</v>
      </c>
      <c r="P145" s="1">
        <v>-234100</v>
      </c>
      <c r="Q145" s="1">
        <v>-4.84</v>
      </c>
      <c r="R145" s="1" t="s">
        <v>83</v>
      </c>
      <c r="T145" s="50">
        <f>IF(ISNUMBER(VLOOKUP(U145,Blotter!B:C,2,0)),VLOOKUP(U145,Blotter!B:C,2,0),"")</f>
        <v>6</v>
      </c>
      <c r="U145" s="49" t="str">
        <f t="shared" si="148"/>
        <v>SIU3</v>
      </c>
      <c r="V145" s="49">
        <f t="shared" si="149"/>
        <v>-2</v>
      </c>
      <c r="W145" s="49">
        <f t="shared" si="150"/>
        <v>23.41</v>
      </c>
      <c r="X145" s="49">
        <f t="shared" si="151"/>
        <v>-4.84</v>
      </c>
    </row>
    <row r="146" spans="1:24" x14ac:dyDescent="0.4">
      <c r="A146" s="1" t="s">
        <v>138</v>
      </c>
      <c r="B146" s="1" t="s">
        <v>83</v>
      </c>
      <c r="C146" s="1" t="s">
        <v>82</v>
      </c>
      <c r="D146" s="59" t="s">
        <v>241</v>
      </c>
      <c r="E146" s="1" t="s">
        <v>242</v>
      </c>
      <c r="F146" s="1" t="s">
        <v>127</v>
      </c>
      <c r="G146" s="1" t="s">
        <v>28</v>
      </c>
      <c r="H146" s="1">
        <v>5000</v>
      </c>
      <c r="J146" s="51">
        <v>45183</v>
      </c>
      <c r="L146" s="51">
        <v>45112</v>
      </c>
      <c r="M146" s="1" t="s">
        <v>135</v>
      </c>
      <c r="N146" s="1">
        <v>2</v>
      </c>
      <c r="O146" s="59">
        <v>480</v>
      </c>
      <c r="P146" s="1">
        <v>48000</v>
      </c>
      <c r="Q146" s="1">
        <v>-5.94</v>
      </c>
      <c r="R146" s="1" t="s">
        <v>83</v>
      </c>
      <c r="T146" s="50">
        <f>IF(ISNUMBER(VLOOKUP(U146,Blotter!B:C,2,0)),VLOOKUP(U146,Blotter!B:C,2,0),"")</f>
        <v>13</v>
      </c>
      <c r="U146" s="49" t="str">
        <f t="shared" si="148"/>
        <v>ZCU3</v>
      </c>
      <c r="V146" s="49">
        <f t="shared" si="149"/>
        <v>2</v>
      </c>
      <c r="W146" s="49">
        <f t="shared" si="150"/>
        <v>480</v>
      </c>
      <c r="X146" s="49">
        <f t="shared" si="151"/>
        <v>-5.94</v>
      </c>
    </row>
    <row r="147" spans="1:24" x14ac:dyDescent="0.4">
      <c r="A147" s="1" t="s">
        <v>138</v>
      </c>
      <c r="B147" s="1" t="s">
        <v>83</v>
      </c>
      <c r="C147" s="1" t="s">
        <v>82</v>
      </c>
      <c r="D147" s="1" t="s">
        <v>233</v>
      </c>
      <c r="E147" s="1" t="s">
        <v>234</v>
      </c>
      <c r="F147" s="1" t="s">
        <v>126</v>
      </c>
      <c r="G147" s="1" t="s">
        <v>25</v>
      </c>
      <c r="H147" s="1">
        <v>25000</v>
      </c>
      <c r="J147" s="51">
        <v>45196</v>
      </c>
      <c r="L147" s="51">
        <v>45113</v>
      </c>
      <c r="M147" s="1" t="s">
        <v>135</v>
      </c>
      <c r="N147" s="1">
        <v>2</v>
      </c>
      <c r="O147" s="1">
        <v>3.7349999999999999</v>
      </c>
      <c r="P147" s="1">
        <v>186750</v>
      </c>
      <c r="Q147" s="1">
        <v>-4.84</v>
      </c>
      <c r="R147" s="1" t="s">
        <v>83</v>
      </c>
      <c r="T147" s="50">
        <f>IF(ISNUMBER(VLOOKUP(U147,Blotter!B:C,2,0)),VLOOKUP(U147,Blotter!B:C,2,0),"")</f>
        <v>8</v>
      </c>
      <c r="U147" s="49" t="str">
        <f t="shared" ref="U147:U148" si="152">D147</f>
        <v>HGU3</v>
      </c>
      <c r="V147" s="49">
        <f t="shared" ref="V147:V148" si="153">N147</f>
        <v>2</v>
      </c>
      <c r="W147" s="49">
        <f t="shared" ref="W147:W148" si="154">O147</f>
        <v>3.7349999999999999</v>
      </c>
      <c r="X147" s="49">
        <f t="shared" ref="X147:X148" si="155">Q147</f>
        <v>-4.84</v>
      </c>
    </row>
    <row r="148" spans="1:24" x14ac:dyDescent="0.4">
      <c r="A148" s="1" t="s">
        <v>138</v>
      </c>
      <c r="B148" s="1" t="s">
        <v>83</v>
      </c>
      <c r="C148" s="1" t="s">
        <v>82</v>
      </c>
      <c r="D148" s="1" t="s">
        <v>233</v>
      </c>
      <c r="E148" s="1" t="s">
        <v>234</v>
      </c>
      <c r="F148" s="1" t="s">
        <v>126</v>
      </c>
      <c r="G148" s="1" t="s">
        <v>25</v>
      </c>
      <c r="H148" s="1">
        <v>25000</v>
      </c>
      <c r="J148" s="51">
        <v>45196</v>
      </c>
      <c r="L148" s="51">
        <v>45113</v>
      </c>
      <c r="M148" s="1" t="s">
        <v>135</v>
      </c>
      <c r="N148" s="1">
        <v>2</v>
      </c>
      <c r="O148" s="1">
        <v>3.73</v>
      </c>
      <c r="P148" s="1">
        <v>186500</v>
      </c>
      <c r="Q148" s="1">
        <v>-4.84</v>
      </c>
      <c r="R148" s="1" t="s">
        <v>83</v>
      </c>
      <c r="T148" s="50">
        <f>IF(ISNUMBER(VLOOKUP(U148,Blotter!B:C,2,0)),VLOOKUP(U148,Blotter!B:C,2,0),"")</f>
        <v>8</v>
      </c>
      <c r="U148" s="49" t="str">
        <f t="shared" si="152"/>
        <v>HGU3</v>
      </c>
      <c r="V148" s="49">
        <f t="shared" si="153"/>
        <v>2</v>
      </c>
      <c r="W148" s="49">
        <f t="shared" si="154"/>
        <v>3.73</v>
      </c>
      <c r="X148" s="49">
        <f t="shared" si="155"/>
        <v>-4.84</v>
      </c>
    </row>
    <row r="149" spans="1:24" x14ac:dyDescent="0.4">
      <c r="A149" s="1" t="s">
        <v>138</v>
      </c>
      <c r="B149" s="1" t="s">
        <v>83</v>
      </c>
      <c r="C149" s="1" t="s">
        <v>82</v>
      </c>
      <c r="D149" s="1" t="s">
        <v>233</v>
      </c>
      <c r="E149" s="1" t="s">
        <v>234</v>
      </c>
      <c r="F149" s="1" t="s">
        <v>126</v>
      </c>
      <c r="G149" s="1" t="s">
        <v>25</v>
      </c>
      <c r="H149" s="1">
        <v>25000</v>
      </c>
      <c r="J149" s="51">
        <v>45196</v>
      </c>
      <c r="L149" s="51">
        <v>45113</v>
      </c>
      <c r="M149" s="1" t="s">
        <v>135</v>
      </c>
      <c r="N149" s="1">
        <v>2</v>
      </c>
      <c r="O149" s="1">
        <v>3.74</v>
      </c>
      <c r="P149" s="1">
        <v>187000</v>
      </c>
      <c r="Q149" s="1">
        <v>-4.84</v>
      </c>
      <c r="R149" s="1" t="s">
        <v>83</v>
      </c>
      <c r="T149" s="50">
        <f>IF(ISNUMBER(VLOOKUP(U149,Blotter!B:C,2,0)),VLOOKUP(U149,Blotter!B:C,2,0),"")</f>
        <v>8</v>
      </c>
      <c r="U149" s="49" t="str">
        <f t="shared" ref="U149" si="156">D149</f>
        <v>HGU3</v>
      </c>
      <c r="V149" s="49">
        <f t="shared" ref="V149" si="157">N149</f>
        <v>2</v>
      </c>
      <c r="W149" s="49">
        <f t="shared" ref="W149" si="158">O149</f>
        <v>3.74</v>
      </c>
      <c r="X149" s="49">
        <f t="shared" ref="X149" si="159">Q149</f>
        <v>-4.84</v>
      </c>
    </row>
    <row r="150" spans="1:24" x14ac:dyDescent="0.4">
      <c r="A150" s="1" t="s">
        <v>138</v>
      </c>
      <c r="B150" s="1" t="s">
        <v>83</v>
      </c>
      <c r="C150" s="1" t="s">
        <v>82</v>
      </c>
      <c r="D150" s="1" t="s">
        <v>233</v>
      </c>
      <c r="E150" s="1" t="s">
        <v>234</v>
      </c>
      <c r="F150" s="1" t="s">
        <v>126</v>
      </c>
      <c r="G150" s="1" t="s">
        <v>25</v>
      </c>
      <c r="H150" s="1">
        <v>25000</v>
      </c>
      <c r="J150" s="51">
        <v>45196</v>
      </c>
      <c r="L150" s="51">
        <v>45113</v>
      </c>
      <c r="M150" s="1" t="s">
        <v>135</v>
      </c>
      <c r="N150" s="1">
        <v>2</v>
      </c>
      <c r="O150" s="1">
        <v>3.74</v>
      </c>
      <c r="P150" s="1">
        <v>187000</v>
      </c>
      <c r="Q150" s="1">
        <v>-4.84</v>
      </c>
      <c r="R150" s="1" t="s">
        <v>83</v>
      </c>
      <c r="T150" s="50">
        <f>IF(ISNUMBER(VLOOKUP(U150,Blotter!B:C,2,0)),VLOOKUP(U150,Blotter!B:C,2,0),"")</f>
        <v>8</v>
      </c>
      <c r="U150" s="49" t="str">
        <f t="shared" ref="U150:U151" si="160">D150</f>
        <v>HGU3</v>
      </c>
      <c r="V150" s="49">
        <f t="shared" ref="V150:V151" si="161">N150</f>
        <v>2</v>
      </c>
      <c r="W150" s="49">
        <f t="shared" ref="W150:W151" si="162">O150</f>
        <v>3.74</v>
      </c>
      <c r="X150" s="49">
        <f t="shared" ref="X150:X151" si="163">Q150</f>
        <v>-4.84</v>
      </c>
    </row>
    <row r="151" spans="1:24" x14ac:dyDescent="0.4">
      <c r="A151" s="1" t="s">
        <v>138</v>
      </c>
      <c r="B151" s="1" t="s">
        <v>83</v>
      </c>
      <c r="C151" s="1" t="s">
        <v>82</v>
      </c>
      <c r="D151" s="1" t="s">
        <v>233</v>
      </c>
      <c r="E151" s="1" t="s">
        <v>234</v>
      </c>
      <c r="F151" s="1" t="s">
        <v>126</v>
      </c>
      <c r="G151" s="1" t="s">
        <v>25</v>
      </c>
      <c r="H151" s="1">
        <v>25000</v>
      </c>
      <c r="J151" s="51">
        <v>45196</v>
      </c>
      <c r="L151" s="51">
        <v>45113</v>
      </c>
      <c r="M151" s="1" t="s">
        <v>135</v>
      </c>
      <c r="N151" s="1">
        <v>2</v>
      </c>
      <c r="O151" s="1">
        <v>3.7284999999999999</v>
      </c>
      <c r="P151" s="1">
        <v>186425</v>
      </c>
      <c r="Q151" s="1">
        <v>-4.84</v>
      </c>
      <c r="R151" s="1" t="s">
        <v>83</v>
      </c>
      <c r="T151" s="50">
        <f>IF(ISNUMBER(VLOOKUP(U151,Blotter!B:C,2,0)),VLOOKUP(U151,Blotter!B:C,2,0),"")</f>
        <v>8</v>
      </c>
      <c r="U151" s="49" t="str">
        <f t="shared" si="160"/>
        <v>HGU3</v>
      </c>
      <c r="V151" s="49">
        <f t="shared" si="161"/>
        <v>2</v>
      </c>
      <c r="W151" s="49">
        <f t="shared" si="162"/>
        <v>3.7284999999999999</v>
      </c>
      <c r="X151" s="49">
        <f t="shared" si="163"/>
        <v>-4.84</v>
      </c>
    </row>
    <row r="152" spans="1:24" x14ac:dyDescent="0.4">
      <c r="A152" s="1" t="s">
        <v>138</v>
      </c>
      <c r="B152" s="1" t="s">
        <v>83</v>
      </c>
      <c r="C152" s="1" t="s">
        <v>82</v>
      </c>
      <c r="D152" s="1" t="s">
        <v>233</v>
      </c>
      <c r="E152" s="1" t="s">
        <v>234</v>
      </c>
      <c r="F152" s="1" t="s">
        <v>126</v>
      </c>
      <c r="G152" s="1" t="s">
        <v>25</v>
      </c>
      <c r="H152" s="1">
        <v>25000</v>
      </c>
      <c r="J152" s="51">
        <v>45196</v>
      </c>
      <c r="L152" s="51">
        <v>45113</v>
      </c>
      <c r="M152" s="1" t="s">
        <v>139</v>
      </c>
      <c r="N152" s="1">
        <v>-2</v>
      </c>
      <c r="O152" s="1">
        <v>3.7450000000000001</v>
      </c>
      <c r="P152" s="1">
        <v>-187250</v>
      </c>
      <c r="Q152" s="1">
        <v>-4.84</v>
      </c>
      <c r="R152" s="1" t="s">
        <v>83</v>
      </c>
      <c r="T152" s="50">
        <f>IF(ISNUMBER(VLOOKUP(U152,Blotter!B:C,2,0)),VLOOKUP(U152,Blotter!B:C,2,0),"")</f>
        <v>8</v>
      </c>
      <c r="U152" s="49" t="str">
        <f t="shared" ref="U152" si="164">D152</f>
        <v>HGU3</v>
      </c>
      <c r="V152" s="49">
        <f t="shared" ref="V152" si="165">N152</f>
        <v>-2</v>
      </c>
      <c r="W152" s="49">
        <f t="shared" ref="W152" si="166">O152</f>
        <v>3.7450000000000001</v>
      </c>
      <c r="X152" s="49">
        <f t="shared" ref="X152" si="167">Q152</f>
        <v>-4.84</v>
      </c>
    </row>
    <row r="153" spans="1:24" x14ac:dyDescent="0.4">
      <c r="A153" s="1" t="s">
        <v>138</v>
      </c>
      <c r="B153" s="1" t="s">
        <v>83</v>
      </c>
      <c r="C153" s="1" t="s">
        <v>82</v>
      </c>
      <c r="D153" s="1" t="s">
        <v>233</v>
      </c>
      <c r="E153" s="1" t="s">
        <v>234</v>
      </c>
      <c r="F153" s="1" t="s">
        <v>126</v>
      </c>
      <c r="G153" s="1" t="s">
        <v>25</v>
      </c>
      <c r="H153" s="1">
        <v>25000</v>
      </c>
      <c r="J153" s="51">
        <v>45196</v>
      </c>
      <c r="L153" s="51">
        <v>45113</v>
      </c>
      <c r="M153" s="1" t="s">
        <v>139</v>
      </c>
      <c r="N153" s="1">
        <v>-2</v>
      </c>
      <c r="O153" s="1">
        <v>3.7549999999999999</v>
      </c>
      <c r="P153" s="1">
        <v>-187750</v>
      </c>
      <c r="Q153" s="1">
        <v>-4.84</v>
      </c>
      <c r="R153" s="1" t="s">
        <v>83</v>
      </c>
      <c r="T153" s="50">
        <f>IF(ISNUMBER(VLOOKUP(U153,Blotter!B:C,2,0)),VLOOKUP(U153,Blotter!B:C,2,0),"")</f>
        <v>8</v>
      </c>
      <c r="U153" s="49" t="str">
        <f t="shared" ref="U153:U172" si="168">D153</f>
        <v>HGU3</v>
      </c>
      <c r="V153" s="49">
        <f t="shared" ref="V153:V172" si="169">N153</f>
        <v>-2</v>
      </c>
      <c r="W153" s="49">
        <f t="shared" ref="W153:W172" si="170">O153</f>
        <v>3.7549999999999999</v>
      </c>
      <c r="X153" s="49">
        <f t="shared" ref="X153:X172" si="171">Q153</f>
        <v>-4.84</v>
      </c>
    </row>
    <row r="154" spans="1:24" x14ac:dyDescent="0.4">
      <c r="A154" s="1" t="s">
        <v>138</v>
      </c>
      <c r="B154" s="1" t="s">
        <v>83</v>
      </c>
      <c r="C154" s="1" t="s">
        <v>82</v>
      </c>
      <c r="D154" s="1" t="s">
        <v>233</v>
      </c>
      <c r="E154" s="1" t="s">
        <v>234</v>
      </c>
      <c r="F154" s="1" t="s">
        <v>126</v>
      </c>
      <c r="G154" s="1" t="s">
        <v>25</v>
      </c>
      <c r="H154" s="1">
        <v>25000</v>
      </c>
      <c r="J154" s="51">
        <v>45196</v>
      </c>
      <c r="L154" s="51">
        <v>45113</v>
      </c>
      <c r="M154" s="1" t="s">
        <v>139</v>
      </c>
      <c r="N154" s="1">
        <v>-2</v>
      </c>
      <c r="O154" s="1">
        <v>3.7549999999999999</v>
      </c>
      <c r="P154" s="1">
        <v>-187750</v>
      </c>
      <c r="Q154" s="1">
        <v>-4.84</v>
      </c>
      <c r="R154" s="1" t="s">
        <v>83</v>
      </c>
      <c r="T154" s="50">
        <f>IF(ISNUMBER(VLOOKUP(U154,Blotter!B:C,2,0)),VLOOKUP(U154,Blotter!B:C,2,0),"")</f>
        <v>8</v>
      </c>
      <c r="U154" s="49" t="str">
        <f t="shared" si="168"/>
        <v>HGU3</v>
      </c>
      <c r="V154" s="49">
        <f t="shared" si="169"/>
        <v>-2</v>
      </c>
      <c r="W154" s="49">
        <f t="shared" si="170"/>
        <v>3.7549999999999999</v>
      </c>
      <c r="X154" s="49">
        <f t="shared" si="171"/>
        <v>-4.84</v>
      </c>
    </row>
    <row r="155" spans="1:24" x14ac:dyDescent="0.4">
      <c r="A155" s="1" t="s">
        <v>138</v>
      </c>
      <c r="B155" s="1" t="s">
        <v>83</v>
      </c>
      <c r="C155" s="1" t="s">
        <v>82</v>
      </c>
      <c r="D155" s="1" t="s">
        <v>233</v>
      </c>
      <c r="E155" s="1" t="s">
        <v>234</v>
      </c>
      <c r="F155" s="1" t="s">
        <v>126</v>
      </c>
      <c r="G155" s="1" t="s">
        <v>25</v>
      </c>
      <c r="H155" s="1">
        <v>25000</v>
      </c>
      <c r="J155" s="51">
        <v>45196</v>
      </c>
      <c r="L155" s="51">
        <v>45113</v>
      </c>
      <c r="M155" s="1" t="s">
        <v>139</v>
      </c>
      <c r="N155" s="1">
        <v>-1</v>
      </c>
      <c r="O155" s="1">
        <v>3.7349999999999999</v>
      </c>
      <c r="P155" s="1">
        <v>-93375</v>
      </c>
      <c r="Q155" s="1">
        <v>-2.42</v>
      </c>
      <c r="R155" s="1" t="s">
        <v>83</v>
      </c>
      <c r="T155" s="50">
        <f>IF(ISNUMBER(VLOOKUP(U155,Blotter!B:C,2,0)),VLOOKUP(U155,Blotter!B:C,2,0),"")</f>
        <v>8</v>
      </c>
      <c r="U155" s="49" t="str">
        <f t="shared" si="168"/>
        <v>HGU3</v>
      </c>
      <c r="V155" s="49">
        <f t="shared" si="169"/>
        <v>-1</v>
      </c>
      <c r="W155" s="49">
        <f t="shared" si="170"/>
        <v>3.7349999999999999</v>
      </c>
      <c r="X155" s="49">
        <f t="shared" si="171"/>
        <v>-2.42</v>
      </c>
    </row>
    <row r="156" spans="1:24" x14ac:dyDescent="0.4">
      <c r="A156" s="1" t="s">
        <v>138</v>
      </c>
      <c r="B156" s="1" t="s">
        <v>83</v>
      </c>
      <c r="C156" s="1" t="s">
        <v>82</v>
      </c>
      <c r="D156" s="1" t="s">
        <v>233</v>
      </c>
      <c r="E156" s="1" t="s">
        <v>234</v>
      </c>
      <c r="F156" s="1" t="s">
        <v>126</v>
      </c>
      <c r="G156" s="1" t="s">
        <v>25</v>
      </c>
      <c r="H156" s="1">
        <v>25000</v>
      </c>
      <c r="J156" s="51">
        <v>45196</v>
      </c>
      <c r="L156" s="51">
        <v>45113</v>
      </c>
      <c r="M156" s="1" t="s">
        <v>139</v>
      </c>
      <c r="N156" s="1">
        <v>-1</v>
      </c>
      <c r="O156" s="1">
        <v>3.7349999999999999</v>
      </c>
      <c r="P156" s="1">
        <v>-93375</v>
      </c>
      <c r="Q156" s="1">
        <v>-2.42</v>
      </c>
      <c r="R156" s="1" t="s">
        <v>83</v>
      </c>
      <c r="T156" s="50">
        <f>IF(ISNUMBER(VLOOKUP(U156,Blotter!B:C,2,0)),VLOOKUP(U156,Blotter!B:C,2,0),"")</f>
        <v>8</v>
      </c>
      <c r="U156" s="49" t="str">
        <f t="shared" si="168"/>
        <v>HGU3</v>
      </c>
      <c r="V156" s="49">
        <f t="shared" si="169"/>
        <v>-1</v>
      </c>
      <c r="W156" s="49">
        <f t="shared" si="170"/>
        <v>3.7349999999999999</v>
      </c>
      <c r="X156" s="49">
        <f t="shared" si="171"/>
        <v>-2.42</v>
      </c>
    </row>
    <row r="157" spans="1:24" x14ac:dyDescent="0.4">
      <c r="A157" s="1" t="s">
        <v>138</v>
      </c>
      <c r="B157" s="1" t="s">
        <v>83</v>
      </c>
      <c r="C157" s="1" t="s">
        <v>82</v>
      </c>
      <c r="D157" s="1" t="s">
        <v>233</v>
      </c>
      <c r="E157" s="1" t="s">
        <v>234</v>
      </c>
      <c r="F157" s="1" t="s">
        <v>126</v>
      </c>
      <c r="G157" s="1" t="s">
        <v>25</v>
      </c>
      <c r="H157" s="1">
        <v>25000</v>
      </c>
      <c r="J157" s="51">
        <v>45196</v>
      </c>
      <c r="L157" s="51">
        <v>45113</v>
      </c>
      <c r="M157" s="1" t="s">
        <v>139</v>
      </c>
      <c r="N157" s="1">
        <v>-2</v>
      </c>
      <c r="O157" s="1">
        <v>3.74</v>
      </c>
      <c r="P157" s="1">
        <v>-187000</v>
      </c>
      <c r="Q157" s="1">
        <v>-4.84</v>
      </c>
      <c r="R157" s="1" t="s">
        <v>83</v>
      </c>
      <c r="T157" s="50">
        <f>IF(ISNUMBER(VLOOKUP(U157,Blotter!B:C,2,0)),VLOOKUP(U157,Blotter!B:C,2,0),"")</f>
        <v>8</v>
      </c>
      <c r="U157" s="49" t="str">
        <f t="shared" si="168"/>
        <v>HGU3</v>
      </c>
      <c r="V157" s="49">
        <f t="shared" si="169"/>
        <v>-2</v>
      </c>
      <c r="W157" s="49">
        <f t="shared" si="170"/>
        <v>3.74</v>
      </c>
      <c r="X157" s="49">
        <f t="shared" si="171"/>
        <v>-4.84</v>
      </c>
    </row>
    <row r="158" spans="1:24" x14ac:dyDescent="0.4">
      <c r="A158" s="1" t="s">
        <v>138</v>
      </c>
      <c r="B158" s="1" t="s">
        <v>83</v>
      </c>
      <c r="C158" s="1" t="s">
        <v>82</v>
      </c>
      <c r="D158" s="1" t="s">
        <v>228</v>
      </c>
      <c r="E158" s="1" t="s">
        <v>232</v>
      </c>
      <c r="F158" s="1" t="s">
        <v>93</v>
      </c>
      <c r="G158" s="1" t="s">
        <v>9</v>
      </c>
      <c r="H158" s="1">
        <v>42000</v>
      </c>
      <c r="J158" s="51">
        <v>45138</v>
      </c>
      <c r="L158" s="51">
        <v>45113</v>
      </c>
      <c r="M158" s="1" t="s">
        <v>139</v>
      </c>
      <c r="N158" s="1">
        <v>-2</v>
      </c>
      <c r="O158" s="1">
        <v>2.5449999999999999</v>
      </c>
      <c r="P158" s="1">
        <v>-213780</v>
      </c>
      <c r="Q158" s="1">
        <v>-4.74</v>
      </c>
      <c r="R158" s="1" t="s">
        <v>83</v>
      </c>
      <c r="T158" s="50">
        <f>IF(ISNUMBER(VLOOKUP(U158,Blotter!B:C,2,0)),VLOOKUP(U158,Blotter!B:C,2,0),"")</f>
        <v>11</v>
      </c>
      <c r="U158" s="49" t="str">
        <f t="shared" si="168"/>
        <v>RBQ3</v>
      </c>
      <c r="V158" s="49">
        <f t="shared" si="169"/>
        <v>-2</v>
      </c>
      <c r="W158" s="49">
        <f t="shared" si="170"/>
        <v>2.5449999999999999</v>
      </c>
      <c r="X158" s="49">
        <f t="shared" si="171"/>
        <v>-4.74</v>
      </c>
    </row>
    <row r="159" spans="1:24" x14ac:dyDescent="0.4">
      <c r="A159" s="1" t="s">
        <v>138</v>
      </c>
      <c r="B159" s="1" t="s">
        <v>83</v>
      </c>
      <c r="C159" s="1" t="s">
        <v>82</v>
      </c>
      <c r="D159" s="1" t="s">
        <v>235</v>
      </c>
      <c r="E159" s="1" t="s">
        <v>236</v>
      </c>
      <c r="F159" s="1" t="s">
        <v>126</v>
      </c>
      <c r="G159" s="1" t="s">
        <v>27</v>
      </c>
      <c r="H159" s="1">
        <v>5000</v>
      </c>
      <c r="J159" s="51">
        <v>45196</v>
      </c>
      <c r="L159" s="51">
        <v>45113</v>
      </c>
      <c r="M159" s="1" t="s">
        <v>135</v>
      </c>
      <c r="N159" s="1">
        <v>5</v>
      </c>
      <c r="O159" s="1">
        <v>23.32</v>
      </c>
      <c r="P159" s="1">
        <v>583000</v>
      </c>
      <c r="Q159" s="1">
        <v>-12.1</v>
      </c>
      <c r="R159" s="1" t="s">
        <v>83</v>
      </c>
      <c r="T159" s="50">
        <f>IF(ISNUMBER(VLOOKUP(U159,Blotter!B:C,2,0)),VLOOKUP(U159,Blotter!B:C,2,0),"")</f>
        <v>6</v>
      </c>
      <c r="U159" s="49" t="str">
        <f t="shared" si="168"/>
        <v>SIU3</v>
      </c>
      <c r="V159" s="49">
        <f t="shared" si="169"/>
        <v>5</v>
      </c>
      <c r="W159" s="49">
        <f t="shared" si="170"/>
        <v>23.32</v>
      </c>
      <c r="X159" s="49">
        <f t="shared" si="171"/>
        <v>-12.1</v>
      </c>
    </row>
    <row r="160" spans="1:24" x14ac:dyDescent="0.4">
      <c r="A160" s="1" t="s">
        <v>138</v>
      </c>
      <c r="B160" s="1" t="s">
        <v>83</v>
      </c>
      <c r="C160" s="1" t="s">
        <v>82</v>
      </c>
      <c r="D160" s="1" t="s">
        <v>235</v>
      </c>
      <c r="E160" s="1" t="s">
        <v>236</v>
      </c>
      <c r="F160" s="1" t="s">
        <v>126</v>
      </c>
      <c r="G160" s="1" t="s">
        <v>27</v>
      </c>
      <c r="H160" s="1">
        <v>5000</v>
      </c>
      <c r="J160" s="51">
        <v>45196</v>
      </c>
      <c r="L160" s="51">
        <v>45113</v>
      </c>
      <c r="M160" s="1" t="s">
        <v>135</v>
      </c>
      <c r="N160" s="1">
        <v>1</v>
      </c>
      <c r="O160" s="1">
        <v>23.285</v>
      </c>
      <c r="P160" s="1">
        <v>116425</v>
      </c>
      <c r="Q160" s="1">
        <v>-2.42</v>
      </c>
      <c r="R160" s="1" t="s">
        <v>83</v>
      </c>
      <c r="T160" s="50">
        <f>IF(ISNUMBER(VLOOKUP(U160,Blotter!B:C,2,0)),VLOOKUP(U160,Blotter!B:C,2,0),"")</f>
        <v>6</v>
      </c>
      <c r="U160" s="49" t="str">
        <f t="shared" si="168"/>
        <v>SIU3</v>
      </c>
      <c r="V160" s="49">
        <f t="shared" si="169"/>
        <v>1</v>
      </c>
      <c r="W160" s="49">
        <f t="shared" si="170"/>
        <v>23.285</v>
      </c>
      <c r="X160" s="49">
        <f t="shared" si="171"/>
        <v>-2.42</v>
      </c>
    </row>
    <row r="161" spans="1:24" x14ac:dyDescent="0.4">
      <c r="A161" s="1" t="s">
        <v>138</v>
      </c>
      <c r="B161" s="1" t="s">
        <v>83</v>
      </c>
      <c r="C161" s="1" t="s">
        <v>82</v>
      </c>
      <c r="D161" s="1" t="s">
        <v>235</v>
      </c>
      <c r="E161" s="1" t="s">
        <v>236</v>
      </c>
      <c r="F161" s="1" t="s">
        <v>126</v>
      </c>
      <c r="G161" s="1" t="s">
        <v>27</v>
      </c>
      <c r="H161" s="1">
        <v>5000</v>
      </c>
      <c r="J161" s="51">
        <v>45196</v>
      </c>
      <c r="L161" s="51">
        <v>45113</v>
      </c>
      <c r="M161" s="1" t="s">
        <v>135</v>
      </c>
      <c r="N161" s="1">
        <v>3</v>
      </c>
      <c r="O161" s="1">
        <v>23.285</v>
      </c>
      <c r="P161" s="1">
        <v>349275</v>
      </c>
      <c r="Q161" s="1">
        <v>-7.26</v>
      </c>
      <c r="R161" s="1" t="s">
        <v>83</v>
      </c>
      <c r="T161" s="50">
        <f>IF(ISNUMBER(VLOOKUP(U161,Blotter!B:C,2,0)),VLOOKUP(U161,Blotter!B:C,2,0),"")</f>
        <v>6</v>
      </c>
      <c r="U161" s="49" t="str">
        <f t="shared" si="168"/>
        <v>SIU3</v>
      </c>
      <c r="V161" s="49">
        <f t="shared" si="169"/>
        <v>3</v>
      </c>
      <c r="W161" s="49">
        <f t="shared" si="170"/>
        <v>23.285</v>
      </c>
      <c r="X161" s="49">
        <f t="shared" si="171"/>
        <v>-7.26</v>
      </c>
    </row>
    <row r="162" spans="1:24" x14ac:dyDescent="0.4">
      <c r="A162" s="1" t="s">
        <v>138</v>
      </c>
      <c r="B162" s="1" t="s">
        <v>83</v>
      </c>
      <c r="C162" s="1" t="s">
        <v>82</v>
      </c>
      <c r="D162" s="1" t="s">
        <v>235</v>
      </c>
      <c r="E162" s="1" t="s">
        <v>236</v>
      </c>
      <c r="F162" s="1" t="s">
        <v>126</v>
      </c>
      <c r="G162" s="1" t="s">
        <v>27</v>
      </c>
      <c r="H162" s="1">
        <v>5000</v>
      </c>
      <c r="J162" s="51">
        <v>45196</v>
      </c>
      <c r="L162" s="51">
        <v>45113</v>
      </c>
      <c r="M162" s="1" t="s">
        <v>135</v>
      </c>
      <c r="N162" s="1">
        <v>1</v>
      </c>
      <c r="O162" s="1">
        <v>23.285</v>
      </c>
      <c r="P162" s="1">
        <v>116425</v>
      </c>
      <c r="Q162" s="1">
        <v>-2.42</v>
      </c>
      <c r="R162" s="1" t="s">
        <v>83</v>
      </c>
      <c r="T162" s="50">
        <f>IF(ISNUMBER(VLOOKUP(U162,Blotter!B:C,2,0)),VLOOKUP(U162,Blotter!B:C,2,0),"")</f>
        <v>6</v>
      </c>
      <c r="U162" s="49" t="str">
        <f t="shared" si="168"/>
        <v>SIU3</v>
      </c>
      <c r="V162" s="49">
        <f t="shared" si="169"/>
        <v>1</v>
      </c>
      <c r="W162" s="49">
        <f t="shared" si="170"/>
        <v>23.285</v>
      </c>
      <c r="X162" s="49">
        <f t="shared" si="171"/>
        <v>-2.42</v>
      </c>
    </row>
    <row r="163" spans="1:24" x14ac:dyDescent="0.4">
      <c r="A163" s="1" t="s">
        <v>138</v>
      </c>
      <c r="B163" s="1" t="s">
        <v>83</v>
      </c>
      <c r="C163" s="1" t="s">
        <v>82</v>
      </c>
      <c r="D163" s="1" t="s">
        <v>235</v>
      </c>
      <c r="E163" s="1" t="s">
        <v>236</v>
      </c>
      <c r="F163" s="1" t="s">
        <v>126</v>
      </c>
      <c r="G163" s="1" t="s">
        <v>27</v>
      </c>
      <c r="H163" s="1">
        <v>5000</v>
      </c>
      <c r="J163" s="51">
        <v>45196</v>
      </c>
      <c r="L163" s="51">
        <v>45113</v>
      </c>
      <c r="M163" s="1" t="s">
        <v>135</v>
      </c>
      <c r="N163" s="1">
        <v>5</v>
      </c>
      <c r="O163" s="1">
        <v>23.18</v>
      </c>
      <c r="P163" s="1">
        <v>579500</v>
      </c>
      <c r="Q163" s="1">
        <v>-12.1</v>
      </c>
      <c r="R163" s="1" t="s">
        <v>83</v>
      </c>
      <c r="T163" s="50">
        <f>IF(ISNUMBER(VLOOKUP(U163,Blotter!B:C,2,0)),VLOOKUP(U163,Blotter!B:C,2,0),"")</f>
        <v>6</v>
      </c>
      <c r="U163" s="49" t="str">
        <f t="shared" si="168"/>
        <v>SIU3</v>
      </c>
      <c r="V163" s="49">
        <f t="shared" si="169"/>
        <v>5</v>
      </c>
      <c r="W163" s="49">
        <f t="shared" si="170"/>
        <v>23.18</v>
      </c>
      <c r="X163" s="49">
        <f t="shared" si="171"/>
        <v>-12.1</v>
      </c>
    </row>
    <row r="164" spans="1:24" x14ac:dyDescent="0.4">
      <c r="A164" s="1" t="s">
        <v>138</v>
      </c>
      <c r="B164" s="1" t="s">
        <v>83</v>
      </c>
      <c r="C164" s="1" t="s">
        <v>82</v>
      </c>
      <c r="D164" s="1" t="s">
        <v>235</v>
      </c>
      <c r="E164" s="1" t="s">
        <v>236</v>
      </c>
      <c r="F164" s="1" t="s">
        <v>126</v>
      </c>
      <c r="G164" s="1" t="s">
        <v>27</v>
      </c>
      <c r="H164" s="1">
        <v>5000</v>
      </c>
      <c r="J164" s="51">
        <v>45196</v>
      </c>
      <c r="L164" s="51">
        <v>45113</v>
      </c>
      <c r="M164" s="1" t="s">
        <v>135</v>
      </c>
      <c r="N164" s="1">
        <v>4</v>
      </c>
      <c r="O164" s="1">
        <v>22.89</v>
      </c>
      <c r="P164" s="1">
        <v>457800</v>
      </c>
      <c r="Q164" s="1">
        <v>-9.68</v>
      </c>
      <c r="R164" s="1" t="s">
        <v>83</v>
      </c>
      <c r="T164" s="50">
        <f>IF(ISNUMBER(VLOOKUP(U164,Blotter!B:C,2,0)),VLOOKUP(U164,Blotter!B:C,2,0),"")</f>
        <v>6</v>
      </c>
      <c r="U164" s="49" t="str">
        <f t="shared" si="168"/>
        <v>SIU3</v>
      </c>
      <c r="V164" s="49">
        <f t="shared" si="169"/>
        <v>4</v>
      </c>
      <c r="W164" s="49">
        <f t="shared" si="170"/>
        <v>22.89</v>
      </c>
      <c r="X164" s="49">
        <f t="shared" si="171"/>
        <v>-9.68</v>
      </c>
    </row>
    <row r="165" spans="1:24" x14ac:dyDescent="0.4">
      <c r="A165" s="1" t="s">
        <v>138</v>
      </c>
      <c r="B165" s="1" t="s">
        <v>83</v>
      </c>
      <c r="C165" s="1" t="s">
        <v>82</v>
      </c>
      <c r="D165" s="1" t="s">
        <v>235</v>
      </c>
      <c r="E165" s="1" t="s">
        <v>236</v>
      </c>
      <c r="F165" s="1" t="s">
        <v>126</v>
      </c>
      <c r="G165" s="1" t="s">
        <v>27</v>
      </c>
      <c r="H165" s="1">
        <v>5000</v>
      </c>
      <c r="J165" s="51">
        <v>45196</v>
      </c>
      <c r="L165" s="51">
        <v>45113</v>
      </c>
      <c r="M165" s="1" t="s">
        <v>135</v>
      </c>
      <c r="N165" s="1">
        <v>1</v>
      </c>
      <c r="O165" s="1">
        <v>22.89</v>
      </c>
      <c r="P165" s="1">
        <v>114450</v>
      </c>
      <c r="Q165" s="1">
        <v>-2.42</v>
      </c>
      <c r="R165" s="1" t="s">
        <v>83</v>
      </c>
      <c r="T165" s="50">
        <f>IF(ISNUMBER(VLOOKUP(U165,Blotter!B:C,2,0)),VLOOKUP(U165,Blotter!B:C,2,0),"")</f>
        <v>6</v>
      </c>
      <c r="U165" s="49" t="str">
        <f t="shared" si="168"/>
        <v>SIU3</v>
      </c>
      <c r="V165" s="49">
        <f t="shared" si="169"/>
        <v>1</v>
      </c>
      <c r="W165" s="49">
        <f t="shared" si="170"/>
        <v>22.89</v>
      </c>
      <c r="X165" s="49">
        <f t="shared" si="171"/>
        <v>-2.42</v>
      </c>
    </row>
    <row r="166" spans="1:24" x14ac:dyDescent="0.4">
      <c r="A166" s="1" t="s">
        <v>138</v>
      </c>
      <c r="B166" s="1" t="s">
        <v>83</v>
      </c>
      <c r="C166" s="1" t="s">
        <v>82</v>
      </c>
      <c r="D166" s="1" t="s">
        <v>235</v>
      </c>
      <c r="E166" s="1" t="s">
        <v>236</v>
      </c>
      <c r="F166" s="1" t="s">
        <v>126</v>
      </c>
      <c r="G166" s="1" t="s">
        <v>27</v>
      </c>
      <c r="H166" s="1">
        <v>5000</v>
      </c>
      <c r="J166" s="51">
        <v>45196</v>
      </c>
      <c r="L166" s="51">
        <v>45113</v>
      </c>
      <c r="M166" s="1" t="s">
        <v>135</v>
      </c>
      <c r="N166" s="1">
        <v>2</v>
      </c>
      <c r="O166" s="1">
        <v>22.89</v>
      </c>
      <c r="P166" s="1">
        <v>228900</v>
      </c>
      <c r="Q166" s="1">
        <v>-4.84</v>
      </c>
      <c r="R166" s="1" t="s">
        <v>83</v>
      </c>
      <c r="T166" s="50">
        <f>IF(ISNUMBER(VLOOKUP(U166,Blotter!B:C,2,0)),VLOOKUP(U166,Blotter!B:C,2,0),"")</f>
        <v>6</v>
      </c>
      <c r="U166" s="49" t="str">
        <f t="shared" si="168"/>
        <v>SIU3</v>
      </c>
      <c r="V166" s="49">
        <f t="shared" si="169"/>
        <v>2</v>
      </c>
      <c r="W166" s="49">
        <f t="shared" si="170"/>
        <v>22.89</v>
      </c>
      <c r="X166" s="49">
        <f t="shared" si="171"/>
        <v>-4.84</v>
      </c>
    </row>
    <row r="167" spans="1:24" x14ac:dyDescent="0.4">
      <c r="A167" s="1" t="s">
        <v>138</v>
      </c>
      <c r="B167" s="1" t="s">
        <v>83</v>
      </c>
      <c r="C167" s="1" t="s">
        <v>82</v>
      </c>
      <c r="D167" s="1" t="s">
        <v>235</v>
      </c>
      <c r="E167" s="1" t="s">
        <v>236</v>
      </c>
      <c r="F167" s="1" t="s">
        <v>126</v>
      </c>
      <c r="G167" s="1" t="s">
        <v>27</v>
      </c>
      <c r="H167" s="1">
        <v>5000</v>
      </c>
      <c r="J167" s="51">
        <v>45196</v>
      </c>
      <c r="L167" s="51">
        <v>45113</v>
      </c>
      <c r="M167" s="1" t="s">
        <v>135</v>
      </c>
      <c r="N167" s="1">
        <v>1</v>
      </c>
      <c r="O167" s="1">
        <v>22.89</v>
      </c>
      <c r="P167" s="1">
        <v>114450</v>
      </c>
      <c r="Q167" s="1">
        <v>-2.42</v>
      </c>
      <c r="R167" s="1" t="s">
        <v>83</v>
      </c>
      <c r="T167" s="50">
        <f>IF(ISNUMBER(VLOOKUP(U167,Blotter!B:C,2,0)),VLOOKUP(U167,Blotter!B:C,2,0),"")</f>
        <v>6</v>
      </c>
      <c r="U167" s="49" t="str">
        <f t="shared" si="168"/>
        <v>SIU3</v>
      </c>
      <c r="V167" s="49">
        <f t="shared" si="169"/>
        <v>1</v>
      </c>
      <c r="W167" s="49">
        <f t="shared" si="170"/>
        <v>22.89</v>
      </c>
      <c r="X167" s="49">
        <f t="shared" si="171"/>
        <v>-2.42</v>
      </c>
    </row>
    <row r="168" spans="1:24" x14ac:dyDescent="0.4">
      <c r="A168" s="1" t="s">
        <v>138</v>
      </c>
      <c r="B168" s="1" t="s">
        <v>83</v>
      </c>
      <c r="C168" s="1" t="s">
        <v>82</v>
      </c>
      <c r="D168" s="1" t="s">
        <v>235</v>
      </c>
      <c r="E168" s="1" t="s">
        <v>236</v>
      </c>
      <c r="F168" s="1" t="s">
        <v>126</v>
      </c>
      <c r="G168" s="1" t="s">
        <v>27</v>
      </c>
      <c r="H168" s="1">
        <v>5000</v>
      </c>
      <c r="J168" s="51">
        <v>45196</v>
      </c>
      <c r="L168" s="51">
        <v>45113</v>
      </c>
      <c r="M168" s="1" t="s">
        <v>135</v>
      </c>
      <c r="N168" s="1">
        <v>2</v>
      </c>
      <c r="O168" s="1">
        <v>22.89</v>
      </c>
      <c r="P168" s="1">
        <v>228900</v>
      </c>
      <c r="Q168" s="1">
        <v>-4.84</v>
      </c>
      <c r="R168" s="1" t="s">
        <v>83</v>
      </c>
      <c r="T168" s="50">
        <f>IF(ISNUMBER(VLOOKUP(U168,Blotter!B:C,2,0)),VLOOKUP(U168,Blotter!B:C,2,0),"")</f>
        <v>6</v>
      </c>
      <c r="U168" s="49" t="str">
        <f t="shared" si="168"/>
        <v>SIU3</v>
      </c>
      <c r="V168" s="49">
        <f t="shared" si="169"/>
        <v>2</v>
      </c>
      <c r="W168" s="49">
        <f t="shared" si="170"/>
        <v>22.89</v>
      </c>
      <c r="X168" s="49">
        <f t="shared" si="171"/>
        <v>-4.84</v>
      </c>
    </row>
    <row r="169" spans="1:24" x14ac:dyDescent="0.4">
      <c r="A169" s="1" t="s">
        <v>138</v>
      </c>
      <c r="B169" s="1" t="s">
        <v>83</v>
      </c>
      <c r="C169" s="1" t="s">
        <v>82</v>
      </c>
      <c r="D169" s="1" t="s">
        <v>235</v>
      </c>
      <c r="E169" s="1" t="s">
        <v>236</v>
      </c>
      <c r="F169" s="1" t="s">
        <v>126</v>
      </c>
      <c r="G169" s="1" t="s">
        <v>27</v>
      </c>
      <c r="H169" s="1">
        <v>5000</v>
      </c>
      <c r="J169" s="51">
        <v>45196</v>
      </c>
      <c r="L169" s="51">
        <v>45113</v>
      </c>
      <c r="M169" s="1" t="s">
        <v>139</v>
      </c>
      <c r="N169" s="1">
        <v>-5</v>
      </c>
      <c r="O169" s="1">
        <v>23.44</v>
      </c>
      <c r="P169" s="1">
        <v>-586000</v>
      </c>
      <c r="Q169" s="1">
        <v>-12.1</v>
      </c>
      <c r="R169" s="1" t="s">
        <v>83</v>
      </c>
      <c r="T169" s="50">
        <f>IF(ISNUMBER(VLOOKUP(U169,Blotter!B:C,2,0)),VLOOKUP(U169,Blotter!B:C,2,0),"")</f>
        <v>6</v>
      </c>
      <c r="U169" s="49" t="str">
        <f t="shared" si="168"/>
        <v>SIU3</v>
      </c>
      <c r="V169" s="49">
        <f t="shared" si="169"/>
        <v>-5</v>
      </c>
      <c r="W169" s="49">
        <f t="shared" si="170"/>
        <v>23.44</v>
      </c>
      <c r="X169" s="49">
        <f t="shared" si="171"/>
        <v>-12.1</v>
      </c>
    </row>
    <row r="170" spans="1:24" x14ac:dyDescent="0.4">
      <c r="A170" s="1" t="s">
        <v>138</v>
      </c>
      <c r="B170" s="1" t="s">
        <v>83</v>
      </c>
      <c r="C170" s="1" t="s">
        <v>82</v>
      </c>
      <c r="D170" s="1" t="s">
        <v>235</v>
      </c>
      <c r="E170" s="1" t="s">
        <v>236</v>
      </c>
      <c r="F170" s="1" t="s">
        <v>126</v>
      </c>
      <c r="G170" s="1" t="s">
        <v>27</v>
      </c>
      <c r="H170" s="1">
        <v>5000</v>
      </c>
      <c r="J170" s="51">
        <v>45196</v>
      </c>
      <c r="L170" s="51">
        <v>45113</v>
      </c>
      <c r="M170" s="1" t="s">
        <v>139</v>
      </c>
      <c r="N170" s="1">
        <v>-5</v>
      </c>
      <c r="O170" s="1">
        <v>23.34</v>
      </c>
      <c r="P170" s="1">
        <v>-583500</v>
      </c>
      <c r="Q170" s="1">
        <v>-12.1</v>
      </c>
      <c r="R170" s="1" t="s">
        <v>83</v>
      </c>
      <c r="T170" s="50">
        <f>IF(ISNUMBER(VLOOKUP(U170,Blotter!B:C,2,0)),VLOOKUP(U170,Blotter!B:C,2,0),"")</f>
        <v>6</v>
      </c>
      <c r="U170" s="49" t="str">
        <f t="shared" si="168"/>
        <v>SIU3</v>
      </c>
      <c r="V170" s="49">
        <f t="shared" si="169"/>
        <v>-5</v>
      </c>
      <c r="W170" s="49">
        <f t="shared" si="170"/>
        <v>23.34</v>
      </c>
      <c r="X170" s="49">
        <f t="shared" si="171"/>
        <v>-12.1</v>
      </c>
    </row>
    <row r="171" spans="1:24" x14ac:dyDescent="0.4">
      <c r="A171" s="1" t="s">
        <v>138</v>
      </c>
      <c r="B171" s="1" t="s">
        <v>83</v>
      </c>
      <c r="C171" s="1" t="s">
        <v>82</v>
      </c>
      <c r="D171" s="1" t="s">
        <v>235</v>
      </c>
      <c r="E171" s="1" t="s">
        <v>236</v>
      </c>
      <c r="F171" s="1" t="s">
        <v>126</v>
      </c>
      <c r="G171" s="1" t="s">
        <v>27</v>
      </c>
      <c r="H171" s="1">
        <v>5000</v>
      </c>
      <c r="J171" s="51">
        <v>45196</v>
      </c>
      <c r="L171" s="51">
        <v>45113</v>
      </c>
      <c r="M171" s="1" t="s">
        <v>139</v>
      </c>
      <c r="N171" s="1">
        <v>-10</v>
      </c>
      <c r="O171" s="1">
        <v>22.9</v>
      </c>
      <c r="P171" s="1">
        <v>-1145000</v>
      </c>
      <c r="Q171" s="1">
        <v>-24.2</v>
      </c>
      <c r="R171" s="1" t="s">
        <v>83</v>
      </c>
      <c r="T171" s="50">
        <f>IF(ISNUMBER(VLOOKUP(U171,Blotter!B:C,2,0)),VLOOKUP(U171,Blotter!B:C,2,0),"")</f>
        <v>6</v>
      </c>
      <c r="U171" s="49" t="str">
        <f t="shared" si="168"/>
        <v>SIU3</v>
      </c>
      <c r="V171" s="49">
        <f t="shared" si="169"/>
        <v>-10</v>
      </c>
      <c r="W171" s="49">
        <f t="shared" si="170"/>
        <v>22.9</v>
      </c>
      <c r="X171" s="49">
        <f t="shared" si="171"/>
        <v>-24.2</v>
      </c>
    </row>
    <row r="172" spans="1:24" x14ac:dyDescent="0.4">
      <c r="A172" s="1" t="s">
        <v>138</v>
      </c>
      <c r="B172" s="1" t="s">
        <v>83</v>
      </c>
      <c r="C172" s="1" t="s">
        <v>82</v>
      </c>
      <c r="D172" s="1" t="s">
        <v>235</v>
      </c>
      <c r="E172" s="1" t="s">
        <v>236</v>
      </c>
      <c r="F172" s="1" t="s">
        <v>126</v>
      </c>
      <c r="G172" s="1" t="s">
        <v>27</v>
      </c>
      <c r="H172" s="1">
        <v>5000</v>
      </c>
      <c r="J172" s="51">
        <v>45196</v>
      </c>
      <c r="L172" s="51">
        <v>45113</v>
      </c>
      <c r="M172" s="1" t="s">
        <v>139</v>
      </c>
      <c r="N172" s="1">
        <v>-10</v>
      </c>
      <c r="O172" s="1">
        <v>22.9</v>
      </c>
      <c r="P172" s="1">
        <v>-1145000</v>
      </c>
      <c r="Q172" s="1">
        <v>-24.2</v>
      </c>
      <c r="R172" s="1" t="s">
        <v>83</v>
      </c>
      <c r="T172" s="50">
        <f>IF(ISNUMBER(VLOOKUP(U172,Blotter!B:C,2,0)),VLOOKUP(U172,Blotter!B:C,2,0),"")</f>
        <v>6</v>
      </c>
      <c r="U172" s="49" t="str">
        <f t="shared" si="168"/>
        <v>SIU3</v>
      </c>
      <c r="V172" s="49">
        <f t="shared" si="169"/>
        <v>-10</v>
      </c>
      <c r="W172" s="49">
        <f t="shared" si="170"/>
        <v>22.9</v>
      </c>
      <c r="X172" s="49">
        <f t="shared" si="171"/>
        <v>-24.2</v>
      </c>
    </row>
    <row r="173" spans="1:24" x14ac:dyDescent="0.4">
      <c r="A173" s="1" t="s">
        <v>138</v>
      </c>
      <c r="B173" s="1" t="s">
        <v>83</v>
      </c>
      <c r="C173" s="1" t="s">
        <v>82</v>
      </c>
      <c r="D173" s="1" t="s">
        <v>233</v>
      </c>
      <c r="E173" s="1" t="s">
        <v>234</v>
      </c>
      <c r="F173" s="1" t="s">
        <v>126</v>
      </c>
      <c r="G173" s="1" t="s">
        <v>25</v>
      </c>
      <c r="H173" s="1">
        <v>25000</v>
      </c>
      <c r="J173" s="51">
        <v>45196</v>
      </c>
      <c r="L173" s="51">
        <v>45114</v>
      </c>
      <c r="M173" s="1" t="s">
        <v>139</v>
      </c>
      <c r="N173" s="1">
        <v>-1</v>
      </c>
      <c r="O173" s="1">
        <v>3.77</v>
      </c>
      <c r="P173" s="1">
        <v>-94250</v>
      </c>
      <c r="Q173" s="1">
        <v>-2.42</v>
      </c>
      <c r="R173" s="1" t="s">
        <v>83</v>
      </c>
      <c r="T173" s="50">
        <f>IF(ISNUMBER(VLOOKUP(U173,Blotter!B:C,2,0)),VLOOKUP(U173,Blotter!B:C,2,0),"")</f>
        <v>8</v>
      </c>
      <c r="U173" s="49" t="str">
        <f t="shared" ref="U173:U182" si="172">D173</f>
        <v>HGU3</v>
      </c>
      <c r="V173" s="49">
        <f t="shared" ref="V173:V182" si="173">N173</f>
        <v>-1</v>
      </c>
      <c r="W173" s="49">
        <f t="shared" ref="W173:W182" si="174">O173</f>
        <v>3.77</v>
      </c>
      <c r="X173" s="49">
        <f t="shared" ref="X173:X182" si="175">Q173</f>
        <v>-2.42</v>
      </c>
    </row>
    <row r="174" spans="1:24" x14ac:dyDescent="0.4">
      <c r="A174" s="1" t="s">
        <v>138</v>
      </c>
      <c r="B174" s="1" t="s">
        <v>83</v>
      </c>
      <c r="C174" s="1" t="s">
        <v>82</v>
      </c>
      <c r="D174" s="1" t="s">
        <v>233</v>
      </c>
      <c r="E174" s="1" t="s">
        <v>234</v>
      </c>
      <c r="F174" s="1" t="s">
        <v>126</v>
      </c>
      <c r="G174" s="1" t="s">
        <v>25</v>
      </c>
      <c r="H174" s="1">
        <v>25000</v>
      </c>
      <c r="J174" s="51">
        <v>45196</v>
      </c>
      <c r="L174" s="51">
        <v>45114</v>
      </c>
      <c r="M174" s="1" t="s">
        <v>139</v>
      </c>
      <c r="N174" s="1">
        <v>-1</v>
      </c>
      <c r="O174" s="1">
        <v>3.77</v>
      </c>
      <c r="P174" s="1">
        <v>-94250</v>
      </c>
      <c r="Q174" s="1">
        <v>-2.42</v>
      </c>
      <c r="R174" s="1" t="s">
        <v>83</v>
      </c>
      <c r="T174" s="50">
        <f>IF(ISNUMBER(VLOOKUP(U174,Blotter!B:C,2,0)),VLOOKUP(U174,Blotter!B:C,2,0),"")</f>
        <v>8</v>
      </c>
      <c r="U174" s="49" t="str">
        <f t="shared" si="172"/>
        <v>HGU3</v>
      </c>
      <c r="V174" s="49">
        <f t="shared" si="173"/>
        <v>-1</v>
      </c>
      <c r="W174" s="49">
        <f t="shared" si="174"/>
        <v>3.77</v>
      </c>
      <c r="X174" s="49">
        <f t="shared" si="175"/>
        <v>-2.42</v>
      </c>
    </row>
    <row r="175" spans="1:24" x14ac:dyDescent="0.4">
      <c r="A175" s="1" t="s">
        <v>138</v>
      </c>
      <c r="B175" s="1" t="s">
        <v>83</v>
      </c>
      <c r="C175" s="1" t="s">
        <v>82</v>
      </c>
      <c r="D175" s="1" t="s">
        <v>228</v>
      </c>
      <c r="E175" s="1" t="s">
        <v>232</v>
      </c>
      <c r="F175" s="1" t="s">
        <v>93</v>
      </c>
      <c r="G175" s="1" t="s">
        <v>9</v>
      </c>
      <c r="H175" s="1">
        <v>42000</v>
      </c>
      <c r="J175" s="51">
        <v>45138</v>
      </c>
      <c r="L175" s="51">
        <v>45114</v>
      </c>
      <c r="M175" s="1" t="s">
        <v>135</v>
      </c>
      <c r="N175" s="1">
        <v>2</v>
      </c>
      <c r="O175" s="1">
        <v>2.54</v>
      </c>
      <c r="P175" s="1">
        <v>213360</v>
      </c>
      <c r="Q175" s="1">
        <v>-4.74</v>
      </c>
      <c r="R175" s="1" t="s">
        <v>83</v>
      </c>
      <c r="T175" s="50">
        <f>IF(ISNUMBER(VLOOKUP(U175,Blotter!B:C,2,0)),VLOOKUP(U175,Blotter!B:C,2,0),"")</f>
        <v>11</v>
      </c>
      <c r="U175" s="49" t="str">
        <f t="shared" si="172"/>
        <v>RBQ3</v>
      </c>
      <c r="V175" s="49">
        <f t="shared" si="173"/>
        <v>2</v>
      </c>
      <c r="W175" s="49">
        <f t="shared" si="174"/>
        <v>2.54</v>
      </c>
      <c r="X175" s="49">
        <f t="shared" si="175"/>
        <v>-4.74</v>
      </c>
    </row>
    <row r="176" spans="1:24" x14ac:dyDescent="0.4">
      <c r="A176" s="1" t="s">
        <v>138</v>
      </c>
      <c r="B176" s="1" t="s">
        <v>83</v>
      </c>
      <c r="C176" s="1" t="s">
        <v>82</v>
      </c>
      <c r="D176" s="1" t="s">
        <v>235</v>
      </c>
      <c r="E176" s="1" t="s">
        <v>236</v>
      </c>
      <c r="F176" s="1" t="s">
        <v>126</v>
      </c>
      <c r="G176" s="1" t="s">
        <v>27</v>
      </c>
      <c r="H176" s="1">
        <v>5000</v>
      </c>
      <c r="J176" s="51">
        <v>45196</v>
      </c>
      <c r="L176" s="51">
        <v>45114</v>
      </c>
      <c r="M176" s="1" t="s">
        <v>135</v>
      </c>
      <c r="N176" s="1">
        <v>10</v>
      </c>
      <c r="O176" s="1">
        <v>22.885000000000002</v>
      </c>
      <c r="P176" s="1">
        <v>1144250</v>
      </c>
      <c r="Q176" s="1">
        <v>-24.2</v>
      </c>
      <c r="R176" s="1" t="s">
        <v>83</v>
      </c>
      <c r="T176" s="50">
        <f>IF(ISNUMBER(VLOOKUP(U176,Blotter!B:C,2,0)),VLOOKUP(U176,Blotter!B:C,2,0),"")</f>
        <v>6</v>
      </c>
      <c r="U176" s="49" t="str">
        <f t="shared" si="172"/>
        <v>SIU3</v>
      </c>
      <c r="V176" s="49">
        <f t="shared" si="173"/>
        <v>10</v>
      </c>
      <c r="W176" s="49">
        <f t="shared" si="174"/>
        <v>22.885000000000002</v>
      </c>
      <c r="X176" s="49">
        <f t="shared" si="175"/>
        <v>-24.2</v>
      </c>
    </row>
    <row r="177" spans="1:24" x14ac:dyDescent="0.4">
      <c r="A177" s="1" t="s">
        <v>138</v>
      </c>
      <c r="B177" s="1" t="s">
        <v>83</v>
      </c>
      <c r="C177" s="1" t="s">
        <v>82</v>
      </c>
      <c r="D177" s="1" t="s">
        <v>235</v>
      </c>
      <c r="E177" s="1" t="s">
        <v>236</v>
      </c>
      <c r="F177" s="1" t="s">
        <v>126</v>
      </c>
      <c r="G177" s="1" t="s">
        <v>27</v>
      </c>
      <c r="H177" s="1">
        <v>5000</v>
      </c>
      <c r="J177" s="51">
        <v>45196</v>
      </c>
      <c r="L177" s="51">
        <v>45114</v>
      </c>
      <c r="M177" s="1" t="s">
        <v>135</v>
      </c>
      <c r="N177" s="1">
        <v>5</v>
      </c>
      <c r="O177" s="1">
        <v>23.02</v>
      </c>
      <c r="P177" s="1">
        <v>575500</v>
      </c>
      <c r="Q177" s="1">
        <v>-12.1</v>
      </c>
      <c r="R177" s="1" t="s">
        <v>83</v>
      </c>
      <c r="T177" s="50">
        <f>IF(ISNUMBER(VLOOKUP(U177,Blotter!B:C,2,0)),VLOOKUP(U177,Blotter!B:C,2,0),"")</f>
        <v>6</v>
      </c>
      <c r="U177" s="49" t="str">
        <f t="shared" si="172"/>
        <v>SIU3</v>
      </c>
      <c r="V177" s="49">
        <f t="shared" si="173"/>
        <v>5</v>
      </c>
      <c r="W177" s="49">
        <f t="shared" si="174"/>
        <v>23.02</v>
      </c>
      <c r="X177" s="49">
        <f t="shared" si="175"/>
        <v>-12.1</v>
      </c>
    </row>
    <row r="178" spans="1:24" x14ac:dyDescent="0.4">
      <c r="A178" s="1" t="s">
        <v>138</v>
      </c>
      <c r="B178" s="1" t="s">
        <v>83</v>
      </c>
      <c r="C178" s="1" t="s">
        <v>82</v>
      </c>
      <c r="D178" s="1" t="s">
        <v>235</v>
      </c>
      <c r="E178" s="1" t="s">
        <v>236</v>
      </c>
      <c r="F178" s="1" t="s">
        <v>126</v>
      </c>
      <c r="G178" s="1" t="s">
        <v>27</v>
      </c>
      <c r="H178" s="1">
        <v>5000</v>
      </c>
      <c r="J178" s="51">
        <v>45196</v>
      </c>
      <c r="L178" s="51">
        <v>45114</v>
      </c>
      <c r="M178" s="1" t="s">
        <v>135</v>
      </c>
      <c r="N178" s="1">
        <v>3</v>
      </c>
      <c r="O178" s="1">
        <v>23.26</v>
      </c>
      <c r="P178" s="1">
        <v>348900</v>
      </c>
      <c r="Q178" s="1">
        <v>-7.26</v>
      </c>
      <c r="R178" s="1" t="s">
        <v>83</v>
      </c>
      <c r="T178" s="50">
        <f>IF(ISNUMBER(VLOOKUP(U178,Blotter!B:C,2,0)),VLOOKUP(U178,Blotter!B:C,2,0),"")</f>
        <v>6</v>
      </c>
      <c r="U178" s="49" t="str">
        <f t="shared" si="172"/>
        <v>SIU3</v>
      </c>
      <c r="V178" s="49">
        <f t="shared" si="173"/>
        <v>3</v>
      </c>
      <c r="W178" s="49">
        <f t="shared" si="174"/>
        <v>23.26</v>
      </c>
      <c r="X178" s="49">
        <f t="shared" si="175"/>
        <v>-7.26</v>
      </c>
    </row>
    <row r="179" spans="1:24" x14ac:dyDescent="0.4">
      <c r="A179" s="1" t="s">
        <v>138</v>
      </c>
      <c r="B179" s="1" t="s">
        <v>83</v>
      </c>
      <c r="C179" s="1" t="s">
        <v>82</v>
      </c>
      <c r="D179" s="1" t="s">
        <v>235</v>
      </c>
      <c r="E179" s="1" t="s">
        <v>236</v>
      </c>
      <c r="F179" s="1" t="s">
        <v>126</v>
      </c>
      <c r="G179" s="1" t="s">
        <v>27</v>
      </c>
      <c r="H179" s="1">
        <v>5000</v>
      </c>
      <c r="J179" s="51">
        <v>45196</v>
      </c>
      <c r="L179" s="51">
        <v>45114</v>
      </c>
      <c r="M179" s="1" t="s">
        <v>139</v>
      </c>
      <c r="N179" s="1">
        <v>-5</v>
      </c>
      <c r="O179" s="1">
        <v>23.01</v>
      </c>
      <c r="P179" s="1">
        <v>-575250</v>
      </c>
      <c r="Q179" s="1">
        <v>-12.1</v>
      </c>
      <c r="R179" s="1" t="s">
        <v>83</v>
      </c>
      <c r="T179" s="50">
        <f>IF(ISNUMBER(VLOOKUP(U179,Blotter!B:C,2,0)),VLOOKUP(U179,Blotter!B:C,2,0),"")</f>
        <v>6</v>
      </c>
      <c r="U179" s="49" t="str">
        <f t="shared" si="172"/>
        <v>SIU3</v>
      </c>
      <c r="V179" s="49">
        <f t="shared" si="173"/>
        <v>-5</v>
      </c>
      <c r="W179" s="49">
        <f t="shared" si="174"/>
        <v>23.01</v>
      </c>
      <c r="X179" s="49">
        <f t="shared" si="175"/>
        <v>-12.1</v>
      </c>
    </row>
    <row r="180" spans="1:24" x14ac:dyDescent="0.4">
      <c r="A180" s="1" t="s">
        <v>138</v>
      </c>
      <c r="B180" s="1" t="s">
        <v>83</v>
      </c>
      <c r="C180" s="1" t="s">
        <v>82</v>
      </c>
      <c r="D180" s="1" t="s">
        <v>235</v>
      </c>
      <c r="E180" s="1" t="s">
        <v>236</v>
      </c>
      <c r="F180" s="1" t="s">
        <v>126</v>
      </c>
      <c r="G180" s="1" t="s">
        <v>27</v>
      </c>
      <c r="H180" s="1">
        <v>5000</v>
      </c>
      <c r="J180" s="51">
        <v>45196</v>
      </c>
      <c r="L180" s="51">
        <v>45114</v>
      </c>
      <c r="M180" s="1" t="s">
        <v>139</v>
      </c>
      <c r="N180" s="1">
        <v>-5</v>
      </c>
      <c r="O180" s="1">
        <v>23.1</v>
      </c>
      <c r="P180" s="1">
        <v>-577500</v>
      </c>
      <c r="Q180" s="1">
        <v>-12.1</v>
      </c>
      <c r="R180" s="1" t="s">
        <v>83</v>
      </c>
      <c r="T180" s="50">
        <f>IF(ISNUMBER(VLOOKUP(U180,Blotter!B:C,2,0)),VLOOKUP(U180,Blotter!B:C,2,0),"")</f>
        <v>6</v>
      </c>
      <c r="U180" s="49" t="str">
        <f t="shared" si="172"/>
        <v>SIU3</v>
      </c>
      <c r="V180" s="49">
        <f t="shared" si="173"/>
        <v>-5</v>
      </c>
      <c r="W180" s="49">
        <f t="shared" si="174"/>
        <v>23.1</v>
      </c>
      <c r="X180" s="49">
        <f t="shared" si="175"/>
        <v>-12.1</v>
      </c>
    </row>
    <row r="181" spans="1:24" x14ac:dyDescent="0.4">
      <c r="A181" s="1" t="s">
        <v>138</v>
      </c>
      <c r="B181" s="1" t="s">
        <v>83</v>
      </c>
      <c r="C181" s="1" t="s">
        <v>82</v>
      </c>
      <c r="D181" s="1" t="s">
        <v>235</v>
      </c>
      <c r="E181" s="1" t="s">
        <v>236</v>
      </c>
      <c r="F181" s="1" t="s">
        <v>126</v>
      </c>
      <c r="G181" s="1" t="s">
        <v>27</v>
      </c>
      <c r="H181" s="1">
        <v>5000</v>
      </c>
      <c r="J181" s="51">
        <v>45196</v>
      </c>
      <c r="L181" s="51">
        <v>45114</v>
      </c>
      <c r="M181" s="1" t="s">
        <v>139</v>
      </c>
      <c r="N181" s="1">
        <v>-5</v>
      </c>
      <c r="O181" s="1">
        <v>23.12</v>
      </c>
      <c r="P181" s="1">
        <v>-578000</v>
      </c>
      <c r="Q181" s="1">
        <v>-12.1</v>
      </c>
      <c r="R181" s="1" t="s">
        <v>83</v>
      </c>
      <c r="T181" s="50">
        <f>IF(ISNUMBER(VLOOKUP(U181,Blotter!B:C,2,0)),VLOOKUP(U181,Blotter!B:C,2,0),"")</f>
        <v>6</v>
      </c>
      <c r="U181" s="49" t="str">
        <f t="shared" si="172"/>
        <v>SIU3</v>
      </c>
      <c r="V181" s="49">
        <f t="shared" si="173"/>
        <v>-5</v>
      </c>
      <c r="W181" s="49">
        <f t="shared" si="174"/>
        <v>23.12</v>
      </c>
      <c r="X181" s="49">
        <f t="shared" si="175"/>
        <v>-12.1</v>
      </c>
    </row>
    <row r="182" spans="1:24" x14ac:dyDescent="0.4">
      <c r="A182" s="1" t="s">
        <v>138</v>
      </c>
      <c r="B182" s="1" t="s">
        <v>83</v>
      </c>
      <c r="C182" s="1" t="s">
        <v>82</v>
      </c>
      <c r="D182" s="1" t="s">
        <v>235</v>
      </c>
      <c r="E182" s="1" t="s">
        <v>236</v>
      </c>
      <c r="F182" s="1" t="s">
        <v>126</v>
      </c>
      <c r="G182" s="1" t="s">
        <v>27</v>
      </c>
      <c r="H182" s="1">
        <v>5000</v>
      </c>
      <c r="J182" s="51">
        <v>45196</v>
      </c>
      <c r="L182" s="51">
        <v>45114</v>
      </c>
      <c r="M182" s="1" t="s">
        <v>139</v>
      </c>
      <c r="N182" s="1">
        <v>-3</v>
      </c>
      <c r="O182" s="1">
        <v>23.35</v>
      </c>
      <c r="P182" s="1">
        <v>-350250</v>
      </c>
      <c r="Q182" s="1">
        <v>-7.26</v>
      </c>
      <c r="R182" s="1" t="s">
        <v>83</v>
      </c>
      <c r="T182" s="50">
        <f>IF(ISNUMBER(VLOOKUP(U182,Blotter!B:C,2,0)),VLOOKUP(U182,Blotter!B:C,2,0),"")</f>
        <v>6</v>
      </c>
      <c r="U182" s="49" t="str">
        <f t="shared" si="172"/>
        <v>SIU3</v>
      </c>
      <c r="V182" s="49">
        <f t="shared" si="173"/>
        <v>-3</v>
      </c>
      <c r="W182" s="49">
        <f t="shared" si="174"/>
        <v>23.35</v>
      </c>
      <c r="X182" s="49">
        <f t="shared" si="175"/>
        <v>-7.26</v>
      </c>
    </row>
    <row r="183" spans="1:24" x14ac:dyDescent="0.4">
      <c r="A183" s="1" t="s">
        <v>138</v>
      </c>
      <c r="B183" s="1" t="s">
        <v>83</v>
      </c>
      <c r="C183" s="1" t="s">
        <v>82</v>
      </c>
      <c r="D183" s="1" t="s">
        <v>233</v>
      </c>
      <c r="E183" s="1" t="s">
        <v>234</v>
      </c>
      <c r="F183" s="1" t="s">
        <v>126</v>
      </c>
      <c r="G183" s="1" t="s">
        <v>25</v>
      </c>
      <c r="H183" s="1">
        <v>25000</v>
      </c>
      <c r="J183" s="51">
        <v>45196</v>
      </c>
      <c r="L183" s="51">
        <v>45117</v>
      </c>
      <c r="M183" s="1" t="s">
        <v>135</v>
      </c>
      <c r="N183" s="1">
        <v>1</v>
      </c>
      <c r="O183" s="1">
        <v>3.7494999999999998</v>
      </c>
      <c r="P183" s="1">
        <v>93737.5</v>
      </c>
      <c r="Q183" s="1">
        <v>-2.42</v>
      </c>
      <c r="R183" s="1" t="s">
        <v>83</v>
      </c>
      <c r="T183" s="50">
        <f>IF(ISNUMBER(VLOOKUP(U183,Blotter!B:C,2,0)),VLOOKUP(U183,Blotter!B:C,2,0),"")</f>
        <v>8</v>
      </c>
      <c r="U183" s="49" t="str">
        <f t="shared" ref="U183" si="176">D183</f>
        <v>HGU3</v>
      </c>
      <c r="V183" s="49">
        <f t="shared" ref="V183" si="177">N183</f>
        <v>1</v>
      </c>
      <c r="W183" s="49">
        <f t="shared" ref="W183" si="178">O183</f>
        <v>3.7494999999999998</v>
      </c>
      <c r="X183" s="49">
        <f t="shared" ref="X183" si="179">Q183</f>
        <v>-2.42</v>
      </c>
    </row>
    <row r="184" spans="1:24" x14ac:dyDescent="0.4">
      <c r="A184" s="1" t="s">
        <v>138</v>
      </c>
      <c r="B184" s="1" t="s">
        <v>83</v>
      </c>
      <c r="C184" s="1" t="s">
        <v>82</v>
      </c>
      <c r="D184" s="1" t="s">
        <v>233</v>
      </c>
      <c r="E184" s="1" t="s">
        <v>234</v>
      </c>
      <c r="F184" s="1" t="s">
        <v>126</v>
      </c>
      <c r="G184" s="1" t="s">
        <v>25</v>
      </c>
      <c r="H184" s="1">
        <v>25000</v>
      </c>
      <c r="J184" s="51">
        <v>45196</v>
      </c>
      <c r="L184" s="51">
        <v>45117</v>
      </c>
      <c r="M184" s="1" t="s">
        <v>135</v>
      </c>
      <c r="N184" s="1">
        <v>1</v>
      </c>
      <c r="O184" s="1">
        <v>3.7494999999999998</v>
      </c>
      <c r="P184" s="1">
        <v>93737.5</v>
      </c>
      <c r="Q184" s="1">
        <v>-2.42</v>
      </c>
      <c r="R184" s="1" t="s">
        <v>83</v>
      </c>
      <c r="T184" s="50">
        <f>IF(ISNUMBER(VLOOKUP(U184,Blotter!B:C,2,0)),VLOOKUP(U184,Blotter!B:C,2,0),"")</f>
        <v>8</v>
      </c>
      <c r="U184" s="49" t="str">
        <f t="shared" ref="U184:U187" si="180">D184</f>
        <v>HGU3</v>
      </c>
      <c r="V184" s="49">
        <f t="shared" ref="V184:V187" si="181">N184</f>
        <v>1</v>
      </c>
      <c r="W184" s="49">
        <f t="shared" ref="W184:W187" si="182">O184</f>
        <v>3.7494999999999998</v>
      </c>
      <c r="X184" s="49">
        <f t="shared" ref="X184:X187" si="183">Q184</f>
        <v>-2.42</v>
      </c>
    </row>
    <row r="185" spans="1:24" x14ac:dyDescent="0.4">
      <c r="A185" s="1" t="s">
        <v>138</v>
      </c>
      <c r="B185" s="1" t="s">
        <v>83</v>
      </c>
      <c r="C185" s="1" t="s">
        <v>82</v>
      </c>
      <c r="D185" s="1" t="s">
        <v>233</v>
      </c>
      <c r="E185" s="1" t="s">
        <v>234</v>
      </c>
      <c r="F185" s="1" t="s">
        <v>126</v>
      </c>
      <c r="G185" s="1" t="s">
        <v>25</v>
      </c>
      <c r="H185" s="1">
        <v>25000</v>
      </c>
      <c r="J185" s="51">
        <v>45196</v>
      </c>
      <c r="L185" s="51">
        <v>45117</v>
      </c>
      <c r="M185" s="1" t="s">
        <v>139</v>
      </c>
      <c r="N185" s="1">
        <v>-2</v>
      </c>
      <c r="O185" s="1">
        <v>3.7749999999999999</v>
      </c>
      <c r="P185" s="1">
        <v>-188750</v>
      </c>
      <c r="Q185" s="1">
        <v>-4.84</v>
      </c>
      <c r="R185" s="1" t="s">
        <v>83</v>
      </c>
      <c r="T185" s="50">
        <f>IF(ISNUMBER(VLOOKUP(U185,Blotter!B:C,2,0)),VLOOKUP(U185,Blotter!B:C,2,0),"")</f>
        <v>8</v>
      </c>
      <c r="U185" s="49" t="str">
        <f t="shared" si="180"/>
        <v>HGU3</v>
      </c>
      <c r="V185" s="49">
        <f t="shared" si="181"/>
        <v>-2</v>
      </c>
      <c r="W185" s="49">
        <f t="shared" si="182"/>
        <v>3.7749999999999999</v>
      </c>
      <c r="X185" s="49">
        <f t="shared" si="183"/>
        <v>-4.84</v>
      </c>
    </row>
    <row r="186" spans="1:24" x14ac:dyDescent="0.4">
      <c r="A186" s="1" t="s">
        <v>138</v>
      </c>
      <c r="B186" s="1" t="s">
        <v>83</v>
      </c>
      <c r="C186" s="1" t="s">
        <v>82</v>
      </c>
      <c r="D186" s="1" t="s">
        <v>235</v>
      </c>
      <c r="E186" s="1" t="s">
        <v>236</v>
      </c>
      <c r="F186" s="1" t="s">
        <v>126</v>
      </c>
      <c r="G186" s="1" t="s">
        <v>27</v>
      </c>
      <c r="H186" s="1">
        <v>5000</v>
      </c>
      <c r="J186" s="51">
        <v>45196</v>
      </c>
      <c r="L186" s="51">
        <v>45117</v>
      </c>
      <c r="M186" s="1" t="s">
        <v>135</v>
      </c>
      <c r="N186" s="1">
        <v>5</v>
      </c>
      <c r="O186" s="1">
        <v>23.2</v>
      </c>
      <c r="P186" s="1">
        <v>580000</v>
      </c>
      <c r="Q186" s="1">
        <v>-12.1</v>
      </c>
      <c r="R186" s="1" t="s">
        <v>83</v>
      </c>
      <c r="T186" s="50">
        <f>IF(ISNUMBER(VLOOKUP(U186,Blotter!B:C,2,0)),VLOOKUP(U186,Blotter!B:C,2,0),"")</f>
        <v>6</v>
      </c>
      <c r="U186" s="49" t="str">
        <f t="shared" si="180"/>
        <v>SIU3</v>
      </c>
      <c r="V186" s="49">
        <f t="shared" si="181"/>
        <v>5</v>
      </c>
      <c r="W186" s="49">
        <f t="shared" si="182"/>
        <v>23.2</v>
      </c>
      <c r="X186" s="49">
        <f t="shared" si="183"/>
        <v>-12.1</v>
      </c>
    </row>
    <row r="187" spans="1:24" x14ac:dyDescent="0.4">
      <c r="A187" s="1" t="s">
        <v>138</v>
      </c>
      <c r="B187" s="1" t="s">
        <v>83</v>
      </c>
      <c r="C187" s="1" t="s">
        <v>82</v>
      </c>
      <c r="D187" s="1" t="s">
        <v>235</v>
      </c>
      <c r="E187" s="1" t="s">
        <v>236</v>
      </c>
      <c r="F187" s="1" t="s">
        <v>126</v>
      </c>
      <c r="G187" s="1" t="s">
        <v>27</v>
      </c>
      <c r="H187" s="1">
        <v>5000</v>
      </c>
      <c r="J187" s="51">
        <v>45196</v>
      </c>
      <c r="L187" s="51">
        <v>45117</v>
      </c>
      <c r="M187" s="1" t="s">
        <v>135</v>
      </c>
      <c r="N187" s="1">
        <v>3</v>
      </c>
      <c r="O187" s="1">
        <v>23.135000000000002</v>
      </c>
      <c r="P187" s="1">
        <v>347025</v>
      </c>
      <c r="Q187" s="1">
        <v>-7.26</v>
      </c>
      <c r="R187" s="1" t="s">
        <v>83</v>
      </c>
      <c r="T187" s="50">
        <f>IF(ISNUMBER(VLOOKUP(U187,Blotter!B:C,2,0)),VLOOKUP(U187,Blotter!B:C,2,0),"")</f>
        <v>6</v>
      </c>
      <c r="U187" s="49" t="str">
        <f t="shared" si="180"/>
        <v>SIU3</v>
      </c>
      <c r="V187" s="49">
        <f t="shared" si="181"/>
        <v>3</v>
      </c>
      <c r="W187" s="49">
        <f t="shared" si="182"/>
        <v>23.135000000000002</v>
      </c>
      <c r="X187" s="49">
        <f t="shared" si="183"/>
        <v>-7.26</v>
      </c>
    </row>
    <row r="188" spans="1:24" x14ac:dyDescent="0.4">
      <c r="A188" s="1" t="s">
        <v>138</v>
      </c>
      <c r="B188" s="1" t="s">
        <v>83</v>
      </c>
      <c r="C188" s="1" t="s">
        <v>82</v>
      </c>
      <c r="D188" s="1" t="s">
        <v>235</v>
      </c>
      <c r="E188" s="1" t="s">
        <v>236</v>
      </c>
      <c r="F188" s="1" t="s">
        <v>126</v>
      </c>
      <c r="G188" s="1" t="s">
        <v>27</v>
      </c>
      <c r="H188" s="1">
        <v>5000</v>
      </c>
      <c r="J188" s="51">
        <v>45196</v>
      </c>
      <c r="L188" s="51">
        <v>45117</v>
      </c>
      <c r="M188" s="1" t="s">
        <v>135</v>
      </c>
      <c r="N188" s="1">
        <v>2</v>
      </c>
      <c r="O188" s="1">
        <v>23.135000000000002</v>
      </c>
      <c r="P188" s="1">
        <v>231350</v>
      </c>
      <c r="Q188" s="1">
        <v>-4.84</v>
      </c>
      <c r="R188" s="1" t="s">
        <v>83</v>
      </c>
      <c r="T188" s="50">
        <f>IF(ISNUMBER(VLOOKUP(U188,Blotter!B:C,2,0)),VLOOKUP(U188,Blotter!B:C,2,0),"")</f>
        <v>6</v>
      </c>
      <c r="U188" s="49" t="str">
        <f t="shared" ref="U188:U191" si="184">D188</f>
        <v>SIU3</v>
      </c>
      <c r="V188" s="49">
        <f t="shared" ref="V188:V191" si="185">N188</f>
        <v>2</v>
      </c>
      <c r="W188" s="49">
        <f t="shared" ref="W188:W191" si="186">O188</f>
        <v>23.135000000000002</v>
      </c>
      <c r="X188" s="49">
        <f t="shared" ref="X188:X191" si="187">Q188</f>
        <v>-4.84</v>
      </c>
    </row>
    <row r="189" spans="1:24" x14ac:dyDescent="0.4">
      <c r="A189" s="1" t="s">
        <v>138</v>
      </c>
      <c r="B189" s="1" t="s">
        <v>83</v>
      </c>
      <c r="C189" s="1" t="s">
        <v>82</v>
      </c>
      <c r="D189" s="1" t="s">
        <v>235</v>
      </c>
      <c r="E189" s="1" t="s">
        <v>236</v>
      </c>
      <c r="F189" s="1" t="s">
        <v>126</v>
      </c>
      <c r="G189" s="1" t="s">
        <v>27</v>
      </c>
      <c r="H189" s="1">
        <v>5000</v>
      </c>
      <c r="J189" s="51">
        <v>45196</v>
      </c>
      <c r="L189" s="51">
        <v>45117</v>
      </c>
      <c r="M189" s="1" t="s">
        <v>139</v>
      </c>
      <c r="N189" s="1">
        <v>-5</v>
      </c>
      <c r="O189" s="1">
        <v>23.23</v>
      </c>
      <c r="P189" s="1">
        <v>-580750</v>
      </c>
      <c r="Q189" s="1">
        <v>-12.1</v>
      </c>
      <c r="R189" s="1" t="s">
        <v>83</v>
      </c>
      <c r="T189" s="50">
        <f>IF(ISNUMBER(VLOOKUP(U189,Blotter!B:C,2,0)),VLOOKUP(U189,Blotter!B:C,2,0),"")</f>
        <v>6</v>
      </c>
      <c r="U189" s="49" t="str">
        <f t="shared" si="184"/>
        <v>SIU3</v>
      </c>
      <c r="V189" s="49">
        <f t="shared" si="185"/>
        <v>-5</v>
      </c>
      <c r="W189" s="49">
        <f t="shared" si="186"/>
        <v>23.23</v>
      </c>
      <c r="X189" s="49">
        <f t="shared" si="187"/>
        <v>-12.1</v>
      </c>
    </row>
    <row r="190" spans="1:24" x14ac:dyDescent="0.4">
      <c r="A190" s="1" t="s">
        <v>138</v>
      </c>
      <c r="B190" s="1" t="s">
        <v>83</v>
      </c>
      <c r="C190" s="1" t="s">
        <v>82</v>
      </c>
      <c r="D190" s="1" t="s">
        <v>233</v>
      </c>
      <c r="E190" s="1" t="s">
        <v>234</v>
      </c>
      <c r="F190" s="1" t="s">
        <v>126</v>
      </c>
      <c r="G190" s="1" t="s">
        <v>25</v>
      </c>
      <c r="H190" s="1">
        <v>25000</v>
      </c>
      <c r="J190" s="51">
        <v>45196</v>
      </c>
      <c r="L190" s="51">
        <v>45118</v>
      </c>
      <c r="M190" s="1" t="s">
        <v>139</v>
      </c>
      <c r="N190" s="1">
        <v>-2</v>
      </c>
      <c r="O190" s="1">
        <v>3.82</v>
      </c>
      <c r="P190" s="1">
        <v>-191000</v>
      </c>
      <c r="Q190" s="1">
        <v>-4.84</v>
      </c>
      <c r="R190" s="1" t="s">
        <v>83</v>
      </c>
      <c r="T190" s="50">
        <f>IF(ISNUMBER(VLOOKUP(U190,Blotter!B:C,2,0)),VLOOKUP(U190,Blotter!B:C,2,0),"")</f>
        <v>8</v>
      </c>
      <c r="U190" s="49" t="str">
        <f t="shared" si="184"/>
        <v>HGU3</v>
      </c>
      <c r="V190" s="49">
        <f t="shared" si="185"/>
        <v>-2</v>
      </c>
      <c r="W190" s="49">
        <f t="shared" si="186"/>
        <v>3.82</v>
      </c>
      <c r="X190" s="49">
        <f t="shared" si="187"/>
        <v>-4.84</v>
      </c>
    </row>
    <row r="191" spans="1:24" x14ac:dyDescent="0.4">
      <c r="A191" s="1" t="s">
        <v>138</v>
      </c>
      <c r="B191" s="1" t="s">
        <v>83</v>
      </c>
      <c r="C191" s="1" t="s">
        <v>82</v>
      </c>
      <c r="D191" s="1" t="s">
        <v>257</v>
      </c>
      <c r="E191" s="1" t="s">
        <v>260</v>
      </c>
      <c r="F191" s="1" t="s">
        <v>100</v>
      </c>
      <c r="G191" s="1" t="s">
        <v>32</v>
      </c>
      <c r="H191" s="1">
        <v>112000</v>
      </c>
      <c r="J191" s="51">
        <v>45198</v>
      </c>
      <c r="L191" s="51">
        <v>45118</v>
      </c>
      <c r="M191" s="1" t="s">
        <v>135</v>
      </c>
      <c r="N191" s="1">
        <v>7</v>
      </c>
      <c r="O191" s="59">
        <v>23.35</v>
      </c>
      <c r="P191" s="1">
        <v>183064</v>
      </c>
      <c r="Q191" s="1">
        <v>-20.79</v>
      </c>
      <c r="R191" s="1" t="s">
        <v>83</v>
      </c>
      <c r="T191" s="50">
        <f>IF(ISNUMBER(VLOOKUP(U191,Blotter!B:C,2,0)),VLOOKUP(U191,Blotter!B:C,2,0),"")</f>
        <v>14</v>
      </c>
      <c r="U191" s="49" t="str">
        <f t="shared" si="184"/>
        <v>SBV3</v>
      </c>
      <c r="V191" s="49">
        <f t="shared" si="185"/>
        <v>7</v>
      </c>
      <c r="W191" s="49">
        <f t="shared" si="186"/>
        <v>23.35</v>
      </c>
      <c r="X191" s="49">
        <f t="shared" si="187"/>
        <v>-20.79</v>
      </c>
    </row>
    <row r="192" spans="1:24" x14ac:dyDescent="0.4">
      <c r="A192" s="1" t="s">
        <v>138</v>
      </c>
      <c r="B192" s="1" t="s">
        <v>83</v>
      </c>
      <c r="C192" s="1" t="s">
        <v>82</v>
      </c>
      <c r="D192" s="1" t="s">
        <v>235</v>
      </c>
      <c r="E192" s="1" t="s">
        <v>236</v>
      </c>
      <c r="F192" s="1" t="s">
        <v>126</v>
      </c>
      <c r="G192" s="1" t="s">
        <v>27</v>
      </c>
      <c r="H192" s="1">
        <v>5000</v>
      </c>
      <c r="J192" s="51">
        <v>45196</v>
      </c>
      <c r="L192" s="51">
        <v>45118</v>
      </c>
      <c r="M192" s="1" t="s">
        <v>135</v>
      </c>
      <c r="N192" s="1">
        <v>5</v>
      </c>
      <c r="O192" s="1">
        <v>23.45</v>
      </c>
      <c r="P192" s="1">
        <v>586250</v>
      </c>
      <c r="Q192" s="1">
        <v>-12.1</v>
      </c>
      <c r="R192" s="1" t="s">
        <v>83</v>
      </c>
      <c r="T192" s="50">
        <f>IF(ISNUMBER(VLOOKUP(U192,Blotter!B:C,2,0)),VLOOKUP(U192,Blotter!B:C,2,0),"")</f>
        <v>6</v>
      </c>
      <c r="U192" s="49" t="str">
        <f t="shared" ref="U192" si="188">D192</f>
        <v>SIU3</v>
      </c>
      <c r="V192" s="49">
        <f t="shared" ref="V192" si="189">N192</f>
        <v>5</v>
      </c>
      <c r="W192" s="49">
        <f t="shared" ref="W192" si="190">O192</f>
        <v>23.45</v>
      </c>
      <c r="X192" s="49">
        <f t="shared" ref="X192" si="191">Q192</f>
        <v>-12.1</v>
      </c>
    </row>
    <row r="193" spans="1:24" x14ac:dyDescent="0.4">
      <c r="A193" s="1" t="s">
        <v>138</v>
      </c>
      <c r="B193" s="1" t="s">
        <v>83</v>
      </c>
      <c r="C193" s="1" t="s">
        <v>82</v>
      </c>
      <c r="D193" s="1" t="s">
        <v>235</v>
      </c>
      <c r="E193" s="1" t="s">
        <v>236</v>
      </c>
      <c r="F193" s="1" t="s">
        <v>126</v>
      </c>
      <c r="G193" s="1" t="s">
        <v>27</v>
      </c>
      <c r="H193" s="1">
        <v>5000</v>
      </c>
      <c r="J193" s="51">
        <v>45196</v>
      </c>
      <c r="L193" s="51">
        <v>45118</v>
      </c>
      <c r="M193" s="1" t="s">
        <v>135</v>
      </c>
      <c r="N193" s="1">
        <v>5</v>
      </c>
      <c r="O193" s="1">
        <v>23.39</v>
      </c>
      <c r="P193" s="1">
        <v>584750</v>
      </c>
      <c r="Q193" s="1">
        <v>-12.1</v>
      </c>
      <c r="R193" s="1" t="s">
        <v>83</v>
      </c>
      <c r="T193" s="50">
        <f>IF(ISNUMBER(VLOOKUP(U193,Blotter!B:C,2,0)),VLOOKUP(U193,Blotter!B:C,2,0),"")</f>
        <v>6</v>
      </c>
      <c r="U193" s="49" t="str">
        <f t="shared" ref="U193" si="192">D193</f>
        <v>SIU3</v>
      </c>
      <c r="V193" s="49">
        <f t="shared" ref="V193" si="193">N193</f>
        <v>5</v>
      </c>
      <c r="W193" s="49">
        <f t="shared" ref="W193" si="194">O193</f>
        <v>23.39</v>
      </c>
      <c r="X193" s="49">
        <f t="shared" ref="X193" si="195">Q193</f>
        <v>-12.1</v>
      </c>
    </row>
    <row r="194" spans="1:24" x14ac:dyDescent="0.4">
      <c r="A194" s="1" t="s">
        <v>138</v>
      </c>
      <c r="B194" s="1" t="s">
        <v>83</v>
      </c>
      <c r="C194" s="1" t="s">
        <v>82</v>
      </c>
      <c r="D194" s="1" t="s">
        <v>235</v>
      </c>
      <c r="E194" s="1" t="s">
        <v>236</v>
      </c>
      <c r="F194" s="1" t="s">
        <v>126</v>
      </c>
      <c r="G194" s="1" t="s">
        <v>27</v>
      </c>
      <c r="H194" s="1">
        <v>5000</v>
      </c>
      <c r="J194" s="51">
        <v>45196</v>
      </c>
      <c r="L194" s="51">
        <v>45118</v>
      </c>
      <c r="M194" s="1" t="s">
        <v>139</v>
      </c>
      <c r="N194" s="1">
        <v>-5</v>
      </c>
      <c r="O194" s="1">
        <v>23.55</v>
      </c>
      <c r="P194" s="1">
        <v>-588750</v>
      </c>
      <c r="Q194" s="1">
        <v>-12.1</v>
      </c>
      <c r="R194" s="1" t="s">
        <v>83</v>
      </c>
      <c r="T194" s="50">
        <f>IF(ISNUMBER(VLOOKUP(U194,Blotter!B:C,2,0)),VLOOKUP(U194,Blotter!B:C,2,0),"")</f>
        <v>6</v>
      </c>
      <c r="U194" s="49" t="str">
        <f t="shared" ref="U194:U195" si="196">D194</f>
        <v>SIU3</v>
      </c>
      <c r="V194" s="49">
        <f t="shared" ref="V194:V195" si="197">N194</f>
        <v>-5</v>
      </c>
      <c r="W194" s="49">
        <f t="shared" ref="W194:W195" si="198">O194</f>
        <v>23.55</v>
      </c>
      <c r="X194" s="49">
        <f t="shared" ref="X194:X195" si="199">Q194</f>
        <v>-12.1</v>
      </c>
    </row>
    <row r="195" spans="1:24" x14ac:dyDescent="0.4">
      <c r="A195" s="1" t="s">
        <v>138</v>
      </c>
      <c r="B195" s="1" t="s">
        <v>83</v>
      </c>
      <c r="C195" s="1" t="s">
        <v>82</v>
      </c>
      <c r="D195" s="1" t="s">
        <v>235</v>
      </c>
      <c r="E195" s="1" t="s">
        <v>236</v>
      </c>
      <c r="F195" s="1" t="s">
        <v>126</v>
      </c>
      <c r="G195" s="1" t="s">
        <v>27</v>
      </c>
      <c r="H195" s="1">
        <v>5000</v>
      </c>
      <c r="J195" s="51">
        <v>45196</v>
      </c>
      <c r="L195" s="51">
        <v>45119</v>
      </c>
      <c r="M195" s="1" t="s">
        <v>139</v>
      </c>
      <c r="N195" s="1">
        <v>-2</v>
      </c>
      <c r="O195" s="1">
        <v>23.4</v>
      </c>
      <c r="P195" s="1">
        <v>-234000</v>
      </c>
      <c r="Q195" s="1">
        <v>-4.84</v>
      </c>
      <c r="R195" s="1" t="s">
        <v>83</v>
      </c>
      <c r="T195" s="50">
        <f>IF(ISNUMBER(VLOOKUP(U195,Blotter!B:C,2,0)),VLOOKUP(U195,Blotter!B:C,2,0),"")</f>
        <v>6</v>
      </c>
      <c r="U195" s="49" t="str">
        <f t="shared" si="196"/>
        <v>SIU3</v>
      </c>
      <c r="V195" s="49">
        <f t="shared" si="197"/>
        <v>-2</v>
      </c>
      <c r="W195" s="49">
        <f t="shared" si="198"/>
        <v>23.4</v>
      </c>
      <c r="X195" s="49">
        <f t="shared" si="199"/>
        <v>-4.84</v>
      </c>
    </row>
    <row r="196" spans="1:24" x14ac:dyDescent="0.4">
      <c r="A196" s="1" t="s">
        <v>138</v>
      </c>
      <c r="B196" s="1" t="s">
        <v>83</v>
      </c>
      <c r="C196" s="1" t="s">
        <v>82</v>
      </c>
      <c r="D196" s="1" t="s">
        <v>235</v>
      </c>
      <c r="E196" s="1" t="s">
        <v>236</v>
      </c>
      <c r="F196" s="1" t="s">
        <v>126</v>
      </c>
      <c r="G196" s="1" t="s">
        <v>27</v>
      </c>
      <c r="H196" s="1">
        <v>5000</v>
      </c>
      <c r="J196" s="51">
        <v>45196</v>
      </c>
      <c r="L196" s="51">
        <v>45119</v>
      </c>
      <c r="M196" s="1" t="s">
        <v>139</v>
      </c>
      <c r="N196" s="1">
        <v>-1</v>
      </c>
      <c r="O196" s="1">
        <v>23.4</v>
      </c>
      <c r="P196" s="1">
        <v>-117000</v>
      </c>
      <c r="Q196" s="1">
        <v>-2.42</v>
      </c>
      <c r="R196" s="1" t="s">
        <v>83</v>
      </c>
      <c r="T196" s="50">
        <f>IF(ISNUMBER(VLOOKUP(U196,Blotter!B:C,2,0)),VLOOKUP(U196,Blotter!B:C,2,0),"")</f>
        <v>6</v>
      </c>
      <c r="U196" s="49" t="str">
        <f t="shared" ref="U196:U201" si="200">D196</f>
        <v>SIU3</v>
      </c>
      <c r="V196" s="49">
        <f t="shared" ref="V196:V201" si="201">N196</f>
        <v>-1</v>
      </c>
      <c r="W196" s="49">
        <f t="shared" ref="W196:W201" si="202">O196</f>
        <v>23.4</v>
      </c>
      <c r="X196" s="49">
        <f t="shared" ref="X196:X201" si="203">Q196</f>
        <v>-2.42</v>
      </c>
    </row>
    <row r="197" spans="1:24" x14ac:dyDescent="0.4">
      <c r="A197" s="1" t="s">
        <v>138</v>
      </c>
      <c r="B197" s="1" t="s">
        <v>83</v>
      </c>
      <c r="C197" s="1" t="s">
        <v>82</v>
      </c>
      <c r="D197" s="1" t="s">
        <v>235</v>
      </c>
      <c r="E197" s="1" t="s">
        <v>236</v>
      </c>
      <c r="F197" s="1" t="s">
        <v>126</v>
      </c>
      <c r="G197" s="1" t="s">
        <v>27</v>
      </c>
      <c r="H197" s="1">
        <v>5000</v>
      </c>
      <c r="J197" s="51">
        <v>45196</v>
      </c>
      <c r="L197" s="51">
        <v>45119</v>
      </c>
      <c r="M197" s="1" t="s">
        <v>139</v>
      </c>
      <c r="N197" s="1">
        <v>-2</v>
      </c>
      <c r="O197" s="1">
        <v>23.4</v>
      </c>
      <c r="P197" s="1">
        <v>-234000</v>
      </c>
      <c r="Q197" s="1">
        <v>-4.84</v>
      </c>
      <c r="R197" s="1" t="s">
        <v>83</v>
      </c>
      <c r="T197" s="50">
        <f>IF(ISNUMBER(VLOOKUP(U197,Blotter!B:C,2,0)),VLOOKUP(U197,Blotter!B:C,2,0),"")</f>
        <v>6</v>
      </c>
      <c r="U197" s="49" t="str">
        <f t="shared" si="200"/>
        <v>SIU3</v>
      </c>
      <c r="V197" s="49">
        <f t="shared" si="201"/>
        <v>-2</v>
      </c>
      <c r="W197" s="49">
        <f t="shared" si="202"/>
        <v>23.4</v>
      </c>
      <c r="X197" s="49">
        <f t="shared" si="203"/>
        <v>-4.84</v>
      </c>
    </row>
    <row r="198" spans="1:24" x14ac:dyDescent="0.4">
      <c r="A198" s="1" t="s">
        <v>138</v>
      </c>
      <c r="B198" s="1" t="s">
        <v>83</v>
      </c>
      <c r="C198" s="1" t="s">
        <v>82</v>
      </c>
      <c r="D198" s="1" t="s">
        <v>235</v>
      </c>
      <c r="E198" s="1" t="s">
        <v>236</v>
      </c>
      <c r="F198" s="1" t="s">
        <v>126</v>
      </c>
      <c r="G198" s="1" t="s">
        <v>27</v>
      </c>
      <c r="H198" s="1">
        <v>5000</v>
      </c>
      <c r="J198" s="51">
        <v>45196</v>
      </c>
      <c r="L198" s="51">
        <v>45119</v>
      </c>
      <c r="M198" s="1" t="s">
        <v>139</v>
      </c>
      <c r="N198" s="1">
        <v>-3</v>
      </c>
      <c r="O198" s="1">
        <v>23.65</v>
      </c>
      <c r="P198" s="1">
        <v>-354750</v>
      </c>
      <c r="Q198" s="1">
        <v>-7.26</v>
      </c>
      <c r="R198" s="1" t="s">
        <v>83</v>
      </c>
      <c r="T198" s="50">
        <f>IF(ISNUMBER(VLOOKUP(U198,Blotter!B:C,2,0)),VLOOKUP(U198,Blotter!B:C,2,0),"")</f>
        <v>6</v>
      </c>
      <c r="U198" s="49" t="str">
        <f t="shared" si="200"/>
        <v>SIU3</v>
      </c>
      <c r="V198" s="49">
        <f t="shared" si="201"/>
        <v>-3</v>
      </c>
      <c r="W198" s="49">
        <f t="shared" si="202"/>
        <v>23.65</v>
      </c>
      <c r="X198" s="49">
        <f t="shared" si="203"/>
        <v>-7.26</v>
      </c>
    </row>
    <row r="199" spans="1:24" x14ac:dyDescent="0.4">
      <c r="A199" s="1" t="s">
        <v>138</v>
      </c>
      <c r="B199" s="1" t="s">
        <v>83</v>
      </c>
      <c r="C199" s="1" t="s">
        <v>82</v>
      </c>
      <c r="D199" s="1" t="s">
        <v>235</v>
      </c>
      <c r="E199" s="1" t="s">
        <v>236</v>
      </c>
      <c r="F199" s="1" t="s">
        <v>126</v>
      </c>
      <c r="G199" s="1" t="s">
        <v>27</v>
      </c>
      <c r="H199" s="1">
        <v>5000</v>
      </c>
      <c r="J199" s="51">
        <v>45196</v>
      </c>
      <c r="L199" s="51">
        <v>45119</v>
      </c>
      <c r="M199" s="1" t="s">
        <v>139</v>
      </c>
      <c r="N199" s="1">
        <v>-2</v>
      </c>
      <c r="O199" s="1">
        <v>23.75</v>
      </c>
      <c r="P199" s="1">
        <v>-237500</v>
      </c>
      <c r="Q199" s="1">
        <v>-4.84</v>
      </c>
      <c r="R199" s="1" t="s">
        <v>83</v>
      </c>
      <c r="T199" s="50">
        <f>IF(ISNUMBER(VLOOKUP(U199,Blotter!B:C,2,0)),VLOOKUP(U199,Blotter!B:C,2,0),"")</f>
        <v>6</v>
      </c>
      <c r="U199" s="49" t="str">
        <f t="shared" si="200"/>
        <v>SIU3</v>
      </c>
      <c r="V199" s="49">
        <f t="shared" si="201"/>
        <v>-2</v>
      </c>
      <c r="W199" s="49">
        <f t="shared" si="202"/>
        <v>23.75</v>
      </c>
      <c r="X199" s="49">
        <f t="shared" si="203"/>
        <v>-4.84</v>
      </c>
    </row>
    <row r="200" spans="1:24" x14ac:dyDescent="0.4">
      <c r="A200" s="1" t="s">
        <v>138</v>
      </c>
      <c r="B200" s="1" t="s">
        <v>83</v>
      </c>
      <c r="C200" s="1" t="s">
        <v>82</v>
      </c>
      <c r="D200" s="1" t="s">
        <v>235</v>
      </c>
      <c r="E200" s="1" t="s">
        <v>236</v>
      </c>
      <c r="F200" s="1" t="s">
        <v>126</v>
      </c>
      <c r="G200" s="1" t="s">
        <v>27</v>
      </c>
      <c r="H200" s="1">
        <v>5000</v>
      </c>
      <c r="J200" s="51">
        <v>45196</v>
      </c>
      <c r="L200" s="51">
        <v>45119</v>
      </c>
      <c r="M200" s="1" t="s">
        <v>139</v>
      </c>
      <c r="N200" s="1">
        <v>-3</v>
      </c>
      <c r="O200" s="1">
        <v>24.08</v>
      </c>
      <c r="P200" s="1">
        <v>-361200</v>
      </c>
      <c r="Q200" s="1">
        <v>-7.26</v>
      </c>
      <c r="R200" s="1" t="s">
        <v>83</v>
      </c>
      <c r="T200" s="50">
        <f>IF(ISNUMBER(VLOOKUP(U200,Blotter!B:C,2,0)),VLOOKUP(U200,Blotter!B:C,2,0),"")</f>
        <v>6</v>
      </c>
      <c r="U200" s="49" t="str">
        <f t="shared" si="200"/>
        <v>SIU3</v>
      </c>
      <c r="V200" s="49">
        <f t="shared" si="201"/>
        <v>-3</v>
      </c>
      <c r="W200" s="49">
        <f t="shared" si="202"/>
        <v>24.08</v>
      </c>
      <c r="X200" s="49">
        <f t="shared" si="203"/>
        <v>-7.26</v>
      </c>
    </row>
    <row r="201" spans="1:24" x14ac:dyDescent="0.4">
      <c r="A201" s="1" t="s">
        <v>138</v>
      </c>
      <c r="B201" s="1" t="s">
        <v>83</v>
      </c>
      <c r="C201" s="1" t="s">
        <v>82</v>
      </c>
      <c r="D201" s="1" t="s">
        <v>235</v>
      </c>
      <c r="E201" s="1" t="s">
        <v>236</v>
      </c>
      <c r="F201" s="1" t="s">
        <v>126</v>
      </c>
      <c r="G201" s="1" t="s">
        <v>27</v>
      </c>
      <c r="H201" s="1">
        <v>5000</v>
      </c>
      <c r="J201" s="51">
        <v>45196</v>
      </c>
      <c r="L201" s="51">
        <v>45119</v>
      </c>
      <c r="M201" s="1" t="s">
        <v>139</v>
      </c>
      <c r="N201" s="1">
        <v>-2</v>
      </c>
      <c r="O201" s="1">
        <v>24.28</v>
      </c>
      <c r="P201" s="1">
        <v>-242800</v>
      </c>
      <c r="Q201" s="1">
        <v>-4.84</v>
      </c>
      <c r="R201" s="1" t="s">
        <v>83</v>
      </c>
      <c r="T201" s="50">
        <f>IF(ISNUMBER(VLOOKUP(U201,Blotter!B:C,2,0)),VLOOKUP(U201,Blotter!B:C,2,0),"")</f>
        <v>6</v>
      </c>
      <c r="U201" s="49" t="str">
        <f t="shared" si="200"/>
        <v>SIU3</v>
      </c>
      <c r="V201" s="49">
        <f t="shared" si="201"/>
        <v>-2</v>
      </c>
      <c r="W201" s="49">
        <f t="shared" si="202"/>
        <v>24.28</v>
      </c>
      <c r="X201" s="49">
        <f t="shared" si="203"/>
        <v>-4.84</v>
      </c>
    </row>
    <row r="202" spans="1:24" x14ac:dyDescent="0.4">
      <c r="A202" s="1" t="s">
        <v>138</v>
      </c>
      <c r="B202" s="1" t="s">
        <v>83</v>
      </c>
      <c r="C202" s="1" t="s">
        <v>82</v>
      </c>
      <c r="D202" s="1" t="s">
        <v>257</v>
      </c>
      <c r="E202" s="1" t="s">
        <v>260</v>
      </c>
      <c r="F202" s="1" t="s">
        <v>100</v>
      </c>
      <c r="G202" s="1" t="s">
        <v>32</v>
      </c>
      <c r="H202" s="1">
        <v>112000</v>
      </c>
      <c r="J202" s="51">
        <v>45198</v>
      </c>
      <c r="L202" s="51">
        <v>45126</v>
      </c>
      <c r="M202" s="1" t="s">
        <v>135</v>
      </c>
      <c r="N202" s="1">
        <v>7</v>
      </c>
      <c r="O202" s="59">
        <v>23.85</v>
      </c>
      <c r="P202" s="1">
        <v>186984</v>
      </c>
      <c r="Q202" s="1">
        <v>-20.79</v>
      </c>
      <c r="R202" s="1" t="s">
        <v>83</v>
      </c>
      <c r="T202" s="50">
        <f>IF(ISNUMBER(VLOOKUP(U202,Blotter!B:C,2,0)),VLOOKUP(U202,Blotter!B:C,2,0),"")</f>
        <v>14</v>
      </c>
      <c r="U202" s="49" t="str">
        <f t="shared" ref="U202:U204" si="204">D202</f>
        <v>SBV3</v>
      </c>
      <c r="V202" s="49">
        <f t="shared" ref="V202:V204" si="205">N202</f>
        <v>7</v>
      </c>
      <c r="W202" s="49">
        <f t="shared" ref="W202:W204" si="206">O202</f>
        <v>23.85</v>
      </c>
      <c r="X202" s="49">
        <f t="shared" ref="X202:X204" si="207">Q202</f>
        <v>-20.79</v>
      </c>
    </row>
    <row r="203" spans="1:24" x14ac:dyDescent="0.4">
      <c r="A203" s="1" t="s">
        <v>138</v>
      </c>
      <c r="B203" s="1" t="s">
        <v>83</v>
      </c>
      <c r="C203" s="1" t="s">
        <v>82</v>
      </c>
      <c r="D203" s="1" t="s">
        <v>235</v>
      </c>
      <c r="E203" s="1" t="s">
        <v>236</v>
      </c>
      <c r="F203" s="1" t="s">
        <v>126</v>
      </c>
      <c r="G203" s="1" t="s">
        <v>27</v>
      </c>
      <c r="H203" s="1">
        <v>5000</v>
      </c>
      <c r="J203" s="51">
        <v>45196</v>
      </c>
      <c r="L203" s="51">
        <v>45126</v>
      </c>
      <c r="M203" s="1" t="s">
        <v>135</v>
      </c>
      <c r="N203" s="1">
        <v>20</v>
      </c>
      <c r="O203" s="1">
        <v>25.15</v>
      </c>
      <c r="P203" s="1">
        <v>2515000</v>
      </c>
      <c r="Q203" s="1">
        <v>-48.4</v>
      </c>
      <c r="R203" s="1" t="s">
        <v>83</v>
      </c>
      <c r="T203" s="50">
        <f>IF(ISNUMBER(VLOOKUP(U203,Blotter!B:C,2,0)),VLOOKUP(U203,Blotter!B:C,2,0),"")</f>
        <v>6</v>
      </c>
      <c r="U203" s="49" t="str">
        <f t="shared" si="204"/>
        <v>SIU3</v>
      </c>
      <c r="V203" s="49">
        <f t="shared" si="205"/>
        <v>20</v>
      </c>
      <c r="W203" s="49">
        <f t="shared" si="206"/>
        <v>25.15</v>
      </c>
      <c r="X203" s="49">
        <f t="shared" si="207"/>
        <v>-48.4</v>
      </c>
    </row>
    <row r="204" spans="1:24" x14ac:dyDescent="0.4">
      <c r="A204" s="1" t="s">
        <v>138</v>
      </c>
      <c r="B204" s="1" t="s">
        <v>83</v>
      </c>
      <c r="C204" s="1" t="s">
        <v>82</v>
      </c>
      <c r="D204" s="1" t="s">
        <v>235</v>
      </c>
      <c r="E204" s="1" t="s">
        <v>236</v>
      </c>
      <c r="F204" s="1" t="s">
        <v>126</v>
      </c>
      <c r="G204" s="1" t="s">
        <v>27</v>
      </c>
      <c r="H204" s="1">
        <v>5000</v>
      </c>
      <c r="J204" s="51">
        <v>45196</v>
      </c>
      <c r="L204" s="51">
        <v>45126</v>
      </c>
      <c r="M204" s="1" t="s">
        <v>135</v>
      </c>
      <c r="N204" s="1">
        <v>5</v>
      </c>
      <c r="O204" s="1">
        <v>25.32</v>
      </c>
      <c r="P204" s="1">
        <v>633000</v>
      </c>
      <c r="Q204" s="1">
        <v>-12.1</v>
      </c>
      <c r="R204" s="1" t="s">
        <v>83</v>
      </c>
      <c r="T204" s="50">
        <f>IF(ISNUMBER(VLOOKUP(U204,Blotter!B:C,2,0)),VLOOKUP(U204,Blotter!B:C,2,0),"")</f>
        <v>6</v>
      </c>
      <c r="U204" s="49" t="str">
        <f t="shared" si="204"/>
        <v>SIU3</v>
      </c>
      <c r="V204" s="49">
        <f t="shared" si="205"/>
        <v>5</v>
      </c>
      <c r="W204" s="49">
        <f t="shared" si="206"/>
        <v>25.32</v>
      </c>
      <c r="X204" s="49">
        <f t="shared" si="207"/>
        <v>-12.1</v>
      </c>
    </row>
    <row r="205" spans="1:24" x14ac:dyDescent="0.4">
      <c r="A205" s="1" t="s">
        <v>138</v>
      </c>
      <c r="B205" s="1" t="s">
        <v>83</v>
      </c>
      <c r="C205" s="1" t="s">
        <v>82</v>
      </c>
      <c r="D205" s="1" t="s">
        <v>235</v>
      </c>
      <c r="E205" s="1" t="s">
        <v>236</v>
      </c>
      <c r="F205" s="1" t="s">
        <v>126</v>
      </c>
      <c r="G205" s="1" t="s">
        <v>27</v>
      </c>
      <c r="H205" s="1">
        <v>5000</v>
      </c>
      <c r="J205" s="51">
        <v>45196</v>
      </c>
      <c r="L205" s="51">
        <v>45126</v>
      </c>
      <c r="M205" s="1" t="s">
        <v>135</v>
      </c>
      <c r="N205" s="1">
        <v>10</v>
      </c>
      <c r="O205" s="1">
        <v>25.25</v>
      </c>
      <c r="P205" s="1">
        <v>1262500</v>
      </c>
      <c r="Q205" s="1">
        <v>-24.2</v>
      </c>
      <c r="R205" s="1" t="s">
        <v>83</v>
      </c>
      <c r="T205" s="50">
        <f>IF(ISNUMBER(VLOOKUP(U205,Blotter!B:C,2,0)),VLOOKUP(U205,Blotter!B:C,2,0),"")</f>
        <v>6</v>
      </c>
      <c r="U205" s="49" t="str">
        <f t="shared" ref="U205" si="208">D205</f>
        <v>SIU3</v>
      </c>
      <c r="V205" s="49">
        <f t="shared" ref="V205" si="209">N205</f>
        <v>10</v>
      </c>
      <c r="W205" s="49">
        <f t="shared" ref="W205" si="210">O205</f>
        <v>25.25</v>
      </c>
      <c r="X205" s="49">
        <f t="shared" ref="X205" si="211">Q205</f>
        <v>-24.2</v>
      </c>
    </row>
    <row r="206" spans="1:24" x14ac:dyDescent="0.4">
      <c r="A206" s="1" t="s">
        <v>138</v>
      </c>
      <c r="B206" s="1" t="s">
        <v>83</v>
      </c>
      <c r="C206" s="1" t="s">
        <v>82</v>
      </c>
      <c r="D206" s="1" t="s">
        <v>235</v>
      </c>
      <c r="E206" s="1" t="s">
        <v>236</v>
      </c>
      <c r="F206" s="1" t="s">
        <v>126</v>
      </c>
      <c r="G206" s="1" t="s">
        <v>27</v>
      </c>
      <c r="H206" s="1">
        <v>5000</v>
      </c>
      <c r="J206" s="51">
        <v>45196</v>
      </c>
      <c r="L206" s="51">
        <v>45126</v>
      </c>
      <c r="M206" s="1" t="s">
        <v>135</v>
      </c>
      <c r="N206" s="1">
        <v>5</v>
      </c>
      <c r="O206" s="1">
        <v>25.34</v>
      </c>
      <c r="P206" s="1">
        <v>633500</v>
      </c>
      <c r="Q206" s="1">
        <v>-12.1</v>
      </c>
      <c r="R206" s="1" t="s">
        <v>83</v>
      </c>
      <c r="T206" s="50">
        <f>IF(ISNUMBER(VLOOKUP(U206,Blotter!B:C,2,0)),VLOOKUP(U206,Blotter!B:C,2,0),"")</f>
        <v>6</v>
      </c>
      <c r="U206" s="49" t="str">
        <f t="shared" ref="U206" si="212">D206</f>
        <v>SIU3</v>
      </c>
      <c r="V206" s="49">
        <f t="shared" ref="V206" si="213">N206</f>
        <v>5</v>
      </c>
      <c r="W206" s="49">
        <f t="shared" ref="W206" si="214">O206</f>
        <v>25.34</v>
      </c>
      <c r="X206" s="49">
        <f t="shared" ref="X206" si="215">Q206</f>
        <v>-12.1</v>
      </c>
    </row>
    <row r="207" spans="1:24" x14ac:dyDescent="0.4">
      <c r="A207" s="1" t="s">
        <v>138</v>
      </c>
      <c r="B207" s="1" t="s">
        <v>83</v>
      </c>
      <c r="C207" s="1" t="s">
        <v>82</v>
      </c>
      <c r="D207" s="1" t="s">
        <v>235</v>
      </c>
      <c r="E207" s="1" t="s">
        <v>236</v>
      </c>
      <c r="F207" s="1" t="s">
        <v>126</v>
      </c>
      <c r="G207" s="1" t="s">
        <v>27</v>
      </c>
      <c r="H207" s="1">
        <v>5000</v>
      </c>
      <c r="J207" s="51">
        <v>45196</v>
      </c>
      <c r="L207" s="51">
        <v>45126</v>
      </c>
      <c r="M207" s="1" t="s">
        <v>139</v>
      </c>
      <c r="N207" s="1">
        <v>-5</v>
      </c>
      <c r="O207" s="1">
        <v>25.25</v>
      </c>
      <c r="P207" s="1">
        <v>-631250</v>
      </c>
      <c r="Q207" s="1">
        <v>-12.1</v>
      </c>
      <c r="R207" s="1" t="s">
        <v>83</v>
      </c>
      <c r="T207" s="50">
        <f>IF(ISNUMBER(VLOOKUP(U207,Blotter!B:C,2,0)),VLOOKUP(U207,Blotter!B:C,2,0),"")</f>
        <v>6</v>
      </c>
      <c r="U207" s="49" t="str">
        <f t="shared" ref="U207" si="216">D207</f>
        <v>SIU3</v>
      </c>
      <c r="V207" s="49">
        <f t="shared" ref="V207" si="217">N207</f>
        <v>-5</v>
      </c>
      <c r="W207" s="49">
        <f t="shared" ref="W207" si="218">O207</f>
        <v>25.25</v>
      </c>
      <c r="X207" s="49">
        <f t="shared" ref="X207" si="219">Q207</f>
        <v>-12.1</v>
      </c>
    </row>
    <row r="208" spans="1:24" x14ac:dyDescent="0.4">
      <c r="A208" s="1" t="s">
        <v>138</v>
      </c>
      <c r="B208" s="1" t="s">
        <v>83</v>
      </c>
      <c r="C208" s="1" t="s">
        <v>82</v>
      </c>
      <c r="D208" s="1" t="s">
        <v>235</v>
      </c>
      <c r="E208" s="1" t="s">
        <v>236</v>
      </c>
      <c r="F208" s="1" t="s">
        <v>126</v>
      </c>
      <c r="G208" s="1" t="s">
        <v>27</v>
      </c>
      <c r="H208" s="1">
        <v>5000</v>
      </c>
      <c r="J208" s="51">
        <v>45196</v>
      </c>
      <c r="L208" s="51">
        <v>45126</v>
      </c>
      <c r="M208" s="1" t="s">
        <v>139</v>
      </c>
      <c r="N208" s="1">
        <v>-5</v>
      </c>
      <c r="O208" s="1">
        <v>25.45</v>
      </c>
      <c r="P208" s="1">
        <v>-636250</v>
      </c>
      <c r="Q208" s="1">
        <v>-12.1</v>
      </c>
      <c r="R208" s="1" t="s">
        <v>83</v>
      </c>
      <c r="T208" s="50">
        <f>IF(ISNUMBER(VLOOKUP(U208,Blotter!B:C,2,0)),VLOOKUP(U208,Blotter!B:C,2,0),"")</f>
        <v>6</v>
      </c>
      <c r="U208" s="49" t="str">
        <f t="shared" ref="U208" si="220">D208</f>
        <v>SIU3</v>
      </c>
      <c r="V208" s="49">
        <f t="shared" ref="V208" si="221">N208</f>
        <v>-5</v>
      </c>
      <c r="W208" s="49">
        <f t="shared" ref="W208" si="222">O208</f>
        <v>25.45</v>
      </c>
      <c r="X208" s="49">
        <f t="shared" ref="X208" si="223">Q208</f>
        <v>-12.1</v>
      </c>
    </row>
    <row r="209" spans="1:24" x14ac:dyDescent="0.4">
      <c r="A209" s="1" t="s">
        <v>138</v>
      </c>
      <c r="B209" s="1" t="s">
        <v>83</v>
      </c>
      <c r="C209" s="1" t="s">
        <v>82</v>
      </c>
      <c r="D209" s="1" t="s">
        <v>235</v>
      </c>
      <c r="E209" s="1" t="s">
        <v>236</v>
      </c>
      <c r="F209" s="1" t="s">
        <v>126</v>
      </c>
      <c r="G209" s="1" t="s">
        <v>27</v>
      </c>
      <c r="H209" s="1">
        <v>5000</v>
      </c>
      <c r="J209" s="51">
        <v>45196</v>
      </c>
      <c r="L209" s="51">
        <v>45126</v>
      </c>
      <c r="M209" s="1" t="s">
        <v>139</v>
      </c>
      <c r="N209" s="1">
        <v>-10</v>
      </c>
      <c r="O209" s="1">
        <v>25.4</v>
      </c>
      <c r="P209" s="1">
        <v>-1270000</v>
      </c>
      <c r="Q209" s="1">
        <v>-24.2</v>
      </c>
      <c r="R209" s="1" t="s">
        <v>83</v>
      </c>
      <c r="T209" s="50">
        <f>IF(ISNUMBER(VLOOKUP(U209,Blotter!B:C,2,0)),VLOOKUP(U209,Blotter!B:C,2,0),"")</f>
        <v>6</v>
      </c>
      <c r="U209" s="49" t="str">
        <f t="shared" ref="U209" si="224">D209</f>
        <v>SIU3</v>
      </c>
      <c r="V209" s="49">
        <f t="shared" ref="V209" si="225">N209</f>
        <v>-10</v>
      </c>
      <c r="W209" s="49">
        <f t="shared" ref="W209" si="226">O209</f>
        <v>25.4</v>
      </c>
      <c r="X209" s="49">
        <f t="shared" ref="X209" si="227">Q209</f>
        <v>-24.2</v>
      </c>
    </row>
    <row r="210" spans="1:24" x14ac:dyDescent="0.4">
      <c r="A210" s="1" t="s">
        <v>138</v>
      </c>
      <c r="B210" s="1" t="s">
        <v>83</v>
      </c>
      <c r="C210" s="1" t="s">
        <v>82</v>
      </c>
      <c r="D210" s="1" t="s">
        <v>235</v>
      </c>
      <c r="E210" s="1" t="s">
        <v>236</v>
      </c>
      <c r="F210" s="1" t="s">
        <v>126</v>
      </c>
      <c r="G210" s="1" t="s">
        <v>27</v>
      </c>
      <c r="H210" s="1">
        <v>5000</v>
      </c>
      <c r="J210" s="51">
        <v>45196</v>
      </c>
      <c r="L210" s="51">
        <v>45126</v>
      </c>
      <c r="M210" s="1" t="s">
        <v>139</v>
      </c>
      <c r="N210" s="1">
        <v>-5</v>
      </c>
      <c r="O210" s="1">
        <v>25.26</v>
      </c>
      <c r="P210" s="1">
        <v>-631500</v>
      </c>
      <c r="Q210" s="1">
        <v>-12.1</v>
      </c>
      <c r="R210" s="1" t="s">
        <v>83</v>
      </c>
      <c r="T210" s="50">
        <f>IF(ISNUMBER(VLOOKUP(U210,Blotter!B:C,2,0)),VLOOKUP(U210,Blotter!B:C,2,0),"")</f>
        <v>6</v>
      </c>
      <c r="U210" s="49" t="str">
        <f t="shared" ref="U210" si="228">D210</f>
        <v>SIU3</v>
      </c>
      <c r="V210" s="49">
        <f t="shared" ref="V210" si="229">N210</f>
        <v>-5</v>
      </c>
      <c r="W210" s="49">
        <f t="shared" ref="W210" si="230">O210</f>
        <v>25.26</v>
      </c>
      <c r="X210" s="49">
        <f t="shared" ref="X210" si="231">Q210</f>
        <v>-12.1</v>
      </c>
    </row>
    <row r="211" spans="1:24" x14ac:dyDescent="0.4">
      <c r="A211" s="1" t="s">
        <v>138</v>
      </c>
      <c r="B211" s="1" t="s">
        <v>83</v>
      </c>
      <c r="C211" s="1" t="s">
        <v>82</v>
      </c>
      <c r="D211" s="1" t="s">
        <v>235</v>
      </c>
      <c r="E211" s="1" t="s">
        <v>236</v>
      </c>
      <c r="F211" s="1" t="s">
        <v>126</v>
      </c>
      <c r="G211" s="1" t="s">
        <v>27</v>
      </c>
      <c r="H211" s="1">
        <v>5000</v>
      </c>
      <c r="J211" s="51">
        <v>45196</v>
      </c>
      <c r="L211" s="51">
        <v>45126</v>
      </c>
      <c r="M211" s="1" t="s">
        <v>139</v>
      </c>
      <c r="N211" s="1">
        <v>-5</v>
      </c>
      <c r="O211" s="1">
        <v>25.3</v>
      </c>
      <c r="P211" s="1">
        <v>-632500</v>
      </c>
      <c r="Q211" s="1">
        <v>-12.1</v>
      </c>
      <c r="R211" s="1" t="s">
        <v>83</v>
      </c>
      <c r="T211" s="50">
        <f>IF(ISNUMBER(VLOOKUP(U211,Blotter!B:C,2,0)),VLOOKUP(U211,Blotter!B:C,2,0),"")</f>
        <v>6</v>
      </c>
      <c r="U211" s="49" t="str">
        <f t="shared" ref="U211:U212" si="232">D211</f>
        <v>SIU3</v>
      </c>
      <c r="V211" s="49">
        <f t="shared" ref="V211:V212" si="233">N211</f>
        <v>-5</v>
      </c>
      <c r="W211" s="49">
        <f t="shared" ref="W211:W212" si="234">O211</f>
        <v>25.3</v>
      </c>
      <c r="X211" s="49">
        <f t="shared" ref="X211:X212" si="235">Q211</f>
        <v>-12.1</v>
      </c>
    </row>
    <row r="212" spans="1:24" x14ac:dyDescent="0.4">
      <c r="A212" s="1" t="s">
        <v>138</v>
      </c>
      <c r="B212" s="1" t="s">
        <v>83</v>
      </c>
      <c r="C212" s="1" t="s">
        <v>82</v>
      </c>
      <c r="D212" s="1" t="s">
        <v>235</v>
      </c>
      <c r="E212" s="1" t="s">
        <v>236</v>
      </c>
      <c r="F212" s="1" t="s">
        <v>126</v>
      </c>
      <c r="G212" s="1" t="s">
        <v>27</v>
      </c>
      <c r="H212" s="1">
        <v>5000</v>
      </c>
      <c r="J212" s="51">
        <v>45196</v>
      </c>
      <c r="L212" s="51">
        <v>45126</v>
      </c>
      <c r="M212" s="1" t="s">
        <v>139</v>
      </c>
      <c r="N212" s="1">
        <v>-5</v>
      </c>
      <c r="O212" s="1">
        <v>25.38</v>
      </c>
      <c r="P212" s="1">
        <v>-634500</v>
      </c>
      <c r="Q212" s="1">
        <v>-12.1</v>
      </c>
      <c r="R212" s="1" t="s">
        <v>83</v>
      </c>
      <c r="T212" s="50">
        <f>IF(ISNUMBER(VLOOKUP(U212,Blotter!B:C,2,0)),VLOOKUP(U212,Blotter!B:C,2,0),"")</f>
        <v>6</v>
      </c>
      <c r="U212" s="49" t="str">
        <f t="shared" si="232"/>
        <v>SIU3</v>
      </c>
      <c r="V212" s="49">
        <f t="shared" si="233"/>
        <v>-5</v>
      </c>
      <c r="W212" s="49">
        <f t="shared" si="234"/>
        <v>25.38</v>
      </c>
      <c r="X212" s="49">
        <f t="shared" si="235"/>
        <v>-12.1</v>
      </c>
    </row>
    <row r="213" spans="1:24" x14ac:dyDescent="0.4">
      <c r="A213" s="1" t="s">
        <v>138</v>
      </c>
      <c r="B213" s="1" t="s">
        <v>83</v>
      </c>
      <c r="C213" s="1" t="s">
        <v>82</v>
      </c>
      <c r="D213" s="59" t="s">
        <v>241</v>
      </c>
      <c r="E213" s="1" t="s">
        <v>242</v>
      </c>
      <c r="F213" s="1" t="s">
        <v>127</v>
      </c>
      <c r="G213" s="1" t="s">
        <v>28</v>
      </c>
      <c r="H213" s="1">
        <v>5000</v>
      </c>
      <c r="J213" s="51">
        <v>45183</v>
      </c>
      <c r="L213" s="51">
        <v>45126</v>
      </c>
      <c r="M213" s="1" t="s">
        <v>139</v>
      </c>
      <c r="N213" s="1">
        <v>-4</v>
      </c>
      <c r="O213" s="59">
        <v>538</v>
      </c>
      <c r="P213" s="1">
        <v>-107600</v>
      </c>
      <c r="Q213" s="1">
        <v>-11.88</v>
      </c>
      <c r="R213" s="1" t="s">
        <v>83</v>
      </c>
      <c r="T213" s="50">
        <f>IF(ISNUMBER(VLOOKUP(U213,Blotter!B:C,2,0)),VLOOKUP(U213,Blotter!B:C,2,0),"")</f>
        <v>13</v>
      </c>
      <c r="U213" s="49" t="str">
        <f t="shared" ref="U213" si="236">D213</f>
        <v>ZCU3</v>
      </c>
      <c r="V213" s="49">
        <f t="shared" ref="V213" si="237">N213</f>
        <v>-4</v>
      </c>
      <c r="W213" s="49">
        <f t="shared" ref="W213" si="238">O213</f>
        <v>538</v>
      </c>
      <c r="X213" s="49">
        <f t="shared" ref="X213" si="239">Q213</f>
        <v>-11.88</v>
      </c>
    </row>
    <row r="214" spans="1:24" x14ac:dyDescent="0.4">
      <c r="A214" s="1" t="s">
        <v>138</v>
      </c>
      <c r="B214" s="1" t="s">
        <v>83</v>
      </c>
      <c r="C214" s="1" t="s">
        <v>82</v>
      </c>
      <c r="D214" s="1" t="s">
        <v>235</v>
      </c>
      <c r="E214" s="1" t="s">
        <v>236</v>
      </c>
      <c r="F214" s="1" t="s">
        <v>126</v>
      </c>
      <c r="G214" s="1" t="s">
        <v>27</v>
      </c>
      <c r="H214" s="1">
        <v>5000</v>
      </c>
      <c r="J214" s="51">
        <v>45196</v>
      </c>
      <c r="L214" s="51">
        <v>45127</v>
      </c>
      <c r="M214" s="1" t="s">
        <v>135</v>
      </c>
      <c r="N214" s="1">
        <v>5</v>
      </c>
      <c r="O214" s="1">
        <v>25.29</v>
      </c>
      <c r="P214" s="1">
        <v>632250</v>
      </c>
      <c r="Q214" s="1">
        <v>-12.1</v>
      </c>
      <c r="R214" s="1" t="s">
        <v>83</v>
      </c>
      <c r="T214" s="50">
        <f>IF(ISNUMBER(VLOOKUP(U214,Blotter!B:C,2,0)),VLOOKUP(U214,Blotter!B:C,2,0),"")</f>
        <v>6</v>
      </c>
      <c r="U214" s="49" t="str">
        <f t="shared" ref="U214:U215" si="240">D214</f>
        <v>SIU3</v>
      </c>
      <c r="V214" s="49">
        <f t="shared" ref="V214:V215" si="241">N214</f>
        <v>5</v>
      </c>
      <c r="W214" s="49">
        <f t="shared" ref="W214:W215" si="242">O214</f>
        <v>25.29</v>
      </c>
      <c r="X214" s="49">
        <f t="shared" ref="X214:X215" si="243">Q214</f>
        <v>-12.1</v>
      </c>
    </row>
    <row r="215" spans="1:24" x14ac:dyDescent="0.4">
      <c r="A215" s="1" t="s">
        <v>138</v>
      </c>
      <c r="B215" s="1" t="s">
        <v>83</v>
      </c>
      <c r="C215" s="1" t="s">
        <v>82</v>
      </c>
      <c r="D215" s="1" t="s">
        <v>235</v>
      </c>
      <c r="E215" s="1" t="s">
        <v>236</v>
      </c>
      <c r="F215" s="1" t="s">
        <v>126</v>
      </c>
      <c r="G215" s="1" t="s">
        <v>27</v>
      </c>
      <c r="H215" s="1">
        <v>5000</v>
      </c>
      <c r="J215" s="51">
        <v>45196</v>
      </c>
      <c r="L215" s="51">
        <v>45127</v>
      </c>
      <c r="M215" s="1" t="s">
        <v>135</v>
      </c>
      <c r="N215" s="1">
        <v>5</v>
      </c>
      <c r="O215" s="1">
        <v>25.3</v>
      </c>
      <c r="P215" s="1">
        <v>632500</v>
      </c>
      <c r="Q215" s="1">
        <v>-12.1</v>
      </c>
      <c r="R215" s="1" t="s">
        <v>83</v>
      </c>
      <c r="T215" s="50">
        <f>IF(ISNUMBER(VLOOKUP(U215,Blotter!B:C,2,0)),VLOOKUP(U215,Blotter!B:C,2,0),"")</f>
        <v>6</v>
      </c>
      <c r="U215" s="49" t="str">
        <f t="shared" si="240"/>
        <v>SIU3</v>
      </c>
      <c r="V215" s="49">
        <f t="shared" si="241"/>
        <v>5</v>
      </c>
      <c r="W215" s="49">
        <f t="shared" si="242"/>
        <v>25.3</v>
      </c>
      <c r="X215" s="49">
        <f t="shared" si="243"/>
        <v>-12.1</v>
      </c>
    </row>
    <row r="216" spans="1:24" x14ac:dyDescent="0.4">
      <c r="A216" s="1" t="s">
        <v>138</v>
      </c>
      <c r="B216" s="1" t="s">
        <v>83</v>
      </c>
      <c r="C216" s="1" t="s">
        <v>82</v>
      </c>
      <c r="D216" s="1" t="s">
        <v>235</v>
      </c>
      <c r="E216" s="1" t="s">
        <v>236</v>
      </c>
      <c r="F216" s="1" t="s">
        <v>126</v>
      </c>
      <c r="G216" s="1" t="s">
        <v>27</v>
      </c>
      <c r="H216" s="1">
        <v>5000</v>
      </c>
      <c r="J216" s="51">
        <v>45196</v>
      </c>
      <c r="L216" s="51">
        <v>45127</v>
      </c>
      <c r="M216" s="1" t="s">
        <v>135</v>
      </c>
      <c r="N216" s="1">
        <v>5</v>
      </c>
      <c r="O216" s="1">
        <v>25.25</v>
      </c>
      <c r="P216" s="1">
        <v>631250</v>
      </c>
      <c r="Q216" s="1">
        <v>-12.1</v>
      </c>
      <c r="R216" s="1" t="s">
        <v>83</v>
      </c>
      <c r="T216" s="50">
        <f>IF(ISNUMBER(VLOOKUP(U216,Blotter!B:C,2,0)),VLOOKUP(U216,Blotter!B:C,2,0),"")</f>
        <v>6</v>
      </c>
      <c r="U216" s="49" t="str">
        <f t="shared" ref="U216:U217" si="244">D216</f>
        <v>SIU3</v>
      </c>
      <c r="V216" s="49">
        <f t="shared" ref="V216:V217" si="245">N216</f>
        <v>5</v>
      </c>
      <c r="W216" s="49">
        <f t="shared" ref="W216:W217" si="246">O216</f>
        <v>25.25</v>
      </c>
      <c r="X216" s="49">
        <f t="shared" ref="X216:X217" si="247">Q216</f>
        <v>-12.1</v>
      </c>
    </row>
    <row r="217" spans="1:24" x14ac:dyDescent="0.4">
      <c r="A217" s="1" t="s">
        <v>138</v>
      </c>
      <c r="B217" s="1" t="s">
        <v>83</v>
      </c>
      <c r="C217" s="1" t="s">
        <v>82</v>
      </c>
      <c r="D217" s="1" t="s">
        <v>235</v>
      </c>
      <c r="E217" s="1" t="s">
        <v>236</v>
      </c>
      <c r="F217" s="1" t="s">
        <v>126</v>
      </c>
      <c r="G217" s="1" t="s">
        <v>27</v>
      </c>
      <c r="H217" s="1">
        <v>5000</v>
      </c>
      <c r="J217" s="51">
        <v>45196</v>
      </c>
      <c r="L217" s="51">
        <v>45127</v>
      </c>
      <c r="M217" s="1" t="s">
        <v>135</v>
      </c>
      <c r="N217" s="1">
        <v>5</v>
      </c>
      <c r="O217" s="1">
        <v>25.15</v>
      </c>
      <c r="P217" s="1">
        <v>628750</v>
      </c>
      <c r="Q217" s="1">
        <v>-12.1</v>
      </c>
      <c r="R217" s="1" t="s">
        <v>83</v>
      </c>
      <c r="T217" s="50">
        <f>IF(ISNUMBER(VLOOKUP(U217,Blotter!B:C,2,0)),VLOOKUP(U217,Blotter!B:C,2,0),"")</f>
        <v>6</v>
      </c>
      <c r="U217" s="49" t="str">
        <f t="shared" si="244"/>
        <v>SIU3</v>
      </c>
      <c r="V217" s="49">
        <f t="shared" si="245"/>
        <v>5</v>
      </c>
      <c r="W217" s="49">
        <f t="shared" si="246"/>
        <v>25.15</v>
      </c>
      <c r="X217" s="49">
        <f t="shared" si="247"/>
        <v>-12.1</v>
      </c>
    </row>
    <row r="218" spans="1:24" x14ac:dyDescent="0.4">
      <c r="A218" s="1" t="s">
        <v>138</v>
      </c>
      <c r="B218" s="1" t="s">
        <v>83</v>
      </c>
      <c r="C218" s="1" t="s">
        <v>82</v>
      </c>
      <c r="D218" s="1" t="s">
        <v>235</v>
      </c>
      <c r="E218" s="1" t="s">
        <v>236</v>
      </c>
      <c r="F218" s="1" t="s">
        <v>126</v>
      </c>
      <c r="G218" s="1" t="s">
        <v>27</v>
      </c>
      <c r="H218" s="1">
        <v>5000</v>
      </c>
      <c r="J218" s="51">
        <v>45196</v>
      </c>
      <c r="L218" s="51">
        <v>45127</v>
      </c>
      <c r="M218" s="1" t="s">
        <v>135</v>
      </c>
      <c r="N218" s="1">
        <v>10</v>
      </c>
      <c r="O218" s="1">
        <v>25.03</v>
      </c>
      <c r="P218" s="1">
        <v>1251500</v>
      </c>
      <c r="Q218" s="1">
        <v>-24.2</v>
      </c>
      <c r="R218" s="1" t="s">
        <v>83</v>
      </c>
      <c r="T218" s="50">
        <f>IF(ISNUMBER(VLOOKUP(U218,Blotter!B:C,2,0)),VLOOKUP(U218,Blotter!B:C,2,0),"")</f>
        <v>6</v>
      </c>
      <c r="U218" s="49" t="str">
        <f t="shared" ref="U218" si="248">D218</f>
        <v>SIU3</v>
      </c>
      <c r="V218" s="49">
        <f t="shared" ref="V218" si="249">N218</f>
        <v>10</v>
      </c>
      <c r="W218" s="49">
        <f t="shared" ref="W218" si="250">O218</f>
        <v>25.03</v>
      </c>
      <c r="X218" s="49">
        <f t="shared" ref="X218" si="251">Q218</f>
        <v>-24.2</v>
      </c>
    </row>
    <row r="219" spans="1:24" x14ac:dyDescent="0.4">
      <c r="A219" s="1" t="s">
        <v>138</v>
      </c>
      <c r="B219" s="1" t="s">
        <v>83</v>
      </c>
      <c r="C219" s="1" t="s">
        <v>82</v>
      </c>
      <c r="D219" s="1" t="s">
        <v>235</v>
      </c>
      <c r="E219" s="1" t="s">
        <v>236</v>
      </c>
      <c r="F219" s="1" t="s">
        <v>126</v>
      </c>
      <c r="G219" s="1" t="s">
        <v>27</v>
      </c>
      <c r="H219" s="1">
        <v>5000</v>
      </c>
      <c r="J219" s="51">
        <v>45196</v>
      </c>
      <c r="L219" s="51">
        <v>45127</v>
      </c>
      <c r="M219" s="1" t="s">
        <v>139</v>
      </c>
      <c r="N219" s="1">
        <v>-5</v>
      </c>
      <c r="O219" s="1">
        <v>25.41</v>
      </c>
      <c r="P219" s="1">
        <v>-635250</v>
      </c>
      <c r="Q219" s="1">
        <v>-12.1</v>
      </c>
      <c r="R219" s="1" t="s">
        <v>83</v>
      </c>
      <c r="T219" s="50">
        <f>IF(ISNUMBER(VLOOKUP(U219,Blotter!B:C,2,0)),VLOOKUP(U219,Blotter!B:C,2,0),"")</f>
        <v>6</v>
      </c>
      <c r="U219" s="49" t="str">
        <f t="shared" ref="U219:U221" si="252">D219</f>
        <v>SIU3</v>
      </c>
      <c r="V219" s="49">
        <f t="shared" ref="V219:V221" si="253">N219</f>
        <v>-5</v>
      </c>
      <c r="W219" s="49">
        <f t="shared" ref="W219:W221" si="254">O219</f>
        <v>25.41</v>
      </c>
      <c r="X219" s="49">
        <f t="shared" ref="X219:X221" si="255">Q219</f>
        <v>-12.1</v>
      </c>
    </row>
    <row r="220" spans="1:24" x14ac:dyDescent="0.4">
      <c r="A220" s="1" t="s">
        <v>138</v>
      </c>
      <c r="B220" s="1" t="s">
        <v>83</v>
      </c>
      <c r="C220" s="1" t="s">
        <v>82</v>
      </c>
      <c r="D220" s="1" t="s">
        <v>235</v>
      </c>
      <c r="E220" s="1" t="s">
        <v>236</v>
      </c>
      <c r="F220" s="1" t="s">
        <v>126</v>
      </c>
      <c r="G220" s="1" t="s">
        <v>27</v>
      </c>
      <c r="H220" s="1">
        <v>5000</v>
      </c>
      <c r="J220" s="51">
        <v>45196</v>
      </c>
      <c r="L220" s="51">
        <v>45127</v>
      </c>
      <c r="M220" s="1" t="s">
        <v>139</v>
      </c>
      <c r="N220" s="1">
        <v>-5</v>
      </c>
      <c r="O220" s="1">
        <v>25.35</v>
      </c>
      <c r="P220" s="1">
        <v>-633750</v>
      </c>
      <c r="Q220" s="1">
        <v>-12.1</v>
      </c>
      <c r="R220" s="1" t="s">
        <v>83</v>
      </c>
      <c r="T220" s="50">
        <f>IF(ISNUMBER(VLOOKUP(U220,Blotter!B:C,2,0)),VLOOKUP(U220,Blotter!B:C,2,0),"")</f>
        <v>6</v>
      </c>
      <c r="U220" s="49" t="str">
        <f t="shared" si="252"/>
        <v>SIU3</v>
      </c>
      <c r="V220" s="49">
        <f t="shared" si="253"/>
        <v>-5</v>
      </c>
      <c r="W220" s="49">
        <f t="shared" si="254"/>
        <v>25.35</v>
      </c>
      <c r="X220" s="49">
        <f t="shared" si="255"/>
        <v>-12.1</v>
      </c>
    </row>
    <row r="221" spans="1:24" x14ac:dyDescent="0.4">
      <c r="A221" s="1" t="s">
        <v>138</v>
      </c>
      <c r="B221" s="1" t="s">
        <v>83</v>
      </c>
      <c r="C221" s="1" t="s">
        <v>82</v>
      </c>
      <c r="D221" s="1" t="s">
        <v>235</v>
      </c>
      <c r="E221" s="1" t="s">
        <v>236</v>
      </c>
      <c r="F221" s="1" t="s">
        <v>126</v>
      </c>
      <c r="G221" s="1" t="s">
        <v>27</v>
      </c>
      <c r="H221" s="1">
        <v>5000</v>
      </c>
      <c r="J221" s="51">
        <v>45196</v>
      </c>
      <c r="L221" s="51">
        <v>45127</v>
      </c>
      <c r="M221" s="1" t="s">
        <v>139</v>
      </c>
      <c r="N221" s="1">
        <v>-10</v>
      </c>
      <c r="O221" s="1">
        <v>25.05</v>
      </c>
      <c r="P221" s="1">
        <v>-1252500</v>
      </c>
      <c r="Q221" s="1">
        <v>-24.2</v>
      </c>
      <c r="R221" s="1" t="s">
        <v>83</v>
      </c>
      <c r="T221" s="50">
        <f>IF(ISNUMBER(VLOOKUP(U221,Blotter!B:C,2,0)),VLOOKUP(U221,Blotter!B:C,2,0),"")</f>
        <v>6</v>
      </c>
      <c r="U221" s="49" t="str">
        <f t="shared" si="252"/>
        <v>SIU3</v>
      </c>
      <c r="V221" s="49">
        <f t="shared" si="253"/>
        <v>-10</v>
      </c>
      <c r="W221" s="49">
        <f t="shared" si="254"/>
        <v>25.05</v>
      </c>
      <c r="X221" s="49">
        <f t="shared" si="255"/>
        <v>-24.2</v>
      </c>
    </row>
    <row r="222" spans="1:24" x14ac:dyDescent="0.4">
      <c r="A222" s="1" t="s">
        <v>138</v>
      </c>
      <c r="B222" s="1" t="s">
        <v>83</v>
      </c>
      <c r="C222" s="1" t="s">
        <v>82</v>
      </c>
      <c r="D222" s="1" t="s">
        <v>235</v>
      </c>
      <c r="E222" s="1" t="s">
        <v>236</v>
      </c>
      <c r="F222" s="1" t="s">
        <v>126</v>
      </c>
      <c r="G222" s="1" t="s">
        <v>27</v>
      </c>
      <c r="H222" s="1">
        <v>5000</v>
      </c>
      <c r="J222" s="51">
        <v>45196</v>
      </c>
      <c r="L222" s="51">
        <v>45128</v>
      </c>
      <c r="M222" s="1" t="s">
        <v>135</v>
      </c>
      <c r="N222" s="1">
        <v>5</v>
      </c>
      <c r="O222" s="1">
        <v>24.96</v>
      </c>
      <c r="P222" s="1">
        <v>624000</v>
      </c>
      <c r="Q222" s="1">
        <v>-12.1</v>
      </c>
      <c r="R222" s="1" t="s">
        <v>83</v>
      </c>
      <c r="T222" s="50">
        <f>IF(ISNUMBER(VLOOKUP(U222,Blotter!B:C,2,0)),VLOOKUP(U222,Blotter!B:C,2,0),"")</f>
        <v>6</v>
      </c>
      <c r="U222" s="49" t="str">
        <f t="shared" ref="U222:U223" si="256">D222</f>
        <v>SIU3</v>
      </c>
      <c r="V222" s="49">
        <f t="shared" ref="V222:V223" si="257">N222</f>
        <v>5</v>
      </c>
      <c r="W222" s="49">
        <f t="shared" ref="W222:W223" si="258">O222</f>
        <v>24.96</v>
      </c>
      <c r="X222" s="49">
        <f t="shared" ref="X222:X223" si="259">Q222</f>
        <v>-12.1</v>
      </c>
    </row>
    <row r="223" spans="1:24" x14ac:dyDescent="0.4">
      <c r="A223" s="1" t="s">
        <v>138</v>
      </c>
      <c r="B223" s="1" t="s">
        <v>83</v>
      </c>
      <c r="C223" s="1" t="s">
        <v>82</v>
      </c>
      <c r="D223" s="1" t="s">
        <v>235</v>
      </c>
      <c r="E223" s="1" t="s">
        <v>236</v>
      </c>
      <c r="F223" s="1" t="s">
        <v>126</v>
      </c>
      <c r="G223" s="1" t="s">
        <v>27</v>
      </c>
      <c r="H223" s="1">
        <v>5000</v>
      </c>
      <c r="J223" s="51">
        <v>45196</v>
      </c>
      <c r="L223" s="51">
        <v>45128</v>
      </c>
      <c r="M223" s="1" t="s">
        <v>135</v>
      </c>
      <c r="N223" s="1">
        <v>5</v>
      </c>
      <c r="O223" s="1">
        <v>24.9</v>
      </c>
      <c r="P223" s="1">
        <v>622500</v>
      </c>
      <c r="Q223" s="1">
        <v>-12.1</v>
      </c>
      <c r="R223" s="1" t="s">
        <v>83</v>
      </c>
      <c r="T223" s="50">
        <f>IF(ISNUMBER(VLOOKUP(U223,Blotter!B:C,2,0)),VLOOKUP(U223,Blotter!B:C,2,0),"")</f>
        <v>6</v>
      </c>
      <c r="U223" s="49" t="str">
        <f t="shared" si="256"/>
        <v>SIU3</v>
      </c>
      <c r="V223" s="49">
        <f t="shared" si="257"/>
        <v>5</v>
      </c>
      <c r="W223" s="49">
        <f t="shared" si="258"/>
        <v>24.9</v>
      </c>
      <c r="X223" s="49">
        <f t="shared" si="259"/>
        <v>-12.1</v>
      </c>
    </row>
    <row r="224" spans="1:24" x14ac:dyDescent="0.4">
      <c r="A224" s="1" t="s">
        <v>138</v>
      </c>
      <c r="B224" s="1" t="s">
        <v>83</v>
      </c>
      <c r="C224" s="1" t="s">
        <v>82</v>
      </c>
      <c r="D224" s="1" t="s">
        <v>235</v>
      </c>
      <c r="E224" s="1" t="s">
        <v>236</v>
      </c>
      <c r="F224" s="1" t="s">
        <v>126</v>
      </c>
      <c r="G224" s="1" t="s">
        <v>27</v>
      </c>
      <c r="H224" s="1">
        <v>5000</v>
      </c>
      <c r="J224" s="51">
        <v>45196</v>
      </c>
      <c r="L224" s="51">
        <v>45128</v>
      </c>
      <c r="M224" s="1" t="s">
        <v>139</v>
      </c>
      <c r="N224" s="1">
        <v>-5</v>
      </c>
      <c r="O224" s="1">
        <v>25.05</v>
      </c>
      <c r="P224" s="1">
        <v>-626250</v>
      </c>
      <c r="Q224" s="1">
        <v>-12.1</v>
      </c>
      <c r="R224" s="1" t="s">
        <v>83</v>
      </c>
      <c r="T224" s="50">
        <f>IF(ISNUMBER(VLOOKUP(U224,Blotter!B:C,2,0)),VLOOKUP(U224,Blotter!B:C,2,0),"")</f>
        <v>6</v>
      </c>
      <c r="U224" s="49" t="str">
        <f t="shared" ref="U224:U225" si="260">D224</f>
        <v>SIU3</v>
      </c>
      <c r="V224" s="49">
        <f t="shared" ref="V224:V225" si="261">N224</f>
        <v>-5</v>
      </c>
      <c r="W224" s="49">
        <f t="shared" ref="W224:W225" si="262">O224</f>
        <v>25.05</v>
      </c>
      <c r="X224" s="49">
        <f t="shared" ref="X224:X225" si="263">Q224</f>
        <v>-12.1</v>
      </c>
    </row>
    <row r="225" spans="1:24" x14ac:dyDescent="0.4">
      <c r="A225" s="1" t="s">
        <v>138</v>
      </c>
      <c r="B225" s="1" t="s">
        <v>83</v>
      </c>
      <c r="C225" s="1" t="s">
        <v>82</v>
      </c>
      <c r="D225" s="1" t="s">
        <v>235</v>
      </c>
      <c r="E225" s="1" t="s">
        <v>236</v>
      </c>
      <c r="F225" s="1" t="s">
        <v>126</v>
      </c>
      <c r="G225" s="1" t="s">
        <v>27</v>
      </c>
      <c r="H225" s="1">
        <v>5000</v>
      </c>
      <c r="J225" s="51">
        <v>45196</v>
      </c>
      <c r="L225" s="51">
        <v>45128</v>
      </c>
      <c r="M225" s="1" t="s">
        <v>139</v>
      </c>
      <c r="N225" s="1">
        <v>-5</v>
      </c>
      <c r="O225" s="1">
        <v>25.06</v>
      </c>
      <c r="P225" s="1">
        <v>-626500</v>
      </c>
      <c r="Q225" s="1">
        <v>-12.1</v>
      </c>
      <c r="R225" s="1" t="s">
        <v>83</v>
      </c>
      <c r="T225" s="50">
        <f>IF(ISNUMBER(VLOOKUP(U225,Blotter!B:C,2,0)),VLOOKUP(U225,Blotter!B:C,2,0),"")</f>
        <v>6</v>
      </c>
      <c r="U225" s="49" t="str">
        <f t="shared" si="260"/>
        <v>SIU3</v>
      </c>
      <c r="V225" s="49">
        <f t="shared" si="261"/>
        <v>-5</v>
      </c>
      <c r="W225" s="49">
        <f t="shared" si="262"/>
        <v>25.06</v>
      </c>
      <c r="X225" s="49">
        <f t="shared" si="263"/>
        <v>-12.1</v>
      </c>
    </row>
    <row r="226" spans="1:24" x14ac:dyDescent="0.4">
      <c r="A226" s="1" t="s">
        <v>138</v>
      </c>
      <c r="B226" s="1" t="s">
        <v>83</v>
      </c>
      <c r="C226" s="1" t="s">
        <v>82</v>
      </c>
      <c r="D226" s="59" t="s">
        <v>261</v>
      </c>
      <c r="E226" s="1" t="s">
        <v>262</v>
      </c>
      <c r="F226" s="1" t="s">
        <v>127</v>
      </c>
      <c r="G226" s="1" t="s">
        <v>28</v>
      </c>
      <c r="H226" s="1">
        <v>5000</v>
      </c>
      <c r="J226" s="51">
        <v>45274</v>
      </c>
      <c r="L226" s="51">
        <v>45128</v>
      </c>
      <c r="M226" s="1" t="s">
        <v>135</v>
      </c>
      <c r="N226" s="1">
        <v>4</v>
      </c>
      <c r="O226" s="59">
        <v>532</v>
      </c>
      <c r="P226" s="1">
        <v>106400</v>
      </c>
      <c r="Q226" s="1">
        <v>-11.88</v>
      </c>
      <c r="R226" s="1" t="s">
        <v>83</v>
      </c>
      <c r="T226" s="50">
        <f>IF(ISNUMBER(VLOOKUP(U226,Blotter!B:C,2,0)),VLOOKUP(U226,Blotter!B:C,2,0),"")</f>
        <v>13</v>
      </c>
      <c r="U226" s="49" t="str">
        <f t="shared" ref="U226" si="264">D226</f>
        <v>ZCZ3</v>
      </c>
      <c r="V226" s="49">
        <f t="shared" ref="V226" si="265">N226</f>
        <v>4</v>
      </c>
      <c r="W226" s="49">
        <f t="shared" ref="W226" si="266">O226</f>
        <v>532</v>
      </c>
      <c r="X226" s="49">
        <f t="shared" ref="X226" si="267">Q226</f>
        <v>-11.88</v>
      </c>
    </row>
    <row r="227" spans="1:24" x14ac:dyDescent="0.4">
      <c r="A227" s="1" t="s">
        <v>138</v>
      </c>
      <c r="B227" s="1" t="s">
        <v>83</v>
      </c>
      <c r="C227" s="1" t="s">
        <v>82</v>
      </c>
      <c r="D227" s="1" t="s">
        <v>235</v>
      </c>
      <c r="E227" s="1" t="s">
        <v>236</v>
      </c>
      <c r="F227" s="1" t="s">
        <v>126</v>
      </c>
      <c r="G227" s="1" t="s">
        <v>27</v>
      </c>
      <c r="H227" s="1">
        <v>5000</v>
      </c>
      <c r="J227" s="51">
        <v>45196</v>
      </c>
      <c r="L227" s="51">
        <v>45131</v>
      </c>
      <c r="M227" s="1" t="s">
        <v>135</v>
      </c>
      <c r="N227" s="1">
        <v>3</v>
      </c>
      <c r="O227" s="1">
        <v>24.58</v>
      </c>
      <c r="P227" s="1">
        <v>368700</v>
      </c>
      <c r="Q227" s="1">
        <v>-7.26</v>
      </c>
      <c r="R227" s="1" t="s">
        <v>83</v>
      </c>
      <c r="T227" s="50">
        <f>IF(ISNUMBER(VLOOKUP(U227,Blotter!B:C,2,0)),VLOOKUP(U227,Blotter!B:C,2,0),"")</f>
        <v>6</v>
      </c>
      <c r="U227" s="49" t="str">
        <f t="shared" ref="U227" si="268">D227</f>
        <v>SIU3</v>
      </c>
      <c r="V227" s="49">
        <f t="shared" ref="V227" si="269">N227</f>
        <v>3</v>
      </c>
      <c r="W227" s="49">
        <f t="shared" ref="W227" si="270">O227</f>
        <v>24.58</v>
      </c>
      <c r="X227" s="49">
        <f t="shared" ref="X227" si="271">Q227</f>
        <v>-7.26</v>
      </c>
    </row>
    <row r="228" spans="1:24" x14ac:dyDescent="0.4">
      <c r="A228" s="1" t="s">
        <v>138</v>
      </c>
      <c r="B228" s="1" t="s">
        <v>83</v>
      </c>
      <c r="C228" s="1" t="s">
        <v>82</v>
      </c>
      <c r="D228" s="59" t="s">
        <v>261</v>
      </c>
      <c r="E228" s="1" t="s">
        <v>262</v>
      </c>
      <c r="F228" s="1" t="s">
        <v>127</v>
      </c>
      <c r="G228" s="1" t="s">
        <v>28</v>
      </c>
      <c r="H228" s="1">
        <v>5000</v>
      </c>
      <c r="J228" s="51">
        <v>45274</v>
      </c>
      <c r="L228" s="51">
        <v>45131</v>
      </c>
      <c r="M228" s="1" t="s">
        <v>139</v>
      </c>
      <c r="N228" s="1">
        <v>-4</v>
      </c>
      <c r="O228" s="59">
        <v>552</v>
      </c>
      <c r="P228" s="1">
        <v>-110400</v>
      </c>
      <c r="Q228" s="1">
        <v>-11.88</v>
      </c>
      <c r="R228" s="1" t="s">
        <v>83</v>
      </c>
      <c r="T228" s="50">
        <f>IF(ISNUMBER(VLOOKUP(U228,Blotter!B:C,2,0)),VLOOKUP(U228,Blotter!B:C,2,0),"")</f>
        <v>13</v>
      </c>
      <c r="U228" s="49" t="str">
        <f t="shared" ref="U228:U229" si="272">D228</f>
        <v>ZCZ3</v>
      </c>
      <c r="V228" s="49">
        <f t="shared" ref="V228:V229" si="273">N228</f>
        <v>-4</v>
      </c>
      <c r="W228" s="49">
        <f t="shared" ref="W228:W229" si="274">O228</f>
        <v>552</v>
      </c>
      <c r="X228" s="49">
        <f t="shared" ref="X228:X229" si="275">Q228</f>
        <v>-11.88</v>
      </c>
    </row>
    <row r="229" spans="1:24" x14ac:dyDescent="0.4">
      <c r="A229" s="1" t="s">
        <v>138</v>
      </c>
      <c r="B229" s="1" t="s">
        <v>83</v>
      </c>
      <c r="C229" s="1" t="s">
        <v>86</v>
      </c>
      <c r="D229" s="1" t="s">
        <v>243</v>
      </c>
      <c r="E229" s="1" t="s">
        <v>244</v>
      </c>
      <c r="F229" s="1" t="s">
        <v>127</v>
      </c>
      <c r="G229" s="1" t="s">
        <v>245</v>
      </c>
      <c r="H229" s="1">
        <v>5000</v>
      </c>
      <c r="I229" s="1">
        <v>6</v>
      </c>
      <c r="J229" s="51">
        <v>45254</v>
      </c>
      <c r="K229" s="1" t="s">
        <v>57</v>
      </c>
      <c r="L229" s="51">
        <v>45131</v>
      </c>
      <c r="M229" s="1" t="s">
        <v>139</v>
      </c>
      <c r="N229" s="1">
        <v>-4</v>
      </c>
      <c r="O229" s="59">
        <v>26</v>
      </c>
      <c r="P229" s="1">
        <v>-5200</v>
      </c>
      <c r="Q229" s="1">
        <v>-11.88</v>
      </c>
      <c r="R229" s="1" t="s">
        <v>83</v>
      </c>
      <c r="T229" s="50">
        <f>IF(ISNUMBER(VLOOKUP(U229,Blotter!B:C,2,0)),VLOOKUP(U229,Blotter!B:C,2,0),"")</f>
        <v>13</v>
      </c>
      <c r="U229" s="49" t="str">
        <f t="shared" si="272"/>
        <v>C OZC  DEC 23   6000</v>
      </c>
      <c r="V229" s="49">
        <f t="shared" si="273"/>
        <v>-4</v>
      </c>
      <c r="W229" s="49">
        <f t="shared" si="274"/>
        <v>26</v>
      </c>
      <c r="X229" s="49">
        <f t="shared" si="275"/>
        <v>-11.88</v>
      </c>
    </row>
    <row r="230" spans="1:24" x14ac:dyDescent="0.4">
      <c r="A230" s="1" t="s">
        <v>138</v>
      </c>
      <c r="B230" s="1" t="s">
        <v>83</v>
      </c>
      <c r="C230" s="1" t="s">
        <v>82</v>
      </c>
      <c r="D230" s="1" t="s">
        <v>263</v>
      </c>
      <c r="E230" s="1" t="s">
        <v>267</v>
      </c>
      <c r="F230" s="1" t="s">
        <v>100</v>
      </c>
      <c r="G230" s="1" t="s">
        <v>33</v>
      </c>
      <c r="H230" s="1">
        <v>37500</v>
      </c>
      <c r="J230" s="51">
        <v>45189</v>
      </c>
      <c r="L230" s="51">
        <v>45132</v>
      </c>
      <c r="M230" s="1" t="s">
        <v>135</v>
      </c>
      <c r="N230" s="1">
        <v>3</v>
      </c>
      <c r="O230" s="59">
        <v>163</v>
      </c>
      <c r="P230" s="1">
        <v>183375</v>
      </c>
      <c r="Q230" s="1">
        <v>-8.91</v>
      </c>
      <c r="R230" s="1" t="s">
        <v>83</v>
      </c>
      <c r="T230" s="50">
        <f>IF(ISNUMBER(VLOOKUP(U230,Blotter!B:C,2,0)),VLOOKUP(U230,Blotter!B:C,2,0),"")</f>
        <v>16</v>
      </c>
      <c r="U230" s="49" t="str">
        <f t="shared" ref="U230" si="276">D230</f>
        <v>KCU3</v>
      </c>
      <c r="V230" s="49">
        <f t="shared" ref="V230" si="277">N230</f>
        <v>3</v>
      </c>
      <c r="W230" s="49">
        <f t="shared" ref="W230" si="278">O230</f>
        <v>163</v>
      </c>
      <c r="X230" s="49">
        <f t="shared" ref="X230" si="279">Q230</f>
        <v>-8.91</v>
      </c>
    </row>
    <row r="231" spans="1:24" x14ac:dyDescent="0.4">
      <c r="A231" s="1" t="s">
        <v>138</v>
      </c>
      <c r="B231" s="1" t="s">
        <v>83</v>
      </c>
      <c r="C231" s="1" t="s">
        <v>82</v>
      </c>
      <c r="D231" s="1" t="s">
        <v>235</v>
      </c>
      <c r="E231" s="1" t="s">
        <v>236</v>
      </c>
      <c r="F231" s="1" t="s">
        <v>126</v>
      </c>
      <c r="G231" s="1" t="s">
        <v>27</v>
      </c>
      <c r="H231" s="1">
        <v>5000</v>
      </c>
      <c r="J231" s="51">
        <v>45196</v>
      </c>
      <c r="L231" s="51">
        <v>45132</v>
      </c>
      <c r="M231" s="1" t="s">
        <v>135</v>
      </c>
      <c r="N231" s="1">
        <v>5</v>
      </c>
      <c r="O231" s="1">
        <v>24.7</v>
      </c>
      <c r="P231" s="1">
        <v>617500</v>
      </c>
      <c r="Q231" s="1">
        <v>-12.1</v>
      </c>
      <c r="R231" s="1" t="s">
        <v>83</v>
      </c>
      <c r="T231" s="50">
        <f>IF(ISNUMBER(VLOOKUP(U231,Blotter!B:C,2,0)),VLOOKUP(U231,Blotter!B:C,2,0),"")</f>
        <v>6</v>
      </c>
      <c r="U231" s="49" t="str">
        <f t="shared" ref="U231" si="280">D231</f>
        <v>SIU3</v>
      </c>
      <c r="V231" s="49">
        <f t="shared" ref="V231" si="281">N231</f>
        <v>5</v>
      </c>
      <c r="W231" s="49">
        <f t="shared" ref="W231" si="282">O231</f>
        <v>24.7</v>
      </c>
      <c r="X231" s="49">
        <f t="shared" ref="X231" si="283">Q231</f>
        <v>-12.1</v>
      </c>
    </row>
    <row r="232" spans="1:24" x14ac:dyDescent="0.4">
      <c r="A232" s="1" t="s">
        <v>138</v>
      </c>
      <c r="B232" s="1" t="s">
        <v>83</v>
      </c>
      <c r="C232" s="1" t="s">
        <v>82</v>
      </c>
      <c r="D232" s="1" t="s">
        <v>235</v>
      </c>
      <c r="E232" s="1" t="s">
        <v>236</v>
      </c>
      <c r="F232" s="1" t="s">
        <v>126</v>
      </c>
      <c r="G232" s="1" t="s">
        <v>27</v>
      </c>
      <c r="H232" s="1">
        <v>5000</v>
      </c>
      <c r="J232" s="51">
        <v>45196</v>
      </c>
      <c r="L232" s="51">
        <v>45132</v>
      </c>
      <c r="M232" s="1" t="s">
        <v>139</v>
      </c>
      <c r="N232" s="1">
        <v>-3</v>
      </c>
      <c r="O232" s="1">
        <v>24.75</v>
      </c>
      <c r="P232" s="1">
        <v>-371250</v>
      </c>
      <c r="Q232" s="1">
        <v>-7.26</v>
      </c>
      <c r="R232" s="1" t="s">
        <v>83</v>
      </c>
      <c r="T232" s="50">
        <f>IF(ISNUMBER(VLOOKUP(U232,Blotter!B:C,2,0)),VLOOKUP(U232,Blotter!B:C,2,0),"")</f>
        <v>6</v>
      </c>
      <c r="U232" s="49" t="str">
        <f t="shared" ref="U232:U233" si="284">D232</f>
        <v>SIU3</v>
      </c>
      <c r="V232" s="49">
        <f t="shared" ref="V232:V233" si="285">N232</f>
        <v>-3</v>
      </c>
      <c r="W232" s="49">
        <f t="shared" ref="W232:W233" si="286">O232</f>
        <v>24.75</v>
      </c>
      <c r="X232" s="49">
        <f t="shared" ref="X232:X233" si="287">Q232</f>
        <v>-7.26</v>
      </c>
    </row>
    <row r="233" spans="1:24" x14ac:dyDescent="0.4">
      <c r="A233" s="1" t="s">
        <v>138</v>
      </c>
      <c r="B233" s="1" t="s">
        <v>83</v>
      </c>
      <c r="C233" s="1" t="s">
        <v>82</v>
      </c>
      <c r="D233" s="1" t="s">
        <v>235</v>
      </c>
      <c r="E233" s="1" t="s">
        <v>236</v>
      </c>
      <c r="F233" s="1" t="s">
        <v>126</v>
      </c>
      <c r="G233" s="1" t="s">
        <v>27</v>
      </c>
      <c r="H233" s="1">
        <v>5000</v>
      </c>
      <c r="J233" s="51">
        <v>45196</v>
      </c>
      <c r="L233" s="51">
        <v>45132</v>
      </c>
      <c r="M233" s="1" t="s">
        <v>139</v>
      </c>
      <c r="N233" s="1">
        <v>-5</v>
      </c>
      <c r="O233" s="1">
        <v>24.8</v>
      </c>
      <c r="P233" s="1">
        <v>-620000</v>
      </c>
      <c r="Q233" s="1">
        <v>-12.1</v>
      </c>
      <c r="R233" s="1" t="s">
        <v>83</v>
      </c>
      <c r="T233" s="50">
        <f>IF(ISNUMBER(VLOOKUP(U233,Blotter!B:C,2,0)),VLOOKUP(U233,Blotter!B:C,2,0),"")</f>
        <v>6</v>
      </c>
      <c r="U233" s="49" t="str">
        <f t="shared" si="284"/>
        <v>SIU3</v>
      </c>
      <c r="V233" s="49">
        <f t="shared" si="285"/>
        <v>-5</v>
      </c>
      <c r="W233" s="49">
        <f t="shared" si="286"/>
        <v>24.8</v>
      </c>
      <c r="X233" s="49">
        <f t="shared" si="287"/>
        <v>-12.1</v>
      </c>
    </row>
    <row r="234" spans="1:24" x14ac:dyDescent="0.4">
      <c r="A234" s="1" t="s">
        <v>138</v>
      </c>
      <c r="B234" s="1" t="s">
        <v>83</v>
      </c>
      <c r="C234" s="1" t="s">
        <v>82</v>
      </c>
      <c r="D234" s="1" t="s">
        <v>235</v>
      </c>
      <c r="E234" s="1" t="s">
        <v>236</v>
      </c>
      <c r="F234" s="1" t="s">
        <v>126</v>
      </c>
      <c r="G234" s="1" t="s">
        <v>27</v>
      </c>
      <c r="H234" s="1">
        <v>5000</v>
      </c>
      <c r="J234" s="51">
        <v>45196</v>
      </c>
      <c r="L234" s="51">
        <v>45132</v>
      </c>
      <c r="M234" s="1" t="s">
        <v>139</v>
      </c>
      <c r="N234" s="1">
        <v>-5</v>
      </c>
      <c r="O234" s="1">
        <v>24.9</v>
      </c>
      <c r="P234" s="1">
        <v>-622500</v>
      </c>
      <c r="Q234" s="1">
        <v>-12.1</v>
      </c>
      <c r="R234" s="1" t="s">
        <v>83</v>
      </c>
      <c r="T234" s="50">
        <f>IF(ISNUMBER(VLOOKUP(U234,Blotter!B:C,2,0)),VLOOKUP(U234,Blotter!B:C,2,0),"")</f>
        <v>6</v>
      </c>
      <c r="U234" s="49" t="str">
        <f t="shared" ref="U234" si="288">D234</f>
        <v>SIU3</v>
      </c>
      <c r="V234" s="49">
        <f t="shared" ref="V234" si="289">N234</f>
        <v>-5</v>
      </c>
      <c r="W234" s="49">
        <f t="shared" ref="W234" si="290">O234</f>
        <v>24.9</v>
      </c>
      <c r="X234" s="49">
        <f t="shared" ref="X234" si="291">Q234</f>
        <v>-12.1</v>
      </c>
    </row>
    <row r="235" spans="1:24" x14ac:dyDescent="0.4">
      <c r="A235" s="1" t="s">
        <v>138</v>
      </c>
      <c r="B235" s="1" t="s">
        <v>83</v>
      </c>
      <c r="C235" s="1" t="s">
        <v>82</v>
      </c>
      <c r="D235" s="1" t="s">
        <v>235</v>
      </c>
      <c r="E235" s="1" t="s">
        <v>236</v>
      </c>
      <c r="F235" s="1" t="s">
        <v>126</v>
      </c>
      <c r="G235" s="1" t="s">
        <v>27</v>
      </c>
      <c r="H235" s="1">
        <v>5000</v>
      </c>
      <c r="J235" s="51">
        <v>45196</v>
      </c>
      <c r="L235" s="51">
        <v>45133</v>
      </c>
      <c r="M235" s="1" t="s">
        <v>135</v>
      </c>
      <c r="N235" s="1">
        <v>3</v>
      </c>
      <c r="O235" s="1">
        <v>24.87</v>
      </c>
      <c r="P235" s="1">
        <v>373050</v>
      </c>
      <c r="Q235" s="1">
        <v>-7.26</v>
      </c>
      <c r="R235" s="1" t="s">
        <v>83</v>
      </c>
      <c r="T235" s="50">
        <f>IF(ISNUMBER(VLOOKUP(U235,Blotter!B:C,2,0)),VLOOKUP(U235,Blotter!B:C,2,0),"")</f>
        <v>6</v>
      </c>
      <c r="U235" s="49" t="str">
        <f t="shared" ref="U235:U236" si="292">D235</f>
        <v>SIU3</v>
      </c>
      <c r="V235" s="49">
        <f t="shared" ref="V235:V236" si="293">N235</f>
        <v>3</v>
      </c>
      <c r="W235" s="49">
        <f t="shared" ref="W235:W236" si="294">O235</f>
        <v>24.87</v>
      </c>
      <c r="X235" s="49">
        <f t="shared" ref="X235:X236" si="295">Q235</f>
        <v>-7.26</v>
      </c>
    </row>
    <row r="236" spans="1:24" x14ac:dyDescent="0.4">
      <c r="A236" s="1" t="s">
        <v>138</v>
      </c>
      <c r="B236" s="1" t="s">
        <v>83</v>
      </c>
      <c r="C236" s="1" t="s">
        <v>82</v>
      </c>
      <c r="D236" s="1" t="s">
        <v>235</v>
      </c>
      <c r="E236" s="1" t="s">
        <v>236</v>
      </c>
      <c r="F236" s="1" t="s">
        <v>126</v>
      </c>
      <c r="G236" s="1" t="s">
        <v>27</v>
      </c>
      <c r="H236" s="1">
        <v>5000</v>
      </c>
      <c r="J236" s="51">
        <v>45196</v>
      </c>
      <c r="L236" s="51">
        <v>45133</v>
      </c>
      <c r="M236" s="1" t="s">
        <v>135</v>
      </c>
      <c r="N236" s="1">
        <v>2</v>
      </c>
      <c r="O236" s="1">
        <v>24.84</v>
      </c>
      <c r="P236" s="1">
        <v>248400</v>
      </c>
      <c r="Q236" s="1">
        <v>-4.84</v>
      </c>
      <c r="R236" s="1" t="s">
        <v>83</v>
      </c>
      <c r="T236" s="50">
        <f>IF(ISNUMBER(VLOOKUP(U236,Blotter!B:C,2,0)),VLOOKUP(U236,Blotter!B:C,2,0),"")</f>
        <v>6</v>
      </c>
      <c r="U236" s="49" t="str">
        <f t="shared" si="292"/>
        <v>SIU3</v>
      </c>
      <c r="V236" s="49">
        <f t="shared" si="293"/>
        <v>2</v>
      </c>
      <c r="W236" s="49">
        <f t="shared" si="294"/>
        <v>24.84</v>
      </c>
      <c r="X236" s="49">
        <f t="shared" si="295"/>
        <v>-4.84</v>
      </c>
    </row>
    <row r="237" spans="1:24" x14ac:dyDescent="0.4">
      <c r="A237" s="1" t="s">
        <v>138</v>
      </c>
      <c r="B237" s="1" t="s">
        <v>83</v>
      </c>
      <c r="C237" s="1" t="s">
        <v>82</v>
      </c>
      <c r="D237" s="1" t="s">
        <v>235</v>
      </c>
      <c r="E237" s="1" t="s">
        <v>236</v>
      </c>
      <c r="F237" s="1" t="s">
        <v>126</v>
      </c>
      <c r="G237" s="1" t="s">
        <v>27</v>
      </c>
      <c r="H237" s="1">
        <v>5000</v>
      </c>
      <c r="J237" s="51">
        <v>45196</v>
      </c>
      <c r="L237" s="51">
        <v>45133</v>
      </c>
      <c r="M237" s="1" t="s">
        <v>135</v>
      </c>
      <c r="N237" s="1">
        <v>5</v>
      </c>
      <c r="O237" s="1">
        <v>25.06</v>
      </c>
      <c r="P237" s="1">
        <v>626500</v>
      </c>
      <c r="Q237" s="1">
        <v>-12.1</v>
      </c>
      <c r="R237" s="1" t="s">
        <v>83</v>
      </c>
      <c r="T237" s="50">
        <f>IF(ISNUMBER(VLOOKUP(U237,Blotter!B:C,2,0)),VLOOKUP(U237,Blotter!B:C,2,0),"")</f>
        <v>6</v>
      </c>
      <c r="U237" s="49" t="str">
        <f t="shared" ref="U237" si="296">D237</f>
        <v>SIU3</v>
      </c>
      <c r="V237" s="49">
        <f t="shared" ref="V237" si="297">N237</f>
        <v>5</v>
      </c>
      <c r="W237" s="49">
        <f t="shared" ref="W237" si="298">O237</f>
        <v>25.06</v>
      </c>
      <c r="X237" s="49">
        <f t="shared" ref="X237" si="299">Q237</f>
        <v>-12.1</v>
      </c>
    </row>
    <row r="238" spans="1:24" x14ac:dyDescent="0.4">
      <c r="A238" s="1" t="s">
        <v>138</v>
      </c>
      <c r="B238" s="1" t="s">
        <v>83</v>
      </c>
      <c r="C238" s="1" t="s">
        <v>82</v>
      </c>
      <c r="D238" s="1" t="s">
        <v>235</v>
      </c>
      <c r="E238" s="1" t="s">
        <v>236</v>
      </c>
      <c r="F238" s="1" t="s">
        <v>126</v>
      </c>
      <c r="G238" s="1" t="s">
        <v>27</v>
      </c>
      <c r="H238" s="1">
        <v>5000</v>
      </c>
      <c r="J238" s="51">
        <v>45196</v>
      </c>
      <c r="L238" s="51">
        <v>45133</v>
      </c>
      <c r="M238" s="1" t="s">
        <v>139</v>
      </c>
      <c r="N238" s="1">
        <v>-5</v>
      </c>
      <c r="O238" s="1">
        <v>24.96</v>
      </c>
      <c r="P238" s="1">
        <v>-624000</v>
      </c>
      <c r="Q238" s="1">
        <v>-12.1</v>
      </c>
      <c r="R238" s="1" t="s">
        <v>83</v>
      </c>
      <c r="T238" s="50">
        <f>IF(ISNUMBER(VLOOKUP(U238,Blotter!B:C,2,0)),VLOOKUP(U238,Blotter!B:C,2,0),"")</f>
        <v>6</v>
      </c>
      <c r="U238" s="49" t="str">
        <f t="shared" ref="U238:U239" si="300">D238</f>
        <v>SIU3</v>
      </c>
      <c r="V238" s="49">
        <f t="shared" ref="V238:V239" si="301">N238</f>
        <v>-5</v>
      </c>
      <c r="W238" s="49">
        <f t="shared" ref="W238:W239" si="302">O238</f>
        <v>24.96</v>
      </c>
      <c r="X238" s="49">
        <f t="shared" ref="X238:X239" si="303">Q238</f>
        <v>-12.1</v>
      </c>
    </row>
    <row r="239" spans="1:24" x14ac:dyDescent="0.4">
      <c r="A239" s="1" t="s">
        <v>138</v>
      </c>
      <c r="B239" s="1" t="s">
        <v>83</v>
      </c>
      <c r="C239" s="1" t="s">
        <v>82</v>
      </c>
      <c r="D239" s="1" t="s">
        <v>235</v>
      </c>
      <c r="E239" s="1" t="s">
        <v>236</v>
      </c>
      <c r="F239" s="1" t="s">
        <v>126</v>
      </c>
      <c r="G239" s="1" t="s">
        <v>27</v>
      </c>
      <c r="H239" s="1">
        <v>5000</v>
      </c>
      <c r="J239" s="51">
        <v>45196</v>
      </c>
      <c r="L239" s="51">
        <v>45133</v>
      </c>
      <c r="M239" s="1" t="s">
        <v>139</v>
      </c>
      <c r="N239" s="1">
        <v>-5</v>
      </c>
      <c r="O239" s="1">
        <v>25.125</v>
      </c>
      <c r="P239" s="1">
        <v>-628125</v>
      </c>
      <c r="Q239" s="1">
        <v>-12.1</v>
      </c>
      <c r="R239" s="1" t="s">
        <v>83</v>
      </c>
      <c r="T239" s="50">
        <f>IF(ISNUMBER(VLOOKUP(U239,Blotter!B:C,2,0)),VLOOKUP(U239,Blotter!B:C,2,0),"")</f>
        <v>6</v>
      </c>
      <c r="U239" s="49" t="str">
        <f t="shared" si="300"/>
        <v>SIU3</v>
      </c>
      <c r="V239" s="49">
        <f t="shared" si="301"/>
        <v>-5</v>
      </c>
      <c r="W239" s="49">
        <f t="shared" si="302"/>
        <v>25.125</v>
      </c>
      <c r="X239" s="49">
        <f t="shared" si="303"/>
        <v>-12.1</v>
      </c>
    </row>
    <row r="240" spans="1:24" x14ac:dyDescent="0.4">
      <c r="A240" s="1" t="s">
        <v>138</v>
      </c>
      <c r="B240" s="1" t="s">
        <v>83</v>
      </c>
      <c r="C240" s="1" t="s">
        <v>82</v>
      </c>
      <c r="D240" s="1" t="s">
        <v>235</v>
      </c>
      <c r="E240" s="1" t="s">
        <v>236</v>
      </c>
      <c r="F240" s="1" t="s">
        <v>126</v>
      </c>
      <c r="G240" s="1" t="s">
        <v>27</v>
      </c>
      <c r="H240" s="1">
        <v>5000</v>
      </c>
      <c r="J240" s="51">
        <v>45196</v>
      </c>
      <c r="L240" s="51">
        <v>45134</v>
      </c>
      <c r="M240" s="1" t="s">
        <v>135</v>
      </c>
      <c r="N240" s="1">
        <v>5</v>
      </c>
      <c r="O240" s="1">
        <v>25.17</v>
      </c>
      <c r="P240" s="1">
        <v>629250</v>
      </c>
      <c r="Q240" s="1">
        <v>-12.1</v>
      </c>
      <c r="R240" s="1" t="s">
        <v>83</v>
      </c>
      <c r="T240" s="50">
        <f>IF(ISNUMBER(VLOOKUP(U240,Blotter!B:C,2,0)),VLOOKUP(U240,Blotter!B:C,2,0),"")</f>
        <v>6</v>
      </c>
      <c r="U240" s="49" t="str">
        <f t="shared" ref="U240:U246" si="304">D240</f>
        <v>SIU3</v>
      </c>
      <c r="V240" s="49">
        <f t="shared" ref="V240:V246" si="305">N240</f>
        <v>5</v>
      </c>
      <c r="W240" s="49">
        <f t="shared" ref="W240:W246" si="306">O240</f>
        <v>25.17</v>
      </c>
      <c r="X240" s="49">
        <f t="shared" ref="X240:X246" si="307">Q240</f>
        <v>-12.1</v>
      </c>
    </row>
    <row r="241" spans="1:24" x14ac:dyDescent="0.4">
      <c r="A241" s="1" t="s">
        <v>138</v>
      </c>
      <c r="B241" s="1" t="s">
        <v>83</v>
      </c>
      <c r="C241" s="1" t="s">
        <v>82</v>
      </c>
      <c r="D241" s="1" t="s">
        <v>235</v>
      </c>
      <c r="E241" s="1" t="s">
        <v>236</v>
      </c>
      <c r="F241" s="1" t="s">
        <v>126</v>
      </c>
      <c r="G241" s="1" t="s">
        <v>27</v>
      </c>
      <c r="H241" s="1">
        <v>5000</v>
      </c>
      <c r="J241" s="51">
        <v>45196</v>
      </c>
      <c r="L241" s="51">
        <v>45134</v>
      </c>
      <c r="M241" s="1" t="s">
        <v>135</v>
      </c>
      <c r="N241" s="1">
        <v>5</v>
      </c>
      <c r="O241" s="1">
        <v>25.15</v>
      </c>
      <c r="P241" s="1">
        <v>628750</v>
      </c>
      <c r="Q241" s="1">
        <v>-12.1</v>
      </c>
      <c r="R241" s="1" t="s">
        <v>83</v>
      </c>
      <c r="T241" s="50">
        <f>IF(ISNUMBER(VLOOKUP(U241,Blotter!B:C,2,0)),VLOOKUP(U241,Blotter!B:C,2,0),"")</f>
        <v>6</v>
      </c>
      <c r="U241" s="49" t="str">
        <f t="shared" si="304"/>
        <v>SIU3</v>
      </c>
      <c r="V241" s="49">
        <f t="shared" si="305"/>
        <v>5</v>
      </c>
      <c r="W241" s="49">
        <f t="shared" si="306"/>
        <v>25.15</v>
      </c>
      <c r="X241" s="49">
        <f t="shared" si="307"/>
        <v>-12.1</v>
      </c>
    </row>
    <row r="242" spans="1:24" x14ac:dyDescent="0.4">
      <c r="A242" s="1" t="s">
        <v>138</v>
      </c>
      <c r="B242" s="1" t="s">
        <v>83</v>
      </c>
      <c r="C242" s="1" t="s">
        <v>82</v>
      </c>
      <c r="D242" s="1" t="s">
        <v>235</v>
      </c>
      <c r="E242" s="1" t="s">
        <v>236</v>
      </c>
      <c r="F242" s="1" t="s">
        <v>126</v>
      </c>
      <c r="G242" s="1" t="s">
        <v>27</v>
      </c>
      <c r="H242" s="1">
        <v>5000</v>
      </c>
      <c r="J242" s="51">
        <v>45196</v>
      </c>
      <c r="L242" s="51">
        <v>45134</v>
      </c>
      <c r="M242" s="1" t="s">
        <v>135</v>
      </c>
      <c r="N242" s="1">
        <v>3</v>
      </c>
      <c r="O242" s="1">
        <v>25.05</v>
      </c>
      <c r="P242" s="1">
        <v>375750</v>
      </c>
      <c r="Q242" s="1">
        <v>-7.26</v>
      </c>
      <c r="R242" s="1" t="s">
        <v>83</v>
      </c>
      <c r="T242" s="50">
        <f>IF(ISNUMBER(VLOOKUP(U242,Blotter!B:C,2,0)),VLOOKUP(U242,Blotter!B:C,2,0),"")</f>
        <v>6</v>
      </c>
      <c r="U242" s="49" t="str">
        <f t="shared" si="304"/>
        <v>SIU3</v>
      </c>
      <c r="V242" s="49">
        <f t="shared" si="305"/>
        <v>3</v>
      </c>
      <c r="W242" s="49">
        <f t="shared" si="306"/>
        <v>25.05</v>
      </c>
      <c r="X242" s="49">
        <f t="shared" si="307"/>
        <v>-7.26</v>
      </c>
    </row>
    <row r="243" spans="1:24" x14ac:dyDescent="0.4">
      <c r="A243" s="1" t="s">
        <v>138</v>
      </c>
      <c r="B243" s="1" t="s">
        <v>83</v>
      </c>
      <c r="C243" s="1" t="s">
        <v>82</v>
      </c>
      <c r="D243" s="1" t="s">
        <v>235</v>
      </c>
      <c r="E243" s="1" t="s">
        <v>236</v>
      </c>
      <c r="F243" s="1" t="s">
        <v>126</v>
      </c>
      <c r="G243" s="1" t="s">
        <v>27</v>
      </c>
      <c r="H243" s="1">
        <v>5000</v>
      </c>
      <c r="J243" s="51">
        <v>45196</v>
      </c>
      <c r="L243" s="51">
        <v>45134</v>
      </c>
      <c r="M243" s="1" t="s">
        <v>135</v>
      </c>
      <c r="N243" s="1">
        <v>3</v>
      </c>
      <c r="O243" s="1">
        <v>24.75</v>
      </c>
      <c r="P243" s="1">
        <v>371250</v>
      </c>
      <c r="Q243" s="1">
        <v>-7.26</v>
      </c>
      <c r="R243" s="1" t="s">
        <v>83</v>
      </c>
      <c r="T243" s="50">
        <f>IF(ISNUMBER(VLOOKUP(U243,Blotter!B:C,2,0)),VLOOKUP(U243,Blotter!B:C,2,0),"")</f>
        <v>6</v>
      </c>
      <c r="U243" s="49" t="str">
        <f t="shared" si="304"/>
        <v>SIU3</v>
      </c>
      <c r="V243" s="49">
        <f t="shared" si="305"/>
        <v>3</v>
      </c>
      <c r="W243" s="49">
        <f t="shared" si="306"/>
        <v>24.75</v>
      </c>
      <c r="X243" s="49">
        <f t="shared" si="307"/>
        <v>-7.26</v>
      </c>
    </row>
    <row r="244" spans="1:24" x14ac:dyDescent="0.4">
      <c r="A244" s="1" t="s">
        <v>138</v>
      </c>
      <c r="B244" s="1" t="s">
        <v>83</v>
      </c>
      <c r="C244" s="1" t="s">
        <v>82</v>
      </c>
      <c r="D244" s="1" t="s">
        <v>235</v>
      </c>
      <c r="E244" s="1" t="s">
        <v>236</v>
      </c>
      <c r="F244" s="1" t="s">
        <v>126</v>
      </c>
      <c r="G244" s="1" t="s">
        <v>27</v>
      </c>
      <c r="H244" s="1">
        <v>5000</v>
      </c>
      <c r="J244" s="51">
        <v>45196</v>
      </c>
      <c r="L244" s="51">
        <v>45134</v>
      </c>
      <c r="M244" s="1" t="s">
        <v>135</v>
      </c>
      <c r="N244" s="1">
        <v>2</v>
      </c>
      <c r="O244" s="1">
        <v>24.24</v>
      </c>
      <c r="P244" s="1">
        <v>242400</v>
      </c>
      <c r="Q244" s="1">
        <v>-4.84</v>
      </c>
      <c r="R244" s="1" t="s">
        <v>83</v>
      </c>
      <c r="T244" s="50">
        <f>IF(ISNUMBER(VLOOKUP(U244,Blotter!B:C,2,0)),VLOOKUP(U244,Blotter!B:C,2,0),"")</f>
        <v>6</v>
      </c>
      <c r="U244" s="49" t="str">
        <f t="shared" si="304"/>
        <v>SIU3</v>
      </c>
      <c r="V244" s="49">
        <f t="shared" si="305"/>
        <v>2</v>
      </c>
      <c r="W244" s="49">
        <f t="shared" si="306"/>
        <v>24.24</v>
      </c>
      <c r="X244" s="49">
        <f t="shared" si="307"/>
        <v>-4.84</v>
      </c>
    </row>
    <row r="245" spans="1:24" x14ac:dyDescent="0.4">
      <c r="A245" s="1" t="s">
        <v>138</v>
      </c>
      <c r="B245" s="1" t="s">
        <v>83</v>
      </c>
      <c r="C245" s="1" t="s">
        <v>82</v>
      </c>
      <c r="D245" s="1" t="s">
        <v>235</v>
      </c>
      <c r="E245" s="1" t="s">
        <v>236</v>
      </c>
      <c r="F245" s="1" t="s">
        <v>126</v>
      </c>
      <c r="G245" s="1" t="s">
        <v>27</v>
      </c>
      <c r="H245" s="1">
        <v>5000</v>
      </c>
      <c r="J245" s="51">
        <v>45196</v>
      </c>
      <c r="L245" s="51">
        <v>45134</v>
      </c>
      <c r="M245" s="1" t="s">
        <v>139</v>
      </c>
      <c r="N245" s="1">
        <v>-5</v>
      </c>
      <c r="O245" s="1">
        <v>25.19</v>
      </c>
      <c r="P245" s="1">
        <v>-629750</v>
      </c>
      <c r="Q245" s="1">
        <v>-12.1</v>
      </c>
      <c r="R245" s="1" t="s">
        <v>83</v>
      </c>
      <c r="T245" s="50">
        <f>IF(ISNUMBER(VLOOKUP(U245,Blotter!B:C,2,0)),VLOOKUP(U245,Blotter!B:C,2,0),"")</f>
        <v>6</v>
      </c>
      <c r="U245" s="49" t="str">
        <f t="shared" si="304"/>
        <v>SIU3</v>
      </c>
      <c r="V245" s="49">
        <f t="shared" si="305"/>
        <v>-5</v>
      </c>
      <c r="W245" s="49">
        <f t="shared" si="306"/>
        <v>25.19</v>
      </c>
      <c r="X245" s="49">
        <f t="shared" si="307"/>
        <v>-12.1</v>
      </c>
    </row>
    <row r="246" spans="1:24" x14ac:dyDescent="0.4">
      <c r="A246" s="1" t="s">
        <v>138</v>
      </c>
      <c r="B246" s="1" t="s">
        <v>83</v>
      </c>
      <c r="C246" s="1" t="s">
        <v>82</v>
      </c>
      <c r="D246" s="1" t="s">
        <v>235</v>
      </c>
      <c r="E246" s="1" t="s">
        <v>236</v>
      </c>
      <c r="F246" s="1" t="s">
        <v>126</v>
      </c>
      <c r="G246" s="1" t="s">
        <v>27</v>
      </c>
      <c r="H246" s="1">
        <v>5000</v>
      </c>
      <c r="J246" s="51">
        <v>45196</v>
      </c>
      <c r="L246" s="51">
        <v>45134</v>
      </c>
      <c r="M246" s="1" t="s">
        <v>139</v>
      </c>
      <c r="N246" s="1">
        <v>-3</v>
      </c>
      <c r="O246" s="1">
        <v>25.26</v>
      </c>
      <c r="P246" s="1">
        <v>-378900</v>
      </c>
      <c r="Q246" s="1">
        <v>-7.26</v>
      </c>
      <c r="R246" s="1" t="s">
        <v>83</v>
      </c>
      <c r="T246" s="50">
        <f>IF(ISNUMBER(VLOOKUP(U246,Blotter!B:C,2,0)),VLOOKUP(U246,Blotter!B:C,2,0),"")</f>
        <v>6</v>
      </c>
      <c r="U246" s="49" t="str">
        <f t="shared" si="304"/>
        <v>SIU3</v>
      </c>
      <c r="V246" s="49">
        <f t="shared" si="305"/>
        <v>-3</v>
      </c>
      <c r="W246" s="49">
        <f t="shared" si="306"/>
        <v>25.26</v>
      </c>
      <c r="X246" s="49">
        <f t="shared" si="307"/>
        <v>-7.26</v>
      </c>
    </row>
    <row r="247" spans="1:24" x14ac:dyDescent="0.4">
      <c r="A247" s="1" t="s">
        <v>138</v>
      </c>
      <c r="B247" s="1" t="s">
        <v>83</v>
      </c>
      <c r="C247" s="1" t="s">
        <v>82</v>
      </c>
      <c r="D247" s="1" t="s">
        <v>263</v>
      </c>
      <c r="E247" s="1" t="s">
        <v>267</v>
      </c>
      <c r="F247" s="1" t="s">
        <v>100</v>
      </c>
      <c r="G247" s="1" t="s">
        <v>33</v>
      </c>
      <c r="H247" s="1">
        <v>37500</v>
      </c>
      <c r="J247" s="51">
        <v>45189</v>
      </c>
      <c r="L247" s="51">
        <v>45135</v>
      </c>
      <c r="M247" s="1" t="s">
        <v>135</v>
      </c>
      <c r="N247" s="1">
        <v>3</v>
      </c>
      <c r="O247" s="59">
        <v>158.4</v>
      </c>
      <c r="P247" s="1">
        <v>178200</v>
      </c>
      <c r="Q247" s="1">
        <v>-8.91</v>
      </c>
      <c r="R247" s="1" t="s">
        <v>83</v>
      </c>
      <c r="T247" s="50">
        <f>IF(ISNUMBER(VLOOKUP(U247,Blotter!B:C,2,0)),VLOOKUP(U247,Blotter!B:C,2,0),"")</f>
        <v>16</v>
      </c>
      <c r="U247" s="49" t="str">
        <f t="shared" ref="U247" si="308">D247</f>
        <v>KCU3</v>
      </c>
      <c r="V247" s="49">
        <f t="shared" ref="V247" si="309">N247</f>
        <v>3</v>
      </c>
      <c r="W247" s="49">
        <f t="shared" ref="W247" si="310">O247</f>
        <v>158.4</v>
      </c>
      <c r="X247" s="49">
        <f t="shared" ref="X247" si="311">Q247</f>
        <v>-8.91</v>
      </c>
    </row>
    <row r="248" spans="1:24" x14ac:dyDescent="0.4">
      <c r="A248" s="1" t="s">
        <v>138</v>
      </c>
      <c r="B248" s="1" t="s">
        <v>83</v>
      </c>
      <c r="C248" s="1" t="s">
        <v>82</v>
      </c>
      <c r="D248" s="1" t="s">
        <v>263</v>
      </c>
      <c r="E248" s="1" t="s">
        <v>267</v>
      </c>
      <c r="F248" s="1" t="s">
        <v>100</v>
      </c>
      <c r="G248" s="1" t="s">
        <v>33</v>
      </c>
      <c r="H248" s="1">
        <v>37500</v>
      </c>
      <c r="J248" s="51">
        <v>45189</v>
      </c>
      <c r="L248" s="51">
        <v>45135</v>
      </c>
      <c r="M248" s="1" t="s">
        <v>139</v>
      </c>
      <c r="N248" s="1">
        <v>-3</v>
      </c>
      <c r="O248" s="59">
        <v>158.69999999999999</v>
      </c>
      <c r="P248" s="1">
        <v>-178537.5</v>
      </c>
      <c r="Q248" s="1">
        <v>-8.91</v>
      </c>
      <c r="R248" s="1" t="s">
        <v>83</v>
      </c>
      <c r="T248" s="50">
        <f>IF(ISNUMBER(VLOOKUP(U248,Blotter!B:C,2,0)),VLOOKUP(U248,Blotter!B:C,2,0),"")</f>
        <v>16</v>
      </c>
      <c r="U248" s="49" t="str">
        <f t="shared" ref="U248" si="312">D248</f>
        <v>KCU3</v>
      </c>
      <c r="V248" s="49">
        <f t="shared" ref="V248" si="313">N248</f>
        <v>-3</v>
      </c>
      <c r="W248" s="49">
        <f t="shared" ref="W248" si="314">O248</f>
        <v>158.69999999999999</v>
      </c>
      <c r="X248" s="49">
        <f t="shared" ref="X248" si="315">Q248</f>
        <v>-8.91</v>
      </c>
    </row>
    <row r="249" spans="1:24" x14ac:dyDescent="0.4">
      <c r="A249" s="1" t="s">
        <v>138</v>
      </c>
      <c r="B249" s="1" t="s">
        <v>83</v>
      </c>
      <c r="C249" s="1" t="s">
        <v>82</v>
      </c>
      <c r="D249" s="1" t="s">
        <v>235</v>
      </c>
      <c r="E249" s="1" t="s">
        <v>236</v>
      </c>
      <c r="F249" s="1" t="s">
        <v>126</v>
      </c>
      <c r="G249" s="1" t="s">
        <v>27</v>
      </c>
      <c r="H249" s="1">
        <v>5000</v>
      </c>
      <c r="J249" s="51">
        <v>45196</v>
      </c>
      <c r="L249" s="51">
        <v>45135</v>
      </c>
      <c r="M249" s="1" t="s">
        <v>139</v>
      </c>
      <c r="N249" s="1">
        <v>-2</v>
      </c>
      <c r="O249" s="1">
        <v>24.45</v>
      </c>
      <c r="P249" s="1">
        <v>-244500</v>
      </c>
      <c r="Q249" s="1">
        <v>-4.84</v>
      </c>
      <c r="R249" s="1" t="s">
        <v>83</v>
      </c>
      <c r="T249" s="50">
        <f>IF(ISNUMBER(VLOOKUP(U249,Blotter!B:C,2,0)),VLOOKUP(U249,Blotter!B:C,2,0),"")</f>
        <v>6</v>
      </c>
      <c r="U249" s="49" t="str">
        <f t="shared" ref="U249" si="316">D249</f>
        <v>SIU3</v>
      </c>
      <c r="V249" s="49">
        <f t="shared" ref="V249" si="317">N249</f>
        <v>-2</v>
      </c>
      <c r="W249" s="49">
        <f t="shared" ref="W249" si="318">O249</f>
        <v>24.45</v>
      </c>
      <c r="X249" s="49">
        <f t="shared" ref="X249" si="319">Q249</f>
        <v>-4.84</v>
      </c>
    </row>
    <row r="250" spans="1:24" x14ac:dyDescent="0.4">
      <c r="A250" s="1" t="s">
        <v>138</v>
      </c>
      <c r="B250" s="1" t="s">
        <v>83</v>
      </c>
      <c r="C250" s="1" t="s">
        <v>82</v>
      </c>
      <c r="D250" s="1" t="s">
        <v>235</v>
      </c>
      <c r="E250" s="1" t="s">
        <v>236</v>
      </c>
      <c r="F250" s="1" t="s">
        <v>126</v>
      </c>
      <c r="G250" s="1" t="s">
        <v>27</v>
      </c>
      <c r="H250" s="1">
        <v>5000</v>
      </c>
      <c r="J250" s="51">
        <v>45196</v>
      </c>
      <c r="L250" s="51">
        <v>45135</v>
      </c>
      <c r="M250" s="1" t="s">
        <v>139</v>
      </c>
      <c r="N250" s="1">
        <v>-3</v>
      </c>
      <c r="O250" s="1">
        <v>24.48</v>
      </c>
      <c r="P250" s="1">
        <v>-367200</v>
      </c>
      <c r="Q250" s="1">
        <v>-7.26</v>
      </c>
      <c r="R250" s="1" t="s">
        <v>83</v>
      </c>
      <c r="T250" s="50">
        <f>IF(ISNUMBER(VLOOKUP(U250,Blotter!B:C,2,0)),VLOOKUP(U250,Blotter!B:C,2,0),"")</f>
        <v>6</v>
      </c>
      <c r="U250" s="49" t="str">
        <f t="shared" ref="U250:U252" si="320">D250</f>
        <v>SIU3</v>
      </c>
      <c r="V250" s="49">
        <f t="shared" ref="V250:V252" si="321">N250</f>
        <v>-3</v>
      </c>
      <c r="W250" s="49">
        <f t="shared" ref="W250:W252" si="322">O250</f>
        <v>24.48</v>
      </c>
      <c r="X250" s="49">
        <f t="shared" ref="X250:X252" si="323">Q250</f>
        <v>-7.26</v>
      </c>
    </row>
    <row r="251" spans="1:24" x14ac:dyDescent="0.4">
      <c r="A251" s="1" t="s">
        <v>138</v>
      </c>
      <c r="B251" s="1" t="s">
        <v>83</v>
      </c>
      <c r="C251" s="1" t="s">
        <v>82</v>
      </c>
      <c r="D251" s="1" t="s">
        <v>263</v>
      </c>
      <c r="E251" s="1" t="s">
        <v>267</v>
      </c>
      <c r="F251" s="1" t="s">
        <v>100</v>
      </c>
      <c r="G251" s="1" t="s">
        <v>33</v>
      </c>
      <c r="H251" s="1">
        <v>37500</v>
      </c>
      <c r="J251" s="51">
        <v>45189</v>
      </c>
      <c r="L251" s="51">
        <v>45138</v>
      </c>
      <c r="M251" s="1" t="s">
        <v>139</v>
      </c>
      <c r="N251" s="1">
        <v>-3</v>
      </c>
      <c r="O251" s="59">
        <v>163</v>
      </c>
      <c r="P251" s="1">
        <v>-183375</v>
      </c>
      <c r="Q251" s="1">
        <v>-8.91</v>
      </c>
      <c r="R251" s="1" t="s">
        <v>83</v>
      </c>
      <c r="T251" s="50">
        <f>IF(ISNUMBER(VLOOKUP(U251,Blotter!B:C,2,0)),VLOOKUP(U251,Blotter!B:C,2,0),"")</f>
        <v>16</v>
      </c>
      <c r="U251" s="49" t="str">
        <f t="shared" si="320"/>
        <v>KCU3</v>
      </c>
      <c r="V251" s="49">
        <f t="shared" si="321"/>
        <v>-3</v>
      </c>
      <c r="W251" s="49">
        <f t="shared" si="322"/>
        <v>163</v>
      </c>
      <c r="X251" s="49">
        <f t="shared" si="323"/>
        <v>-8.91</v>
      </c>
    </row>
    <row r="252" spans="1:24" x14ac:dyDescent="0.4">
      <c r="A252" s="1" t="s">
        <v>138</v>
      </c>
      <c r="B252" s="1" t="s">
        <v>83</v>
      </c>
      <c r="C252" s="1" t="s">
        <v>82</v>
      </c>
      <c r="D252" s="1" t="s">
        <v>235</v>
      </c>
      <c r="E252" s="1" t="s">
        <v>236</v>
      </c>
      <c r="F252" s="1" t="s">
        <v>126</v>
      </c>
      <c r="G252" s="1" t="s">
        <v>27</v>
      </c>
      <c r="H252" s="1">
        <v>5000</v>
      </c>
      <c r="J252" s="51">
        <v>45196</v>
      </c>
      <c r="L252" s="51">
        <v>45138</v>
      </c>
      <c r="M252" s="1" t="s">
        <v>135</v>
      </c>
      <c r="N252" s="1">
        <v>4</v>
      </c>
      <c r="O252" s="1">
        <v>24.85</v>
      </c>
      <c r="P252" s="1">
        <v>497000</v>
      </c>
      <c r="Q252" s="1">
        <v>-9.68</v>
      </c>
      <c r="R252" s="1" t="s">
        <v>83</v>
      </c>
      <c r="T252" s="50">
        <f>IF(ISNUMBER(VLOOKUP(U252,Blotter!B:C,2,0)),VLOOKUP(U252,Blotter!B:C,2,0),"")</f>
        <v>6</v>
      </c>
      <c r="U252" s="49" t="str">
        <f t="shared" si="320"/>
        <v>SIU3</v>
      </c>
      <c r="V252" s="49">
        <f t="shared" si="321"/>
        <v>4</v>
      </c>
      <c r="W252" s="49">
        <f t="shared" si="322"/>
        <v>24.85</v>
      </c>
      <c r="X252" s="49">
        <f t="shared" si="323"/>
        <v>-9.68</v>
      </c>
    </row>
    <row r="253" spans="1:24" x14ac:dyDescent="0.4">
      <c r="A253" s="1" t="s">
        <v>138</v>
      </c>
      <c r="B253" s="1" t="s">
        <v>83</v>
      </c>
      <c r="C253" s="1" t="s">
        <v>82</v>
      </c>
      <c r="D253" s="1" t="s">
        <v>235</v>
      </c>
      <c r="E253" s="1" t="s">
        <v>236</v>
      </c>
      <c r="F253" s="1" t="s">
        <v>126</v>
      </c>
      <c r="G253" s="1" t="s">
        <v>27</v>
      </c>
      <c r="H253" s="1">
        <v>5000</v>
      </c>
      <c r="J253" s="51">
        <v>45196</v>
      </c>
      <c r="L253" s="51">
        <v>45138</v>
      </c>
      <c r="M253" s="1" t="s">
        <v>139</v>
      </c>
      <c r="N253" s="1">
        <v>-5</v>
      </c>
      <c r="O253" s="1">
        <v>24.75</v>
      </c>
      <c r="P253" s="1">
        <v>-618750</v>
      </c>
      <c r="Q253" s="1">
        <v>-12.1</v>
      </c>
      <c r="R253" s="1" t="s">
        <v>83</v>
      </c>
      <c r="T253" s="50">
        <f>IF(ISNUMBER(VLOOKUP(U253,Blotter!B:C,2,0)),VLOOKUP(U253,Blotter!B:C,2,0),"")</f>
        <v>6</v>
      </c>
      <c r="U253" s="49" t="str">
        <f t="shared" ref="U253:U256" si="324">D253</f>
        <v>SIU3</v>
      </c>
      <c r="V253" s="49">
        <f t="shared" ref="V253:V256" si="325">N253</f>
        <v>-5</v>
      </c>
      <c r="W253" s="49">
        <f t="shared" ref="W253:W256" si="326">O253</f>
        <v>24.75</v>
      </c>
      <c r="X253" s="49">
        <f t="shared" ref="X253:X256" si="327">Q253</f>
        <v>-12.1</v>
      </c>
    </row>
    <row r="254" spans="1:24" x14ac:dyDescent="0.4">
      <c r="A254" s="1" t="s">
        <v>138</v>
      </c>
      <c r="B254" s="1" t="s">
        <v>83</v>
      </c>
      <c r="C254" s="1" t="s">
        <v>82</v>
      </c>
      <c r="D254" s="1" t="s">
        <v>235</v>
      </c>
      <c r="E254" s="1" t="s">
        <v>236</v>
      </c>
      <c r="F254" s="1" t="s">
        <v>126</v>
      </c>
      <c r="G254" s="1" t="s">
        <v>27</v>
      </c>
      <c r="H254" s="1">
        <v>5000</v>
      </c>
      <c r="J254" s="51">
        <v>45196</v>
      </c>
      <c r="L254" s="51">
        <v>45138</v>
      </c>
      <c r="M254" s="1" t="s">
        <v>139</v>
      </c>
      <c r="N254" s="1">
        <v>-5</v>
      </c>
      <c r="O254" s="1">
        <v>24.8</v>
      </c>
      <c r="P254" s="1">
        <v>-620000</v>
      </c>
      <c r="Q254" s="1">
        <v>-12.1</v>
      </c>
      <c r="R254" s="1" t="s">
        <v>83</v>
      </c>
      <c r="T254" s="50">
        <f>IF(ISNUMBER(VLOOKUP(U254,Blotter!B:C,2,0)),VLOOKUP(U254,Blotter!B:C,2,0),"")</f>
        <v>6</v>
      </c>
      <c r="U254" s="49" t="str">
        <f t="shared" si="324"/>
        <v>SIU3</v>
      </c>
      <c r="V254" s="49">
        <f t="shared" si="325"/>
        <v>-5</v>
      </c>
      <c r="W254" s="49">
        <f t="shared" si="326"/>
        <v>24.8</v>
      </c>
      <c r="X254" s="49">
        <f t="shared" si="327"/>
        <v>-12.1</v>
      </c>
    </row>
    <row r="255" spans="1:24" x14ac:dyDescent="0.4">
      <c r="A255" s="1" t="s">
        <v>138</v>
      </c>
      <c r="B255" s="1" t="s">
        <v>83</v>
      </c>
      <c r="C255" s="1" t="s">
        <v>82</v>
      </c>
      <c r="D255" s="1" t="s">
        <v>235</v>
      </c>
      <c r="E255" s="1" t="s">
        <v>236</v>
      </c>
      <c r="F255" s="1" t="s">
        <v>126</v>
      </c>
      <c r="G255" s="1" t="s">
        <v>27</v>
      </c>
      <c r="H255" s="1">
        <v>5000</v>
      </c>
      <c r="J255" s="51">
        <v>45196</v>
      </c>
      <c r="L255" s="51">
        <v>45138</v>
      </c>
      <c r="M255" s="1" t="s">
        <v>139</v>
      </c>
      <c r="N255" s="1">
        <v>-2</v>
      </c>
      <c r="O255" s="1">
        <v>24.95</v>
      </c>
      <c r="P255" s="1">
        <v>-249500</v>
      </c>
      <c r="Q255" s="1">
        <v>-4.84</v>
      </c>
      <c r="R255" s="1" t="s">
        <v>83</v>
      </c>
      <c r="T255" s="50">
        <f>IF(ISNUMBER(VLOOKUP(U255,Blotter!B:C,2,0)),VLOOKUP(U255,Blotter!B:C,2,0),"")</f>
        <v>6</v>
      </c>
      <c r="U255" s="49" t="str">
        <f t="shared" si="324"/>
        <v>SIU3</v>
      </c>
      <c r="V255" s="49">
        <f t="shared" si="325"/>
        <v>-2</v>
      </c>
      <c r="W255" s="49">
        <f t="shared" si="326"/>
        <v>24.95</v>
      </c>
      <c r="X255" s="49">
        <f t="shared" si="327"/>
        <v>-4.84</v>
      </c>
    </row>
    <row r="256" spans="1:24" x14ac:dyDescent="0.4">
      <c r="A256" s="1" t="s">
        <v>138</v>
      </c>
      <c r="B256" s="1" t="s">
        <v>83</v>
      </c>
      <c r="C256" s="1" t="s">
        <v>82</v>
      </c>
      <c r="D256" s="1" t="s">
        <v>235</v>
      </c>
      <c r="E256" s="1" t="s">
        <v>236</v>
      </c>
      <c r="F256" s="1" t="s">
        <v>126</v>
      </c>
      <c r="G256" s="1" t="s">
        <v>27</v>
      </c>
      <c r="H256" s="1">
        <v>5000</v>
      </c>
      <c r="J256" s="51">
        <v>45196</v>
      </c>
      <c r="L256" s="51">
        <v>45138</v>
      </c>
      <c r="M256" s="1" t="s">
        <v>139</v>
      </c>
      <c r="N256" s="1">
        <v>-2</v>
      </c>
      <c r="O256" s="1">
        <v>24.96</v>
      </c>
      <c r="P256" s="1">
        <v>-249600</v>
      </c>
      <c r="Q256" s="1">
        <v>-4.84</v>
      </c>
      <c r="R256" s="1" t="s">
        <v>83</v>
      </c>
      <c r="T256" s="50">
        <f>IF(ISNUMBER(VLOOKUP(U256,Blotter!B:C,2,0)),VLOOKUP(U256,Blotter!B:C,2,0),"")</f>
        <v>6</v>
      </c>
      <c r="U256" s="49" t="str">
        <f t="shared" si="324"/>
        <v>SIU3</v>
      </c>
      <c r="V256" s="49">
        <f t="shared" si="325"/>
        <v>-2</v>
      </c>
      <c r="W256" s="49">
        <f t="shared" si="326"/>
        <v>24.96</v>
      </c>
      <c r="X256" s="49">
        <f t="shared" si="327"/>
        <v>-4.84</v>
      </c>
    </row>
    <row r="257" spans="1:24" x14ac:dyDescent="0.4">
      <c r="A257" s="1" t="s">
        <v>138</v>
      </c>
      <c r="B257" s="1" t="s">
        <v>83</v>
      </c>
      <c r="C257" s="1" t="s">
        <v>87</v>
      </c>
      <c r="D257" s="1" t="s">
        <v>270</v>
      </c>
      <c r="E257" s="1" t="s">
        <v>271</v>
      </c>
      <c r="F257" s="1" t="s">
        <v>129</v>
      </c>
      <c r="G257" s="1" t="s">
        <v>4</v>
      </c>
      <c r="H257" s="1">
        <v>100</v>
      </c>
      <c r="I257" s="1">
        <v>4390</v>
      </c>
      <c r="J257" s="51">
        <v>45219</v>
      </c>
      <c r="K257" s="1" t="s">
        <v>89</v>
      </c>
      <c r="L257" s="51">
        <v>45139</v>
      </c>
      <c r="M257" s="1" t="s">
        <v>135</v>
      </c>
      <c r="N257" s="1">
        <v>10</v>
      </c>
      <c r="O257" s="1">
        <v>47.7</v>
      </c>
      <c r="P257" s="1">
        <v>47700</v>
      </c>
      <c r="Q257" s="1">
        <v>-13.625500000000001</v>
      </c>
      <c r="R257" s="1" t="s">
        <v>83</v>
      </c>
      <c r="T257" s="50">
        <f>IF(ISNUMBER(VLOOKUP(U257,Blotter!B:C,2,0)),VLOOKUP(U257,Blotter!B:C,2,0),"")</f>
        <v>17</v>
      </c>
      <c r="U257" s="49" t="str">
        <f t="shared" ref="U257:U259" si="328">D257</f>
        <v>SPX   231020P04390000</v>
      </c>
      <c r="V257" s="49">
        <f t="shared" ref="V257:V259" si="329">N257</f>
        <v>10</v>
      </c>
      <c r="W257" s="49">
        <f t="shared" ref="W257:W259" si="330">O257</f>
        <v>47.7</v>
      </c>
      <c r="X257" s="49">
        <f t="shared" ref="X257:X259" si="331">Q257</f>
        <v>-13.625500000000001</v>
      </c>
    </row>
    <row r="258" spans="1:24" x14ac:dyDescent="0.4">
      <c r="A258" s="1" t="s">
        <v>138</v>
      </c>
      <c r="B258" s="1" t="s">
        <v>83</v>
      </c>
      <c r="C258" s="1" t="s">
        <v>82</v>
      </c>
      <c r="D258" s="1" t="s">
        <v>257</v>
      </c>
      <c r="E258" s="1" t="s">
        <v>260</v>
      </c>
      <c r="F258" s="1" t="s">
        <v>100</v>
      </c>
      <c r="G258" s="1" t="s">
        <v>32</v>
      </c>
      <c r="H258" s="1">
        <v>112000</v>
      </c>
      <c r="J258" s="51">
        <v>45198</v>
      </c>
      <c r="L258" s="51">
        <v>45139</v>
      </c>
      <c r="M258" s="1" t="s">
        <v>139</v>
      </c>
      <c r="N258" s="1">
        <v>-7</v>
      </c>
      <c r="O258" s="59">
        <v>24.35</v>
      </c>
      <c r="P258" s="1">
        <v>-190904</v>
      </c>
      <c r="Q258" s="1">
        <v>-20.79</v>
      </c>
      <c r="R258" s="1" t="s">
        <v>83</v>
      </c>
      <c r="T258" s="50">
        <f>IF(ISNUMBER(VLOOKUP(U258,Blotter!B:C,2,0)),VLOOKUP(U258,Blotter!B:C,2,0),"")</f>
        <v>14</v>
      </c>
      <c r="U258" s="49" t="str">
        <f t="shared" si="328"/>
        <v>SBV3</v>
      </c>
      <c r="V258" s="49">
        <f t="shared" si="329"/>
        <v>-7</v>
      </c>
      <c r="W258" s="49">
        <f t="shared" si="330"/>
        <v>24.35</v>
      </c>
      <c r="X258" s="49">
        <f t="shared" si="331"/>
        <v>-20.79</v>
      </c>
    </row>
    <row r="259" spans="1:24" x14ac:dyDescent="0.4">
      <c r="A259" s="1" t="s">
        <v>138</v>
      </c>
      <c r="B259" s="1" t="s">
        <v>83</v>
      </c>
      <c r="C259" s="1" t="s">
        <v>82</v>
      </c>
      <c r="D259" s="1" t="s">
        <v>235</v>
      </c>
      <c r="E259" s="1" t="s">
        <v>236</v>
      </c>
      <c r="F259" s="1" t="s">
        <v>126</v>
      </c>
      <c r="G259" s="1" t="s">
        <v>27</v>
      </c>
      <c r="H259" s="1">
        <v>5000</v>
      </c>
      <c r="J259" s="51">
        <v>45196</v>
      </c>
      <c r="L259" s="51">
        <v>45139</v>
      </c>
      <c r="M259" s="1" t="s">
        <v>135</v>
      </c>
      <c r="N259" s="1">
        <v>5</v>
      </c>
      <c r="O259" s="1">
        <v>24.85</v>
      </c>
      <c r="P259" s="1">
        <v>621250</v>
      </c>
      <c r="Q259" s="1">
        <v>-12.1</v>
      </c>
      <c r="R259" s="1" t="s">
        <v>83</v>
      </c>
      <c r="T259" s="50">
        <f>IF(ISNUMBER(VLOOKUP(U259,Blotter!B:C,2,0)),VLOOKUP(U259,Blotter!B:C,2,0),"")</f>
        <v>6</v>
      </c>
      <c r="U259" s="49" t="str">
        <f t="shared" si="328"/>
        <v>SIU3</v>
      </c>
      <c r="V259" s="49">
        <f t="shared" si="329"/>
        <v>5</v>
      </c>
      <c r="W259" s="49">
        <f t="shared" si="330"/>
        <v>24.85</v>
      </c>
      <c r="X259" s="49">
        <f t="shared" si="331"/>
        <v>-12.1</v>
      </c>
    </row>
    <row r="260" spans="1:24" x14ac:dyDescent="0.4">
      <c r="A260" s="1" t="s">
        <v>138</v>
      </c>
      <c r="B260" s="1" t="s">
        <v>83</v>
      </c>
      <c r="C260" s="1" t="s">
        <v>82</v>
      </c>
      <c r="D260" s="1" t="s">
        <v>235</v>
      </c>
      <c r="E260" s="1" t="s">
        <v>236</v>
      </c>
      <c r="F260" s="1" t="s">
        <v>126</v>
      </c>
      <c r="G260" s="1" t="s">
        <v>27</v>
      </c>
      <c r="H260" s="1">
        <v>5000</v>
      </c>
      <c r="J260" s="51">
        <v>45196</v>
      </c>
      <c r="L260" s="51">
        <v>45139</v>
      </c>
      <c r="M260" s="1" t="s">
        <v>135</v>
      </c>
      <c r="N260" s="1">
        <v>5</v>
      </c>
      <c r="O260" s="1">
        <v>24.65</v>
      </c>
      <c r="P260" s="1">
        <v>616250</v>
      </c>
      <c r="Q260" s="1">
        <v>-12.1</v>
      </c>
      <c r="R260" s="1" t="s">
        <v>83</v>
      </c>
      <c r="T260" s="50">
        <f>IF(ISNUMBER(VLOOKUP(U260,Blotter!B:C,2,0)),VLOOKUP(U260,Blotter!B:C,2,0),"")</f>
        <v>6</v>
      </c>
      <c r="U260" s="49" t="str">
        <f t="shared" ref="U260:U261" si="332">D260</f>
        <v>SIU3</v>
      </c>
      <c r="V260" s="49">
        <f t="shared" ref="V260:V261" si="333">N260</f>
        <v>5</v>
      </c>
      <c r="W260" s="49">
        <f t="shared" ref="W260:W261" si="334">O260</f>
        <v>24.65</v>
      </c>
      <c r="X260" s="49">
        <f t="shared" ref="X260:X261" si="335">Q260</f>
        <v>-12.1</v>
      </c>
    </row>
    <row r="261" spans="1:24" x14ac:dyDescent="0.4">
      <c r="A261" s="1" t="s">
        <v>138</v>
      </c>
      <c r="B261" s="1" t="s">
        <v>83</v>
      </c>
      <c r="C261" s="1" t="s">
        <v>82</v>
      </c>
      <c r="D261" s="1" t="s">
        <v>235</v>
      </c>
      <c r="E261" s="1" t="s">
        <v>236</v>
      </c>
      <c r="F261" s="1" t="s">
        <v>126</v>
      </c>
      <c r="G261" s="1" t="s">
        <v>27</v>
      </c>
      <c r="H261" s="1">
        <v>5000</v>
      </c>
      <c r="J261" s="51">
        <v>45196</v>
      </c>
      <c r="L261" s="51">
        <v>45139</v>
      </c>
      <c r="M261" s="1" t="s">
        <v>135</v>
      </c>
      <c r="N261" s="1">
        <v>2</v>
      </c>
      <c r="O261" s="1">
        <v>24.45</v>
      </c>
      <c r="P261" s="1">
        <v>244500</v>
      </c>
      <c r="Q261" s="1">
        <v>-4.84</v>
      </c>
      <c r="R261" s="1" t="s">
        <v>83</v>
      </c>
      <c r="T261" s="50">
        <f>IF(ISNUMBER(VLOOKUP(U261,Blotter!B:C,2,0)),VLOOKUP(U261,Blotter!B:C,2,0),"")</f>
        <v>6</v>
      </c>
      <c r="U261" s="49" t="str">
        <f t="shared" si="332"/>
        <v>SIU3</v>
      </c>
      <c r="V261" s="49">
        <f t="shared" si="333"/>
        <v>2</v>
      </c>
      <c r="W261" s="49">
        <f t="shared" si="334"/>
        <v>24.45</v>
      </c>
      <c r="X261" s="49">
        <f t="shared" si="335"/>
        <v>-4.84</v>
      </c>
    </row>
    <row r="262" spans="1:24" x14ac:dyDescent="0.4">
      <c r="A262" s="1" t="s">
        <v>138</v>
      </c>
      <c r="B262" s="1" t="s">
        <v>83</v>
      </c>
      <c r="C262" s="1" t="s">
        <v>82</v>
      </c>
      <c r="D262" s="1" t="s">
        <v>235</v>
      </c>
      <c r="E262" s="1" t="s">
        <v>236</v>
      </c>
      <c r="F262" s="1" t="s">
        <v>126</v>
      </c>
      <c r="G262" s="1" t="s">
        <v>27</v>
      </c>
      <c r="H262" s="1">
        <v>5000</v>
      </c>
      <c r="J262" s="51">
        <v>45196</v>
      </c>
      <c r="L262" s="51">
        <v>45139</v>
      </c>
      <c r="M262" s="1" t="s">
        <v>135</v>
      </c>
      <c r="N262" s="1">
        <v>2</v>
      </c>
      <c r="O262" s="1">
        <v>24.34</v>
      </c>
      <c r="P262" s="1">
        <v>243400</v>
      </c>
      <c r="Q262" s="1">
        <v>-4.84</v>
      </c>
      <c r="R262" s="1" t="s">
        <v>83</v>
      </c>
      <c r="T262" s="50">
        <f>IF(ISNUMBER(VLOOKUP(U262,Blotter!B:C,2,0)),VLOOKUP(U262,Blotter!B:C,2,0),"")</f>
        <v>6</v>
      </c>
      <c r="U262" s="49" t="str">
        <f t="shared" ref="U262:U269" si="336">D262</f>
        <v>SIU3</v>
      </c>
      <c r="V262" s="49">
        <f t="shared" ref="V262:V269" si="337">N262</f>
        <v>2</v>
      </c>
      <c r="W262" s="49">
        <f t="shared" ref="W262:W269" si="338">O262</f>
        <v>24.34</v>
      </c>
      <c r="X262" s="49">
        <f t="shared" ref="X262:X269" si="339">Q262</f>
        <v>-4.84</v>
      </c>
    </row>
    <row r="263" spans="1:24" x14ac:dyDescent="0.4">
      <c r="A263" s="1" t="s">
        <v>138</v>
      </c>
      <c r="B263" s="1" t="s">
        <v>83</v>
      </c>
      <c r="C263" s="1" t="s">
        <v>82</v>
      </c>
      <c r="D263" s="1" t="s">
        <v>235</v>
      </c>
      <c r="E263" s="1" t="s">
        <v>236</v>
      </c>
      <c r="F263" s="1" t="s">
        <v>126</v>
      </c>
      <c r="G263" s="1" t="s">
        <v>27</v>
      </c>
      <c r="H263" s="1">
        <v>5000</v>
      </c>
      <c r="J263" s="51">
        <v>45196</v>
      </c>
      <c r="L263" s="51">
        <v>45139</v>
      </c>
      <c r="M263" s="1" t="s">
        <v>135</v>
      </c>
      <c r="N263" s="1">
        <v>2</v>
      </c>
      <c r="O263" s="1">
        <v>24.315000000000001</v>
      </c>
      <c r="P263" s="1">
        <v>243150</v>
      </c>
      <c r="Q263" s="1">
        <v>-4.84</v>
      </c>
      <c r="R263" s="1" t="s">
        <v>83</v>
      </c>
      <c r="T263" s="50">
        <f>IF(ISNUMBER(VLOOKUP(U263,Blotter!B:C,2,0)),VLOOKUP(U263,Blotter!B:C,2,0),"")</f>
        <v>6</v>
      </c>
      <c r="U263" s="49" t="str">
        <f t="shared" si="336"/>
        <v>SIU3</v>
      </c>
      <c r="V263" s="49">
        <f t="shared" si="337"/>
        <v>2</v>
      </c>
      <c r="W263" s="49">
        <f t="shared" si="338"/>
        <v>24.315000000000001</v>
      </c>
      <c r="X263" s="49">
        <f t="shared" si="339"/>
        <v>-4.84</v>
      </c>
    </row>
    <row r="264" spans="1:24" x14ac:dyDescent="0.4">
      <c r="A264" s="1" t="s">
        <v>138</v>
      </c>
      <c r="B264" s="1" t="s">
        <v>83</v>
      </c>
      <c r="C264" s="1" t="s">
        <v>82</v>
      </c>
      <c r="D264" s="1" t="s">
        <v>235</v>
      </c>
      <c r="E264" s="1" t="s">
        <v>236</v>
      </c>
      <c r="F264" s="1" t="s">
        <v>126</v>
      </c>
      <c r="G264" s="1" t="s">
        <v>27</v>
      </c>
      <c r="H264" s="1">
        <v>5000</v>
      </c>
      <c r="J264" s="51">
        <v>45196</v>
      </c>
      <c r="L264" s="51">
        <v>45139</v>
      </c>
      <c r="M264" s="1" t="s">
        <v>135</v>
      </c>
      <c r="N264" s="1">
        <v>2</v>
      </c>
      <c r="O264" s="1">
        <v>24.28</v>
      </c>
      <c r="P264" s="1">
        <v>242800</v>
      </c>
      <c r="Q264" s="1">
        <v>-4.84</v>
      </c>
      <c r="R264" s="1" t="s">
        <v>83</v>
      </c>
      <c r="T264" s="50">
        <f>IF(ISNUMBER(VLOOKUP(U264,Blotter!B:C,2,0)),VLOOKUP(U264,Blotter!B:C,2,0),"")</f>
        <v>6</v>
      </c>
      <c r="U264" s="49" t="str">
        <f t="shared" si="336"/>
        <v>SIU3</v>
      </c>
      <c r="V264" s="49">
        <f t="shared" si="337"/>
        <v>2</v>
      </c>
      <c r="W264" s="49">
        <f t="shared" si="338"/>
        <v>24.28</v>
      </c>
      <c r="X264" s="49">
        <f t="shared" si="339"/>
        <v>-4.84</v>
      </c>
    </row>
    <row r="265" spans="1:24" x14ac:dyDescent="0.4">
      <c r="A265" s="1" t="s">
        <v>138</v>
      </c>
      <c r="B265" s="1" t="s">
        <v>83</v>
      </c>
      <c r="C265" s="1" t="s">
        <v>82</v>
      </c>
      <c r="D265" s="1" t="s">
        <v>235</v>
      </c>
      <c r="E265" s="1" t="s">
        <v>236</v>
      </c>
      <c r="F265" s="1" t="s">
        <v>126</v>
      </c>
      <c r="G265" s="1" t="s">
        <v>27</v>
      </c>
      <c r="H265" s="1">
        <v>5000</v>
      </c>
      <c r="J265" s="51">
        <v>45196</v>
      </c>
      <c r="L265" s="51">
        <v>45139</v>
      </c>
      <c r="M265" s="1" t="s">
        <v>139</v>
      </c>
      <c r="N265" s="1">
        <v>-2</v>
      </c>
      <c r="O265" s="1">
        <v>24.45</v>
      </c>
      <c r="P265" s="1">
        <v>-244500</v>
      </c>
      <c r="Q265" s="1">
        <v>-4.84</v>
      </c>
      <c r="R265" s="1" t="s">
        <v>83</v>
      </c>
      <c r="T265" s="50">
        <f>IF(ISNUMBER(VLOOKUP(U265,Blotter!B:C,2,0)),VLOOKUP(U265,Blotter!B:C,2,0),"")</f>
        <v>6</v>
      </c>
      <c r="U265" s="49" t="str">
        <f t="shared" si="336"/>
        <v>SIU3</v>
      </c>
      <c r="V265" s="49">
        <f t="shared" si="337"/>
        <v>-2</v>
      </c>
      <c r="W265" s="49">
        <f t="shared" si="338"/>
        <v>24.45</v>
      </c>
      <c r="X265" s="49">
        <f t="shared" si="339"/>
        <v>-4.84</v>
      </c>
    </row>
    <row r="266" spans="1:24" x14ac:dyDescent="0.4">
      <c r="A266" s="1" t="s">
        <v>138</v>
      </c>
      <c r="B266" s="1" t="s">
        <v>83</v>
      </c>
      <c r="C266" s="1" t="s">
        <v>82</v>
      </c>
      <c r="D266" s="1" t="s">
        <v>235</v>
      </c>
      <c r="E266" s="1" t="s">
        <v>236</v>
      </c>
      <c r="F266" s="1" t="s">
        <v>126</v>
      </c>
      <c r="G266" s="1" t="s">
        <v>27</v>
      </c>
      <c r="H266" s="1">
        <v>5000</v>
      </c>
      <c r="J266" s="51">
        <v>45196</v>
      </c>
      <c r="L266" s="51">
        <v>45139</v>
      </c>
      <c r="M266" s="1" t="s">
        <v>139</v>
      </c>
      <c r="N266" s="1">
        <v>-2</v>
      </c>
      <c r="O266" s="1">
        <v>24.55</v>
      </c>
      <c r="P266" s="1">
        <v>-245500</v>
      </c>
      <c r="Q266" s="1">
        <v>-4.84</v>
      </c>
      <c r="R266" s="1" t="s">
        <v>83</v>
      </c>
      <c r="T266" s="50">
        <f>IF(ISNUMBER(VLOOKUP(U266,Blotter!B:C,2,0)),VLOOKUP(U266,Blotter!B:C,2,0),"")</f>
        <v>6</v>
      </c>
      <c r="U266" s="49" t="str">
        <f t="shared" si="336"/>
        <v>SIU3</v>
      </c>
      <c r="V266" s="49">
        <f t="shared" si="337"/>
        <v>-2</v>
      </c>
      <c r="W266" s="49">
        <f t="shared" si="338"/>
        <v>24.55</v>
      </c>
      <c r="X266" s="49">
        <f t="shared" si="339"/>
        <v>-4.84</v>
      </c>
    </row>
    <row r="267" spans="1:24" x14ac:dyDescent="0.4">
      <c r="A267" s="1" t="s">
        <v>138</v>
      </c>
      <c r="B267" s="1" t="s">
        <v>83</v>
      </c>
      <c r="C267" s="1" t="s">
        <v>82</v>
      </c>
      <c r="D267" s="1" t="s">
        <v>235</v>
      </c>
      <c r="E267" s="1" t="s">
        <v>236</v>
      </c>
      <c r="F267" s="1" t="s">
        <v>126</v>
      </c>
      <c r="G267" s="1" t="s">
        <v>27</v>
      </c>
      <c r="H267" s="1">
        <v>5000</v>
      </c>
      <c r="J267" s="51">
        <v>45196</v>
      </c>
      <c r="L267" s="51">
        <v>45139</v>
      </c>
      <c r="M267" s="1" t="s">
        <v>139</v>
      </c>
      <c r="N267" s="1">
        <v>-2</v>
      </c>
      <c r="O267" s="1">
        <v>24.4</v>
      </c>
      <c r="P267" s="1">
        <v>-244000</v>
      </c>
      <c r="Q267" s="1">
        <v>-4.84</v>
      </c>
      <c r="R267" s="1" t="s">
        <v>83</v>
      </c>
      <c r="T267" s="50">
        <f>IF(ISNUMBER(VLOOKUP(U267,Blotter!B:C,2,0)),VLOOKUP(U267,Blotter!B:C,2,0),"")</f>
        <v>6</v>
      </c>
      <c r="U267" s="49" t="str">
        <f t="shared" si="336"/>
        <v>SIU3</v>
      </c>
      <c r="V267" s="49">
        <f t="shared" si="337"/>
        <v>-2</v>
      </c>
      <c r="W267" s="49">
        <f t="shared" si="338"/>
        <v>24.4</v>
      </c>
      <c r="X267" s="49">
        <f t="shared" si="339"/>
        <v>-4.84</v>
      </c>
    </row>
    <row r="268" spans="1:24" x14ac:dyDescent="0.4">
      <c r="A268" s="1" t="s">
        <v>138</v>
      </c>
      <c r="B268" s="1" t="s">
        <v>83</v>
      </c>
      <c r="C268" s="1" t="s">
        <v>82</v>
      </c>
      <c r="D268" s="1" t="s">
        <v>235</v>
      </c>
      <c r="E268" s="1" t="s">
        <v>236</v>
      </c>
      <c r="F268" s="1" t="s">
        <v>126</v>
      </c>
      <c r="G268" s="1" t="s">
        <v>27</v>
      </c>
      <c r="H268" s="1">
        <v>5000</v>
      </c>
      <c r="J268" s="51">
        <v>45196</v>
      </c>
      <c r="L268" s="51">
        <v>45139</v>
      </c>
      <c r="M268" s="1" t="s">
        <v>139</v>
      </c>
      <c r="N268" s="1">
        <v>-1</v>
      </c>
      <c r="O268" s="1">
        <v>24.405000000000001</v>
      </c>
      <c r="P268" s="1">
        <v>-122025</v>
      </c>
      <c r="Q268" s="1">
        <v>-2.42</v>
      </c>
      <c r="R268" s="1" t="s">
        <v>83</v>
      </c>
      <c r="T268" s="50">
        <f>IF(ISNUMBER(VLOOKUP(U268,Blotter!B:C,2,0)),VLOOKUP(U268,Blotter!B:C,2,0),"")</f>
        <v>6</v>
      </c>
      <c r="U268" s="49" t="str">
        <f t="shared" si="336"/>
        <v>SIU3</v>
      </c>
      <c r="V268" s="49">
        <f t="shared" si="337"/>
        <v>-1</v>
      </c>
      <c r="W268" s="49">
        <f t="shared" si="338"/>
        <v>24.405000000000001</v>
      </c>
      <c r="X268" s="49">
        <f t="shared" si="339"/>
        <v>-2.42</v>
      </c>
    </row>
    <row r="269" spans="1:24" x14ac:dyDescent="0.4">
      <c r="A269" s="1" t="s">
        <v>138</v>
      </c>
      <c r="B269" s="1" t="s">
        <v>83</v>
      </c>
      <c r="C269" s="1" t="s">
        <v>82</v>
      </c>
      <c r="D269" s="1" t="s">
        <v>235</v>
      </c>
      <c r="E269" s="1" t="s">
        <v>236</v>
      </c>
      <c r="F269" s="1" t="s">
        <v>126</v>
      </c>
      <c r="G269" s="1" t="s">
        <v>27</v>
      </c>
      <c r="H269" s="1">
        <v>5000</v>
      </c>
      <c r="J269" s="51">
        <v>45196</v>
      </c>
      <c r="L269" s="51">
        <v>45139</v>
      </c>
      <c r="M269" s="1" t="s">
        <v>139</v>
      </c>
      <c r="N269" s="1">
        <v>-1</v>
      </c>
      <c r="O269" s="1">
        <v>24.405000000000001</v>
      </c>
      <c r="P269" s="1">
        <v>-122025</v>
      </c>
      <c r="Q269" s="1">
        <v>-2.42</v>
      </c>
      <c r="R269" s="1" t="s">
        <v>83</v>
      </c>
      <c r="T269" s="50">
        <f>IF(ISNUMBER(VLOOKUP(U269,Blotter!B:C,2,0)),VLOOKUP(U269,Blotter!B:C,2,0),"")</f>
        <v>6</v>
      </c>
      <c r="U269" s="49" t="str">
        <f t="shared" si="336"/>
        <v>SIU3</v>
      </c>
      <c r="V269" s="49">
        <f t="shared" si="337"/>
        <v>-1</v>
      </c>
      <c r="W269" s="49">
        <f t="shared" si="338"/>
        <v>24.405000000000001</v>
      </c>
      <c r="X269" s="49">
        <f t="shared" si="339"/>
        <v>-2.42</v>
      </c>
    </row>
    <row r="270" spans="1:24" x14ac:dyDescent="0.4">
      <c r="A270" s="1" t="s">
        <v>138</v>
      </c>
      <c r="B270" s="1" t="s">
        <v>83</v>
      </c>
      <c r="C270" s="1" t="s">
        <v>87</v>
      </c>
      <c r="D270" s="1" t="s">
        <v>272</v>
      </c>
      <c r="E270" s="1" t="s">
        <v>273</v>
      </c>
      <c r="F270" s="1" t="s">
        <v>129</v>
      </c>
      <c r="G270" s="1" t="s">
        <v>4</v>
      </c>
      <c r="H270" s="1">
        <v>100</v>
      </c>
      <c r="I270" s="1">
        <v>4300</v>
      </c>
      <c r="J270" s="51">
        <v>45219</v>
      </c>
      <c r="K270" s="1" t="s">
        <v>89</v>
      </c>
      <c r="L270" s="51">
        <v>45140</v>
      </c>
      <c r="M270" s="1" t="s">
        <v>139</v>
      </c>
      <c r="N270" s="1">
        <v>-1</v>
      </c>
      <c r="O270" s="1">
        <v>39</v>
      </c>
      <c r="P270" s="1">
        <v>-3900</v>
      </c>
      <c r="Q270" s="1">
        <v>-1.71255</v>
      </c>
      <c r="R270" s="1" t="s">
        <v>83</v>
      </c>
      <c r="T270" s="50">
        <f>IF(ISNUMBER(VLOOKUP(U270,Blotter!B:C,2,0)),VLOOKUP(U270,Blotter!B:C,2,0),"")</f>
        <v>17</v>
      </c>
      <c r="U270" s="49" t="str">
        <f t="shared" ref="U270" si="340">D270</f>
        <v>SPX   231020P04300000</v>
      </c>
      <c r="V270" s="49">
        <f t="shared" ref="V270" si="341">N270</f>
        <v>-1</v>
      </c>
      <c r="W270" s="49">
        <f t="shared" ref="W270" si="342">O270</f>
        <v>39</v>
      </c>
      <c r="X270" s="49">
        <f t="shared" ref="X270" si="343">Q270</f>
        <v>-1.71255</v>
      </c>
    </row>
    <row r="271" spans="1:24" x14ac:dyDescent="0.4">
      <c r="A271" s="1" t="s">
        <v>138</v>
      </c>
      <c r="B271" s="1" t="s">
        <v>83</v>
      </c>
      <c r="C271" s="1" t="s">
        <v>87</v>
      </c>
      <c r="D271" s="1" t="s">
        <v>272</v>
      </c>
      <c r="E271" s="1" t="s">
        <v>273</v>
      </c>
      <c r="F271" s="1" t="s">
        <v>129</v>
      </c>
      <c r="G271" s="1" t="s">
        <v>4</v>
      </c>
      <c r="H271" s="1">
        <v>100</v>
      </c>
      <c r="I271" s="1">
        <v>4300</v>
      </c>
      <c r="J271" s="51">
        <v>45219</v>
      </c>
      <c r="K271" s="1" t="s">
        <v>89</v>
      </c>
      <c r="L271" s="51">
        <v>45140</v>
      </c>
      <c r="M271" s="1" t="s">
        <v>139</v>
      </c>
      <c r="N271" s="1">
        <v>-9</v>
      </c>
      <c r="O271" s="1">
        <v>39</v>
      </c>
      <c r="P271" s="1">
        <v>-35100</v>
      </c>
      <c r="Q271" s="1">
        <v>-11.91295</v>
      </c>
      <c r="R271" s="1" t="s">
        <v>83</v>
      </c>
      <c r="T271" s="50">
        <f>IF(ISNUMBER(VLOOKUP(U271,Blotter!B:C,2,0)),VLOOKUP(U271,Blotter!B:C,2,0),"")</f>
        <v>17</v>
      </c>
      <c r="U271" s="49" t="str">
        <f t="shared" ref="U271" si="344">D271</f>
        <v>SPX   231020P04300000</v>
      </c>
      <c r="V271" s="49">
        <f t="shared" ref="V271" si="345">N271</f>
        <v>-9</v>
      </c>
      <c r="W271" s="49">
        <f t="shared" ref="W271" si="346">O271</f>
        <v>39</v>
      </c>
      <c r="X271" s="49">
        <f t="shared" ref="X271" si="347">Q271</f>
        <v>-11.91295</v>
      </c>
    </row>
    <row r="272" spans="1:24" x14ac:dyDescent="0.4">
      <c r="A272" s="1" t="s">
        <v>138</v>
      </c>
      <c r="B272" s="1" t="s">
        <v>83</v>
      </c>
      <c r="C272" s="1" t="s">
        <v>82</v>
      </c>
      <c r="D272" s="1" t="s">
        <v>235</v>
      </c>
      <c r="E272" s="1" t="s">
        <v>236</v>
      </c>
      <c r="F272" s="1" t="s">
        <v>126</v>
      </c>
      <c r="G272" s="1" t="s">
        <v>27</v>
      </c>
      <c r="H272" s="1">
        <v>5000</v>
      </c>
      <c r="J272" s="51">
        <v>45196</v>
      </c>
      <c r="L272" s="51">
        <v>45140</v>
      </c>
      <c r="M272" s="1" t="s">
        <v>135</v>
      </c>
      <c r="N272" s="1">
        <v>5</v>
      </c>
      <c r="O272" s="1">
        <v>24.3</v>
      </c>
      <c r="P272" s="1">
        <v>607500</v>
      </c>
      <c r="Q272" s="1">
        <v>-12.1</v>
      </c>
      <c r="R272" s="1" t="s">
        <v>83</v>
      </c>
      <c r="T272" s="50">
        <f>IF(ISNUMBER(VLOOKUP(U272,Blotter!B:C,2,0)),VLOOKUP(U272,Blotter!B:C,2,0),"")</f>
        <v>6</v>
      </c>
      <c r="U272" s="49" t="str">
        <f t="shared" ref="U272" si="348">D272</f>
        <v>SIU3</v>
      </c>
      <c r="V272" s="49">
        <f t="shared" ref="V272" si="349">N272</f>
        <v>5</v>
      </c>
      <c r="W272" s="49">
        <f t="shared" ref="W272" si="350">O272</f>
        <v>24.3</v>
      </c>
      <c r="X272" s="49">
        <f t="shared" ref="X272" si="351">Q272</f>
        <v>-12.1</v>
      </c>
    </row>
    <row r="273" spans="1:24" x14ac:dyDescent="0.4">
      <c r="A273" s="1" t="s">
        <v>138</v>
      </c>
      <c r="B273" s="1" t="s">
        <v>83</v>
      </c>
      <c r="C273" s="1" t="s">
        <v>82</v>
      </c>
      <c r="D273" s="1" t="s">
        <v>235</v>
      </c>
      <c r="E273" s="1" t="s">
        <v>236</v>
      </c>
      <c r="F273" s="1" t="s">
        <v>126</v>
      </c>
      <c r="G273" s="1" t="s">
        <v>27</v>
      </c>
      <c r="H273" s="1">
        <v>5000</v>
      </c>
      <c r="J273" s="51">
        <v>45196</v>
      </c>
      <c r="L273" s="51">
        <v>45140</v>
      </c>
      <c r="M273" s="1" t="s">
        <v>135</v>
      </c>
      <c r="N273" s="1">
        <v>5</v>
      </c>
      <c r="O273" s="1">
        <v>24.07</v>
      </c>
      <c r="P273" s="1">
        <v>601750</v>
      </c>
      <c r="Q273" s="1">
        <v>-12.1</v>
      </c>
      <c r="R273" s="1" t="s">
        <v>83</v>
      </c>
      <c r="T273" s="50">
        <f>IF(ISNUMBER(VLOOKUP(U273,Blotter!B:C,2,0)),VLOOKUP(U273,Blotter!B:C,2,0),"")</f>
        <v>6</v>
      </c>
      <c r="U273" s="49" t="str">
        <f t="shared" ref="U273:U280" si="352">D273</f>
        <v>SIU3</v>
      </c>
      <c r="V273" s="49">
        <f t="shared" ref="V273:V280" si="353">N273</f>
        <v>5</v>
      </c>
      <c r="W273" s="49">
        <f t="shared" ref="W273:W280" si="354">O273</f>
        <v>24.07</v>
      </c>
      <c r="X273" s="49">
        <f t="shared" ref="X273:X280" si="355">Q273</f>
        <v>-12.1</v>
      </c>
    </row>
    <row r="274" spans="1:24" x14ac:dyDescent="0.4">
      <c r="A274" s="1" t="s">
        <v>138</v>
      </c>
      <c r="B274" s="1" t="s">
        <v>83</v>
      </c>
      <c r="C274" s="1" t="s">
        <v>82</v>
      </c>
      <c r="D274" s="1" t="s">
        <v>235</v>
      </c>
      <c r="E274" s="1" t="s">
        <v>236</v>
      </c>
      <c r="F274" s="1" t="s">
        <v>126</v>
      </c>
      <c r="G274" s="1" t="s">
        <v>27</v>
      </c>
      <c r="H274" s="1">
        <v>5000</v>
      </c>
      <c r="J274" s="51">
        <v>45196</v>
      </c>
      <c r="L274" s="51">
        <v>45140</v>
      </c>
      <c r="M274" s="1" t="s">
        <v>135</v>
      </c>
      <c r="N274" s="1">
        <v>2</v>
      </c>
      <c r="O274" s="1">
        <v>23.78</v>
      </c>
      <c r="P274" s="1">
        <v>237800</v>
      </c>
      <c r="Q274" s="1">
        <v>-4.84</v>
      </c>
      <c r="R274" s="1" t="s">
        <v>83</v>
      </c>
      <c r="T274" s="50">
        <f>IF(ISNUMBER(VLOOKUP(U274,Blotter!B:C,2,0)),VLOOKUP(U274,Blotter!B:C,2,0),"")</f>
        <v>6</v>
      </c>
      <c r="U274" s="49" t="str">
        <f t="shared" si="352"/>
        <v>SIU3</v>
      </c>
      <c r="V274" s="49">
        <f t="shared" si="353"/>
        <v>2</v>
      </c>
      <c r="W274" s="49">
        <f t="shared" si="354"/>
        <v>23.78</v>
      </c>
      <c r="X274" s="49">
        <f t="shared" si="355"/>
        <v>-4.84</v>
      </c>
    </row>
    <row r="275" spans="1:24" x14ac:dyDescent="0.4">
      <c r="A275" s="1" t="s">
        <v>138</v>
      </c>
      <c r="B275" s="1" t="s">
        <v>83</v>
      </c>
      <c r="C275" s="1" t="s">
        <v>82</v>
      </c>
      <c r="D275" s="1" t="s">
        <v>235</v>
      </c>
      <c r="E275" s="1" t="s">
        <v>236</v>
      </c>
      <c r="F275" s="1" t="s">
        <v>126</v>
      </c>
      <c r="G275" s="1" t="s">
        <v>27</v>
      </c>
      <c r="H275" s="1">
        <v>5000</v>
      </c>
      <c r="J275" s="51">
        <v>45196</v>
      </c>
      <c r="L275" s="51">
        <v>45140</v>
      </c>
      <c r="M275" s="1" t="s">
        <v>139</v>
      </c>
      <c r="N275" s="1">
        <v>-10</v>
      </c>
      <c r="O275" s="1">
        <v>24.5</v>
      </c>
      <c r="P275" s="1">
        <v>-1225000</v>
      </c>
      <c r="Q275" s="1">
        <v>-24.2</v>
      </c>
      <c r="R275" s="1" t="s">
        <v>83</v>
      </c>
      <c r="T275" s="50">
        <f>IF(ISNUMBER(VLOOKUP(U275,Blotter!B:C,2,0)),VLOOKUP(U275,Blotter!B:C,2,0),"")</f>
        <v>6</v>
      </c>
      <c r="U275" s="49" t="str">
        <f t="shared" si="352"/>
        <v>SIU3</v>
      </c>
      <c r="V275" s="49">
        <f t="shared" si="353"/>
        <v>-10</v>
      </c>
      <c r="W275" s="49">
        <f t="shared" si="354"/>
        <v>24.5</v>
      </c>
      <c r="X275" s="49">
        <f t="shared" si="355"/>
        <v>-24.2</v>
      </c>
    </row>
    <row r="276" spans="1:24" x14ac:dyDescent="0.4">
      <c r="A276" s="1" t="s">
        <v>138</v>
      </c>
      <c r="B276" s="1" t="s">
        <v>83</v>
      </c>
      <c r="C276" s="1" t="s">
        <v>82</v>
      </c>
      <c r="D276" s="1" t="s">
        <v>235</v>
      </c>
      <c r="E276" s="1" t="s">
        <v>236</v>
      </c>
      <c r="F276" s="1" t="s">
        <v>126</v>
      </c>
      <c r="G276" s="1" t="s">
        <v>27</v>
      </c>
      <c r="H276" s="1">
        <v>5000</v>
      </c>
      <c r="J276" s="51">
        <v>45196</v>
      </c>
      <c r="L276" s="51">
        <v>45140</v>
      </c>
      <c r="M276" s="1" t="s">
        <v>139</v>
      </c>
      <c r="N276" s="1">
        <v>-2</v>
      </c>
      <c r="O276" s="1">
        <v>23.9</v>
      </c>
      <c r="P276" s="1">
        <v>-239000</v>
      </c>
      <c r="Q276" s="1">
        <v>-4.84</v>
      </c>
      <c r="R276" s="1" t="s">
        <v>83</v>
      </c>
      <c r="T276" s="50">
        <f>IF(ISNUMBER(VLOOKUP(U276,Blotter!B:C,2,0)),VLOOKUP(U276,Blotter!B:C,2,0),"")</f>
        <v>6</v>
      </c>
      <c r="U276" s="49" t="str">
        <f t="shared" si="352"/>
        <v>SIU3</v>
      </c>
      <c r="V276" s="49">
        <f t="shared" si="353"/>
        <v>-2</v>
      </c>
      <c r="W276" s="49">
        <f t="shared" si="354"/>
        <v>23.9</v>
      </c>
      <c r="X276" s="49">
        <f t="shared" si="355"/>
        <v>-4.84</v>
      </c>
    </row>
    <row r="277" spans="1:24" x14ac:dyDescent="0.4">
      <c r="A277" s="1" t="s">
        <v>138</v>
      </c>
      <c r="B277" s="1" t="s">
        <v>83</v>
      </c>
      <c r="C277" s="1" t="s">
        <v>82</v>
      </c>
      <c r="D277" s="1" t="s">
        <v>235</v>
      </c>
      <c r="E277" s="1" t="s">
        <v>236</v>
      </c>
      <c r="F277" s="1" t="s">
        <v>126</v>
      </c>
      <c r="G277" s="1" t="s">
        <v>27</v>
      </c>
      <c r="H277" s="1">
        <v>5000</v>
      </c>
      <c r="J277" s="51">
        <v>45196</v>
      </c>
      <c r="L277" s="51">
        <v>45141</v>
      </c>
      <c r="M277" s="1" t="s">
        <v>135</v>
      </c>
      <c r="N277" s="1">
        <v>2</v>
      </c>
      <c r="O277" s="1">
        <v>23.66</v>
      </c>
      <c r="P277" s="1">
        <v>236600</v>
      </c>
      <c r="Q277" s="1">
        <v>-4.84</v>
      </c>
      <c r="R277" s="1" t="s">
        <v>83</v>
      </c>
      <c r="T277" s="50">
        <f>IF(ISNUMBER(VLOOKUP(U277,Blotter!B:C,2,0)),VLOOKUP(U277,Blotter!B:C,2,0),"")</f>
        <v>6</v>
      </c>
      <c r="U277" s="49" t="str">
        <f t="shared" si="352"/>
        <v>SIU3</v>
      </c>
      <c r="V277" s="49">
        <f t="shared" si="353"/>
        <v>2</v>
      </c>
      <c r="W277" s="49">
        <f t="shared" si="354"/>
        <v>23.66</v>
      </c>
      <c r="X277" s="49">
        <f t="shared" si="355"/>
        <v>-4.84</v>
      </c>
    </row>
    <row r="278" spans="1:24" x14ac:dyDescent="0.4">
      <c r="A278" s="1" t="s">
        <v>138</v>
      </c>
      <c r="B278" s="1" t="s">
        <v>83</v>
      </c>
      <c r="C278" s="1" t="s">
        <v>82</v>
      </c>
      <c r="D278" s="1" t="s">
        <v>235</v>
      </c>
      <c r="E278" s="1" t="s">
        <v>236</v>
      </c>
      <c r="F278" s="1" t="s">
        <v>126</v>
      </c>
      <c r="G278" s="1" t="s">
        <v>27</v>
      </c>
      <c r="H278" s="1">
        <v>5000</v>
      </c>
      <c r="J278" s="51">
        <v>45196</v>
      </c>
      <c r="L278" s="51">
        <v>45141</v>
      </c>
      <c r="M278" s="1" t="s">
        <v>135</v>
      </c>
      <c r="N278" s="1">
        <v>2</v>
      </c>
      <c r="O278" s="1">
        <v>23.62</v>
      </c>
      <c r="P278" s="1">
        <v>236200</v>
      </c>
      <c r="Q278" s="1">
        <v>-4.84</v>
      </c>
      <c r="R278" s="1" t="s">
        <v>83</v>
      </c>
      <c r="T278" s="50">
        <f>IF(ISNUMBER(VLOOKUP(U278,Blotter!B:C,2,0)),VLOOKUP(U278,Blotter!B:C,2,0),"")</f>
        <v>6</v>
      </c>
      <c r="U278" s="49" t="str">
        <f t="shared" si="352"/>
        <v>SIU3</v>
      </c>
      <c r="V278" s="49">
        <f t="shared" si="353"/>
        <v>2</v>
      </c>
      <c r="W278" s="49">
        <f t="shared" si="354"/>
        <v>23.62</v>
      </c>
      <c r="X278" s="49">
        <f t="shared" si="355"/>
        <v>-4.84</v>
      </c>
    </row>
    <row r="279" spans="1:24" x14ac:dyDescent="0.4">
      <c r="A279" s="1" t="s">
        <v>138</v>
      </c>
      <c r="B279" s="1" t="s">
        <v>83</v>
      </c>
      <c r="C279" s="1" t="s">
        <v>82</v>
      </c>
      <c r="D279" s="1" t="s">
        <v>235</v>
      </c>
      <c r="E279" s="1" t="s">
        <v>236</v>
      </c>
      <c r="F279" s="1" t="s">
        <v>126</v>
      </c>
      <c r="G279" s="1" t="s">
        <v>27</v>
      </c>
      <c r="H279" s="1">
        <v>5000</v>
      </c>
      <c r="J279" s="51">
        <v>45196</v>
      </c>
      <c r="L279" s="51">
        <v>45141</v>
      </c>
      <c r="M279" s="1" t="s">
        <v>135</v>
      </c>
      <c r="N279" s="1">
        <v>2</v>
      </c>
      <c r="O279" s="1">
        <v>23.65</v>
      </c>
      <c r="P279" s="1">
        <v>236500</v>
      </c>
      <c r="Q279" s="1">
        <v>-4.84</v>
      </c>
      <c r="R279" s="1" t="s">
        <v>83</v>
      </c>
      <c r="T279" s="50">
        <f>IF(ISNUMBER(VLOOKUP(U279,Blotter!B:C,2,0)),VLOOKUP(U279,Blotter!B:C,2,0),"")</f>
        <v>6</v>
      </c>
      <c r="U279" s="49" t="str">
        <f t="shared" si="352"/>
        <v>SIU3</v>
      </c>
      <c r="V279" s="49">
        <f t="shared" si="353"/>
        <v>2</v>
      </c>
      <c r="W279" s="49">
        <f t="shared" si="354"/>
        <v>23.65</v>
      </c>
      <c r="X279" s="49">
        <f t="shared" si="355"/>
        <v>-4.84</v>
      </c>
    </row>
    <row r="280" spans="1:24" x14ac:dyDescent="0.4">
      <c r="A280" s="1" t="s">
        <v>138</v>
      </c>
      <c r="B280" s="1" t="s">
        <v>83</v>
      </c>
      <c r="C280" s="1" t="s">
        <v>82</v>
      </c>
      <c r="D280" s="1" t="s">
        <v>235</v>
      </c>
      <c r="E280" s="1" t="s">
        <v>236</v>
      </c>
      <c r="F280" s="1" t="s">
        <v>126</v>
      </c>
      <c r="G280" s="1" t="s">
        <v>27</v>
      </c>
      <c r="H280" s="1">
        <v>5000</v>
      </c>
      <c r="J280" s="51">
        <v>45196</v>
      </c>
      <c r="L280" s="51">
        <v>45141</v>
      </c>
      <c r="M280" s="1" t="s">
        <v>139</v>
      </c>
      <c r="N280" s="1">
        <v>-4</v>
      </c>
      <c r="O280" s="1">
        <v>23.8</v>
      </c>
      <c r="P280" s="1">
        <v>-476000</v>
      </c>
      <c r="Q280" s="1">
        <v>-9.68</v>
      </c>
      <c r="R280" s="1" t="s">
        <v>83</v>
      </c>
      <c r="T280" s="50">
        <f>IF(ISNUMBER(VLOOKUP(U280,Blotter!B:C,2,0)),VLOOKUP(U280,Blotter!B:C,2,0),"")</f>
        <v>6</v>
      </c>
      <c r="U280" s="49" t="str">
        <f t="shared" si="352"/>
        <v>SIU3</v>
      </c>
      <c r="V280" s="49">
        <f t="shared" si="353"/>
        <v>-4</v>
      </c>
      <c r="W280" s="49">
        <f t="shared" si="354"/>
        <v>23.8</v>
      </c>
      <c r="X280" s="49">
        <f t="shared" si="355"/>
        <v>-9.68</v>
      </c>
    </row>
    <row r="281" spans="1:24" x14ac:dyDescent="0.4">
      <c r="A281" s="1" t="s">
        <v>138</v>
      </c>
      <c r="B281" s="1" t="s">
        <v>83</v>
      </c>
      <c r="C281" s="1" t="s">
        <v>82</v>
      </c>
      <c r="D281" s="1" t="s">
        <v>257</v>
      </c>
      <c r="E281" s="1" t="s">
        <v>260</v>
      </c>
      <c r="F281" s="1" t="s">
        <v>100</v>
      </c>
      <c r="G281" s="1" t="s">
        <v>32</v>
      </c>
      <c r="H281" s="1">
        <v>112000</v>
      </c>
      <c r="J281" s="51">
        <v>45198</v>
      </c>
      <c r="L281" s="51">
        <v>45142</v>
      </c>
      <c r="M281" s="1" t="s">
        <v>135</v>
      </c>
      <c r="N281" s="1">
        <v>7</v>
      </c>
      <c r="O281" s="59">
        <v>23.77</v>
      </c>
      <c r="P281" s="1">
        <v>186356.8</v>
      </c>
      <c r="Q281" s="1">
        <v>-20.79</v>
      </c>
      <c r="R281" s="1" t="s">
        <v>83</v>
      </c>
      <c r="T281" s="50">
        <f>IF(ISNUMBER(VLOOKUP(U281,Blotter!B:C,2,0)),VLOOKUP(U281,Blotter!B:C,2,0),"")</f>
        <v>14</v>
      </c>
      <c r="U281" s="49" t="str">
        <f t="shared" ref="U281:U284" si="356">D281</f>
        <v>SBV3</v>
      </c>
      <c r="V281" s="49">
        <f t="shared" ref="V281:V284" si="357">N281</f>
        <v>7</v>
      </c>
      <c r="W281" s="49">
        <f t="shared" ref="W281:W284" si="358">O281</f>
        <v>23.77</v>
      </c>
      <c r="X281" s="49">
        <f t="shared" ref="X281:X284" si="359">Q281</f>
        <v>-20.79</v>
      </c>
    </row>
    <row r="282" spans="1:24" x14ac:dyDescent="0.4">
      <c r="A282" s="1" t="s">
        <v>138</v>
      </c>
      <c r="B282" s="1" t="s">
        <v>83</v>
      </c>
      <c r="C282" s="1" t="s">
        <v>82</v>
      </c>
      <c r="D282" s="1" t="s">
        <v>235</v>
      </c>
      <c r="E282" s="1" t="s">
        <v>236</v>
      </c>
      <c r="F282" s="1" t="s">
        <v>126</v>
      </c>
      <c r="G282" s="1" t="s">
        <v>27</v>
      </c>
      <c r="H282" s="1">
        <v>5000</v>
      </c>
      <c r="J282" s="51">
        <v>45196</v>
      </c>
      <c r="L282" s="51">
        <v>45142</v>
      </c>
      <c r="M282" s="1" t="s">
        <v>135</v>
      </c>
      <c r="N282" s="1">
        <v>2</v>
      </c>
      <c r="O282" s="1">
        <v>23.44</v>
      </c>
      <c r="P282" s="1">
        <v>234400</v>
      </c>
      <c r="Q282" s="1">
        <v>-4.84</v>
      </c>
      <c r="R282" s="1" t="s">
        <v>83</v>
      </c>
      <c r="T282" s="50">
        <f>IF(ISNUMBER(VLOOKUP(U282,Blotter!B:C,2,0)),VLOOKUP(U282,Blotter!B:C,2,0),"")</f>
        <v>6</v>
      </c>
      <c r="U282" s="49" t="str">
        <f t="shared" si="356"/>
        <v>SIU3</v>
      </c>
      <c r="V282" s="49">
        <f t="shared" si="357"/>
        <v>2</v>
      </c>
      <c r="W282" s="49">
        <f t="shared" si="358"/>
        <v>23.44</v>
      </c>
      <c r="X282" s="49">
        <f t="shared" si="359"/>
        <v>-4.84</v>
      </c>
    </row>
    <row r="283" spans="1:24" x14ac:dyDescent="0.4">
      <c r="A283" s="1" t="s">
        <v>138</v>
      </c>
      <c r="B283" s="1" t="s">
        <v>83</v>
      </c>
      <c r="C283" s="1" t="s">
        <v>82</v>
      </c>
      <c r="D283" s="1" t="s">
        <v>235</v>
      </c>
      <c r="E283" s="1" t="s">
        <v>236</v>
      </c>
      <c r="F283" s="1" t="s">
        <v>126</v>
      </c>
      <c r="G283" s="1" t="s">
        <v>27</v>
      </c>
      <c r="H283" s="1">
        <v>5000</v>
      </c>
      <c r="J283" s="51">
        <v>45196</v>
      </c>
      <c r="L283" s="51">
        <v>45142</v>
      </c>
      <c r="M283" s="1" t="s">
        <v>135</v>
      </c>
      <c r="N283" s="1">
        <v>2</v>
      </c>
      <c r="O283" s="1">
        <v>23.7</v>
      </c>
      <c r="P283" s="1">
        <v>237000</v>
      </c>
      <c r="Q283" s="1">
        <v>-4.84</v>
      </c>
      <c r="R283" s="1" t="s">
        <v>83</v>
      </c>
      <c r="T283" s="50">
        <f>IF(ISNUMBER(VLOOKUP(U283,Blotter!B:C,2,0)),VLOOKUP(U283,Blotter!B:C,2,0),"")</f>
        <v>6</v>
      </c>
      <c r="U283" s="49" t="str">
        <f t="shared" si="356"/>
        <v>SIU3</v>
      </c>
      <c r="V283" s="49">
        <f t="shared" si="357"/>
        <v>2</v>
      </c>
      <c r="W283" s="49">
        <f t="shared" si="358"/>
        <v>23.7</v>
      </c>
      <c r="X283" s="49">
        <f t="shared" si="359"/>
        <v>-4.84</v>
      </c>
    </row>
    <row r="284" spans="1:24" x14ac:dyDescent="0.4">
      <c r="A284" s="1" t="s">
        <v>138</v>
      </c>
      <c r="B284" s="1" t="s">
        <v>83</v>
      </c>
      <c r="C284" s="1" t="s">
        <v>82</v>
      </c>
      <c r="D284" s="1" t="s">
        <v>235</v>
      </c>
      <c r="E284" s="1" t="s">
        <v>236</v>
      </c>
      <c r="F284" s="1" t="s">
        <v>126</v>
      </c>
      <c r="G284" s="1" t="s">
        <v>27</v>
      </c>
      <c r="H284" s="1">
        <v>5000</v>
      </c>
      <c r="J284" s="51">
        <v>45196</v>
      </c>
      <c r="L284" s="51">
        <v>45142</v>
      </c>
      <c r="M284" s="1" t="s">
        <v>139</v>
      </c>
      <c r="N284" s="1">
        <v>-4</v>
      </c>
      <c r="O284" s="1">
        <v>23.62</v>
      </c>
      <c r="P284" s="1">
        <v>-472400</v>
      </c>
      <c r="Q284" s="1">
        <v>-9.68</v>
      </c>
      <c r="R284" s="1" t="s">
        <v>83</v>
      </c>
      <c r="T284" s="50">
        <f>IF(ISNUMBER(VLOOKUP(U284,Blotter!B:C,2,0)),VLOOKUP(U284,Blotter!B:C,2,0),"")</f>
        <v>6</v>
      </c>
      <c r="U284" s="49" t="str">
        <f t="shared" si="356"/>
        <v>SIU3</v>
      </c>
      <c r="V284" s="49">
        <f t="shared" si="357"/>
        <v>-4</v>
      </c>
      <c r="W284" s="49">
        <f t="shared" si="358"/>
        <v>23.62</v>
      </c>
      <c r="X284" s="49">
        <f t="shared" si="359"/>
        <v>-9.68</v>
      </c>
    </row>
    <row r="285" spans="1:24" x14ac:dyDescent="0.4">
      <c r="A285" s="1" t="s">
        <v>138</v>
      </c>
      <c r="B285" s="1" t="s">
        <v>83</v>
      </c>
      <c r="C285" s="1" t="s">
        <v>82</v>
      </c>
      <c r="D285" s="1" t="s">
        <v>235</v>
      </c>
      <c r="E285" s="1" t="s">
        <v>236</v>
      </c>
      <c r="F285" s="1" t="s">
        <v>126</v>
      </c>
      <c r="G285" s="1" t="s">
        <v>27</v>
      </c>
      <c r="H285" s="1">
        <v>5000</v>
      </c>
      <c r="J285" s="51">
        <v>45196</v>
      </c>
      <c r="L285" s="51">
        <v>45142</v>
      </c>
      <c r="M285" s="1" t="s">
        <v>139</v>
      </c>
      <c r="N285" s="1">
        <v>-2</v>
      </c>
      <c r="O285" s="1">
        <v>23.8</v>
      </c>
      <c r="P285" s="1">
        <v>-238000</v>
      </c>
      <c r="Q285" s="1">
        <v>-4.84</v>
      </c>
      <c r="R285" s="1" t="s">
        <v>83</v>
      </c>
      <c r="T285" s="50">
        <f>IF(ISNUMBER(VLOOKUP(U285,Blotter!B:C,2,0)),VLOOKUP(U285,Blotter!B:C,2,0),"")</f>
        <v>6</v>
      </c>
      <c r="U285" s="49" t="str">
        <f t="shared" ref="U285" si="360">D285</f>
        <v>SIU3</v>
      </c>
      <c r="V285" s="49">
        <f t="shared" ref="V285" si="361">N285</f>
        <v>-2</v>
      </c>
      <c r="W285" s="49">
        <f t="shared" ref="W285" si="362">O285</f>
        <v>23.8</v>
      </c>
      <c r="X285" s="49">
        <f t="shared" ref="X285" si="363">Q285</f>
        <v>-4.84</v>
      </c>
    </row>
    <row r="286" spans="1:24" x14ac:dyDescent="0.4">
      <c r="A286" s="1" t="s">
        <v>138</v>
      </c>
      <c r="B286" s="1" t="s">
        <v>83</v>
      </c>
      <c r="C286" s="1" t="s">
        <v>82</v>
      </c>
      <c r="D286" s="1" t="s">
        <v>235</v>
      </c>
      <c r="E286" s="1" t="s">
        <v>236</v>
      </c>
      <c r="F286" s="1" t="s">
        <v>126</v>
      </c>
      <c r="G286" s="1" t="s">
        <v>27</v>
      </c>
      <c r="H286" s="1">
        <v>5000</v>
      </c>
      <c r="J286" s="51">
        <v>45196</v>
      </c>
      <c r="L286" s="51">
        <v>45145</v>
      </c>
      <c r="M286" s="1" t="s">
        <v>135</v>
      </c>
      <c r="N286" s="1">
        <v>3</v>
      </c>
      <c r="O286" s="1">
        <v>23.52</v>
      </c>
      <c r="P286" s="1">
        <v>352800</v>
      </c>
      <c r="Q286" s="1">
        <v>-7.26</v>
      </c>
      <c r="R286" s="1" t="s">
        <v>83</v>
      </c>
      <c r="T286" s="50">
        <f>IF(ISNUMBER(VLOOKUP(U286,Blotter!B:C,2,0)),VLOOKUP(U286,Blotter!B:C,2,0),"")</f>
        <v>6</v>
      </c>
      <c r="U286" s="49" t="str">
        <f t="shared" ref="U286:U292" si="364">D286</f>
        <v>SIU3</v>
      </c>
      <c r="V286" s="49">
        <f t="shared" ref="V286:V292" si="365">N286</f>
        <v>3</v>
      </c>
      <c r="W286" s="49">
        <f t="shared" ref="W286:W292" si="366">O286</f>
        <v>23.52</v>
      </c>
      <c r="X286" s="49">
        <f t="shared" ref="X286:X292" si="367">Q286</f>
        <v>-7.26</v>
      </c>
    </row>
    <row r="287" spans="1:24" x14ac:dyDescent="0.4">
      <c r="A287" s="1" t="s">
        <v>138</v>
      </c>
      <c r="B287" s="1" t="s">
        <v>83</v>
      </c>
      <c r="C287" s="1" t="s">
        <v>82</v>
      </c>
      <c r="D287" s="1" t="s">
        <v>235</v>
      </c>
      <c r="E287" s="1" t="s">
        <v>236</v>
      </c>
      <c r="F287" s="1" t="s">
        <v>126</v>
      </c>
      <c r="G287" s="1" t="s">
        <v>27</v>
      </c>
      <c r="H287" s="1">
        <v>5000</v>
      </c>
      <c r="J287" s="51">
        <v>45196</v>
      </c>
      <c r="L287" s="51">
        <v>45145</v>
      </c>
      <c r="M287" s="1" t="s">
        <v>135</v>
      </c>
      <c r="N287" s="1">
        <v>2</v>
      </c>
      <c r="O287" s="1">
        <v>23.265000000000001</v>
      </c>
      <c r="P287" s="1">
        <v>232650</v>
      </c>
      <c r="Q287" s="1">
        <v>-4.84</v>
      </c>
      <c r="R287" s="1" t="s">
        <v>83</v>
      </c>
      <c r="T287" s="50">
        <f>IF(ISNUMBER(VLOOKUP(U287,Blotter!B:C,2,0)),VLOOKUP(U287,Blotter!B:C,2,0),"")</f>
        <v>6</v>
      </c>
      <c r="U287" s="49" t="str">
        <f t="shared" si="364"/>
        <v>SIU3</v>
      </c>
      <c r="V287" s="49">
        <f t="shared" si="365"/>
        <v>2</v>
      </c>
      <c r="W287" s="49">
        <f t="shared" si="366"/>
        <v>23.265000000000001</v>
      </c>
      <c r="X287" s="49">
        <f t="shared" si="367"/>
        <v>-4.84</v>
      </c>
    </row>
    <row r="288" spans="1:24" x14ac:dyDescent="0.4">
      <c r="A288" s="1" t="s">
        <v>138</v>
      </c>
      <c r="B288" s="1" t="s">
        <v>83</v>
      </c>
      <c r="C288" s="1" t="s">
        <v>87</v>
      </c>
      <c r="D288" s="1" t="s">
        <v>270</v>
      </c>
      <c r="E288" s="1" t="s">
        <v>271</v>
      </c>
      <c r="F288" s="1" t="s">
        <v>129</v>
      </c>
      <c r="G288" s="1" t="s">
        <v>4</v>
      </c>
      <c r="H288" s="1">
        <v>100</v>
      </c>
      <c r="I288" s="1">
        <v>4390</v>
      </c>
      <c r="J288" s="51">
        <v>45219</v>
      </c>
      <c r="K288" s="1" t="s">
        <v>89</v>
      </c>
      <c r="L288" s="51">
        <v>45146</v>
      </c>
      <c r="M288" s="1" t="s">
        <v>135</v>
      </c>
      <c r="N288" s="1">
        <v>5</v>
      </c>
      <c r="O288" s="1">
        <v>76.599999999999994</v>
      </c>
      <c r="P288" s="1">
        <v>38300</v>
      </c>
      <c r="Q288" s="1">
        <v>-7.3127500000000003</v>
      </c>
      <c r="R288" s="1" t="s">
        <v>83</v>
      </c>
      <c r="T288" s="50">
        <f>IF(ISNUMBER(VLOOKUP(U288,Blotter!B:C,2,0)),VLOOKUP(U288,Blotter!B:C,2,0),"")</f>
        <v>17</v>
      </c>
      <c r="U288" s="49" t="str">
        <f t="shared" si="364"/>
        <v>SPX   231020P04390000</v>
      </c>
      <c r="V288" s="49">
        <f t="shared" si="365"/>
        <v>5</v>
      </c>
      <c r="W288" s="49">
        <f t="shared" si="366"/>
        <v>76.599999999999994</v>
      </c>
      <c r="X288" s="49">
        <f t="shared" si="367"/>
        <v>-7.3127500000000003</v>
      </c>
    </row>
    <row r="289" spans="1:24" x14ac:dyDescent="0.4">
      <c r="A289" s="1" t="s">
        <v>138</v>
      </c>
      <c r="B289" s="1" t="s">
        <v>83</v>
      </c>
      <c r="C289" s="1" t="s">
        <v>87</v>
      </c>
      <c r="D289" s="1" t="s">
        <v>270</v>
      </c>
      <c r="E289" s="1" t="s">
        <v>271</v>
      </c>
      <c r="F289" s="1" t="s">
        <v>129</v>
      </c>
      <c r="G289" s="1" t="s">
        <v>4</v>
      </c>
      <c r="H289" s="1">
        <v>100</v>
      </c>
      <c r="I289" s="1">
        <v>4390</v>
      </c>
      <c r="J289" s="51">
        <v>45219</v>
      </c>
      <c r="K289" s="1" t="s">
        <v>89</v>
      </c>
      <c r="L289" s="51">
        <v>45146</v>
      </c>
      <c r="M289" s="1" t="s">
        <v>135</v>
      </c>
      <c r="N289" s="1">
        <v>5</v>
      </c>
      <c r="O289" s="1">
        <v>76.599999999999994</v>
      </c>
      <c r="P289" s="1">
        <v>38300</v>
      </c>
      <c r="Q289" s="1">
        <v>-7.3127500000000003</v>
      </c>
      <c r="R289" s="1" t="s">
        <v>83</v>
      </c>
      <c r="T289" s="50">
        <f>IF(ISNUMBER(VLOOKUP(U289,Blotter!B:C,2,0)),VLOOKUP(U289,Blotter!B:C,2,0),"")</f>
        <v>17</v>
      </c>
      <c r="U289" s="49" t="str">
        <f t="shared" si="364"/>
        <v>SPX   231020P04390000</v>
      </c>
      <c r="V289" s="49">
        <f t="shared" si="365"/>
        <v>5</v>
      </c>
      <c r="W289" s="49">
        <f t="shared" si="366"/>
        <v>76.599999999999994</v>
      </c>
      <c r="X289" s="49">
        <f t="shared" si="367"/>
        <v>-7.3127500000000003</v>
      </c>
    </row>
    <row r="290" spans="1:24" x14ac:dyDescent="0.4">
      <c r="A290" s="1" t="s">
        <v>138</v>
      </c>
      <c r="B290" s="1" t="s">
        <v>83</v>
      </c>
      <c r="C290" s="1" t="s">
        <v>87</v>
      </c>
      <c r="D290" s="1" t="s">
        <v>270</v>
      </c>
      <c r="E290" s="1" t="s">
        <v>271</v>
      </c>
      <c r="F290" s="1" t="s">
        <v>129</v>
      </c>
      <c r="G290" s="1" t="s">
        <v>4</v>
      </c>
      <c r="H290" s="1">
        <v>100</v>
      </c>
      <c r="I290" s="1">
        <v>4390</v>
      </c>
      <c r="J290" s="51">
        <v>45219</v>
      </c>
      <c r="K290" s="1" t="s">
        <v>89</v>
      </c>
      <c r="L290" s="51">
        <v>45146</v>
      </c>
      <c r="M290" s="1" t="s">
        <v>135</v>
      </c>
      <c r="N290" s="1">
        <v>1</v>
      </c>
      <c r="O290" s="1">
        <v>67</v>
      </c>
      <c r="P290" s="1">
        <v>6700</v>
      </c>
      <c r="Q290" s="1">
        <v>-1.71255</v>
      </c>
      <c r="R290" s="1" t="s">
        <v>83</v>
      </c>
      <c r="T290" s="50">
        <f>IF(ISNUMBER(VLOOKUP(U290,Blotter!B:C,2,0)),VLOOKUP(U290,Blotter!B:C,2,0),"")</f>
        <v>17</v>
      </c>
      <c r="U290" s="49" t="str">
        <f t="shared" si="364"/>
        <v>SPX   231020P04390000</v>
      </c>
      <c r="V290" s="49">
        <f t="shared" si="365"/>
        <v>1</v>
      </c>
      <c r="W290" s="49">
        <f t="shared" si="366"/>
        <v>67</v>
      </c>
      <c r="X290" s="49">
        <f t="shared" si="367"/>
        <v>-1.71255</v>
      </c>
    </row>
    <row r="291" spans="1:24" x14ac:dyDescent="0.4">
      <c r="A291" s="1" t="s">
        <v>138</v>
      </c>
      <c r="B291" s="1" t="s">
        <v>83</v>
      </c>
      <c r="C291" s="1" t="s">
        <v>87</v>
      </c>
      <c r="D291" s="1" t="s">
        <v>270</v>
      </c>
      <c r="E291" s="1" t="s">
        <v>271</v>
      </c>
      <c r="F291" s="1" t="s">
        <v>129</v>
      </c>
      <c r="G291" s="1" t="s">
        <v>4</v>
      </c>
      <c r="H291" s="1">
        <v>100</v>
      </c>
      <c r="I291" s="1">
        <v>4390</v>
      </c>
      <c r="J291" s="51">
        <v>45219</v>
      </c>
      <c r="K291" s="1" t="s">
        <v>89</v>
      </c>
      <c r="L291" s="51">
        <v>45146</v>
      </c>
      <c r="M291" s="1" t="s">
        <v>135</v>
      </c>
      <c r="N291" s="1">
        <v>9</v>
      </c>
      <c r="O291" s="1">
        <v>67</v>
      </c>
      <c r="P291" s="1">
        <v>60300</v>
      </c>
      <c r="Q291" s="1">
        <v>-11.91295</v>
      </c>
      <c r="R291" s="1" t="s">
        <v>83</v>
      </c>
      <c r="T291" s="50">
        <f>IF(ISNUMBER(VLOOKUP(U291,Blotter!B:C,2,0)),VLOOKUP(U291,Blotter!B:C,2,0),"")</f>
        <v>17</v>
      </c>
      <c r="U291" s="49" t="str">
        <f t="shared" si="364"/>
        <v>SPX   231020P04390000</v>
      </c>
      <c r="V291" s="49">
        <f t="shared" si="365"/>
        <v>9</v>
      </c>
      <c r="W291" s="49">
        <f t="shared" si="366"/>
        <v>67</v>
      </c>
      <c r="X291" s="49">
        <f t="shared" si="367"/>
        <v>-11.91295</v>
      </c>
    </row>
    <row r="292" spans="1:24" x14ac:dyDescent="0.4">
      <c r="A292" s="1" t="s">
        <v>138</v>
      </c>
      <c r="B292" s="1" t="s">
        <v>83</v>
      </c>
      <c r="C292" s="1" t="s">
        <v>87</v>
      </c>
      <c r="D292" s="1" t="s">
        <v>270</v>
      </c>
      <c r="E292" s="1" t="s">
        <v>271</v>
      </c>
      <c r="F292" s="1" t="s">
        <v>129</v>
      </c>
      <c r="G292" s="1" t="s">
        <v>4</v>
      </c>
      <c r="H292" s="1">
        <v>100</v>
      </c>
      <c r="I292" s="1">
        <v>4390</v>
      </c>
      <c r="J292" s="51">
        <v>45219</v>
      </c>
      <c r="K292" s="1" t="s">
        <v>89</v>
      </c>
      <c r="L292" s="51">
        <v>45146</v>
      </c>
      <c r="M292" s="1" t="s">
        <v>139</v>
      </c>
      <c r="N292" s="1">
        <v>-20</v>
      </c>
      <c r="O292" s="1">
        <v>77</v>
      </c>
      <c r="P292" s="1">
        <v>-154000</v>
      </c>
      <c r="Q292" s="1">
        <v>-27.251000000000001</v>
      </c>
      <c r="R292" s="1" t="s">
        <v>83</v>
      </c>
      <c r="T292" s="50">
        <f>IF(ISNUMBER(VLOOKUP(U292,Blotter!B:C,2,0)),VLOOKUP(U292,Blotter!B:C,2,0),"")</f>
        <v>17</v>
      </c>
      <c r="U292" s="49" t="str">
        <f t="shared" si="364"/>
        <v>SPX   231020P04390000</v>
      </c>
      <c r="V292" s="49">
        <f t="shared" si="365"/>
        <v>-20</v>
      </c>
      <c r="W292" s="49">
        <f t="shared" si="366"/>
        <v>77</v>
      </c>
      <c r="X292" s="49">
        <f t="shared" si="367"/>
        <v>-27.251000000000001</v>
      </c>
    </row>
    <row r="293" spans="1:24" x14ac:dyDescent="0.4">
      <c r="A293" s="1" t="s">
        <v>138</v>
      </c>
      <c r="B293" s="1" t="s">
        <v>83</v>
      </c>
      <c r="C293" s="1" t="s">
        <v>87</v>
      </c>
      <c r="D293" s="1" t="s">
        <v>270</v>
      </c>
      <c r="E293" s="1" t="s">
        <v>271</v>
      </c>
      <c r="F293" s="1" t="s">
        <v>129</v>
      </c>
      <c r="G293" s="1" t="s">
        <v>4</v>
      </c>
      <c r="H293" s="1">
        <v>100</v>
      </c>
      <c r="I293" s="1">
        <v>4390</v>
      </c>
      <c r="J293" s="51">
        <v>45219</v>
      </c>
      <c r="K293" s="1" t="s">
        <v>89</v>
      </c>
      <c r="L293" s="51">
        <v>45147</v>
      </c>
      <c r="M293" s="1" t="s">
        <v>139</v>
      </c>
      <c r="N293" s="1">
        <v>-10</v>
      </c>
      <c r="O293" s="1">
        <v>65</v>
      </c>
      <c r="P293" s="1">
        <v>-65000</v>
      </c>
      <c r="Q293" s="1">
        <v>-13.625500000000001</v>
      </c>
      <c r="R293" s="1" t="s">
        <v>83</v>
      </c>
      <c r="T293" s="50">
        <f>IF(ISNUMBER(VLOOKUP(U293,Blotter!B:C,2,0)),VLOOKUP(U293,Blotter!B:C,2,0),"")</f>
        <v>17</v>
      </c>
      <c r="U293" s="49" t="str">
        <f t="shared" ref="U293:U297" si="368">D293</f>
        <v>SPX   231020P04390000</v>
      </c>
      <c r="V293" s="49">
        <f t="shared" ref="V293:V297" si="369">N293</f>
        <v>-10</v>
      </c>
      <c r="W293" s="49">
        <f t="shared" ref="W293:W297" si="370">O293</f>
        <v>65</v>
      </c>
      <c r="X293" s="49">
        <f t="shared" ref="X293:X297" si="371">Q293</f>
        <v>-13.625500000000001</v>
      </c>
    </row>
    <row r="294" spans="1:24" x14ac:dyDescent="0.4">
      <c r="A294" s="1" t="s">
        <v>138</v>
      </c>
      <c r="B294" s="1" t="s">
        <v>83</v>
      </c>
      <c r="C294" s="1" t="s">
        <v>82</v>
      </c>
      <c r="D294" s="1" t="s">
        <v>235</v>
      </c>
      <c r="E294" s="1" t="s">
        <v>236</v>
      </c>
      <c r="F294" s="1" t="s">
        <v>126</v>
      </c>
      <c r="G294" s="1" t="s">
        <v>27</v>
      </c>
      <c r="H294" s="1">
        <v>5000</v>
      </c>
      <c r="J294" s="51">
        <v>45196</v>
      </c>
      <c r="L294" s="51">
        <v>45147</v>
      </c>
      <c r="M294" s="1" t="s">
        <v>135</v>
      </c>
      <c r="N294" s="1">
        <v>5</v>
      </c>
      <c r="O294" s="1">
        <v>22.8</v>
      </c>
      <c r="P294" s="1">
        <v>570000</v>
      </c>
      <c r="Q294" s="1">
        <v>-12.1</v>
      </c>
      <c r="R294" s="1" t="s">
        <v>83</v>
      </c>
      <c r="T294" s="50">
        <f>IF(ISNUMBER(VLOOKUP(U294,Blotter!B:C,2,0)),VLOOKUP(U294,Blotter!B:C,2,0),"")</f>
        <v>6</v>
      </c>
      <c r="U294" s="49" t="str">
        <f t="shared" si="368"/>
        <v>SIU3</v>
      </c>
      <c r="V294" s="49">
        <f t="shared" si="369"/>
        <v>5</v>
      </c>
      <c r="W294" s="49">
        <f t="shared" si="370"/>
        <v>22.8</v>
      </c>
      <c r="X294" s="49">
        <f t="shared" si="371"/>
        <v>-12.1</v>
      </c>
    </row>
    <row r="295" spans="1:24" x14ac:dyDescent="0.4">
      <c r="A295" s="1" t="s">
        <v>138</v>
      </c>
      <c r="B295" s="1" t="s">
        <v>83</v>
      </c>
      <c r="C295" s="1" t="s">
        <v>82</v>
      </c>
      <c r="D295" s="1" t="s">
        <v>235</v>
      </c>
      <c r="E295" s="1" t="s">
        <v>236</v>
      </c>
      <c r="F295" s="1" t="s">
        <v>126</v>
      </c>
      <c r="G295" s="1" t="s">
        <v>27</v>
      </c>
      <c r="H295" s="1">
        <v>5000</v>
      </c>
      <c r="J295" s="51">
        <v>45196</v>
      </c>
      <c r="L295" s="51">
        <v>45147</v>
      </c>
      <c r="M295" s="1" t="s">
        <v>135</v>
      </c>
      <c r="N295" s="1">
        <v>5</v>
      </c>
      <c r="O295" s="1">
        <v>22.74</v>
      </c>
      <c r="P295" s="1">
        <v>568500</v>
      </c>
      <c r="Q295" s="1">
        <v>-12.1</v>
      </c>
      <c r="R295" s="1" t="s">
        <v>83</v>
      </c>
      <c r="T295" s="50">
        <f>IF(ISNUMBER(VLOOKUP(U295,Blotter!B:C,2,0)),VLOOKUP(U295,Blotter!B:C,2,0),"")</f>
        <v>6</v>
      </c>
      <c r="U295" s="49" t="str">
        <f t="shared" si="368"/>
        <v>SIU3</v>
      </c>
      <c r="V295" s="49">
        <f t="shared" si="369"/>
        <v>5</v>
      </c>
      <c r="W295" s="49">
        <f t="shared" si="370"/>
        <v>22.74</v>
      </c>
      <c r="X295" s="49">
        <f t="shared" si="371"/>
        <v>-12.1</v>
      </c>
    </row>
    <row r="296" spans="1:24" x14ac:dyDescent="0.4">
      <c r="A296" s="1" t="s">
        <v>138</v>
      </c>
      <c r="B296" s="1" t="s">
        <v>83</v>
      </c>
      <c r="C296" s="1" t="s">
        <v>82</v>
      </c>
      <c r="D296" s="1" t="s">
        <v>235</v>
      </c>
      <c r="E296" s="1" t="s">
        <v>236</v>
      </c>
      <c r="F296" s="1" t="s">
        <v>126</v>
      </c>
      <c r="G296" s="1" t="s">
        <v>27</v>
      </c>
      <c r="H296" s="1">
        <v>5000</v>
      </c>
      <c r="J296" s="51">
        <v>45196</v>
      </c>
      <c r="L296" s="51">
        <v>45147</v>
      </c>
      <c r="M296" s="1" t="s">
        <v>139</v>
      </c>
      <c r="N296" s="1">
        <v>-1</v>
      </c>
      <c r="O296" s="1">
        <v>22.95</v>
      </c>
      <c r="P296" s="1">
        <v>-114750</v>
      </c>
      <c r="Q296" s="1">
        <v>-2.42</v>
      </c>
      <c r="R296" s="1" t="s">
        <v>83</v>
      </c>
      <c r="T296" s="50">
        <f>IF(ISNUMBER(VLOOKUP(U296,Blotter!B:C,2,0)),VLOOKUP(U296,Blotter!B:C,2,0),"")</f>
        <v>6</v>
      </c>
      <c r="U296" s="49" t="str">
        <f t="shared" si="368"/>
        <v>SIU3</v>
      </c>
      <c r="V296" s="49">
        <f t="shared" si="369"/>
        <v>-1</v>
      </c>
      <c r="W296" s="49">
        <f t="shared" si="370"/>
        <v>22.95</v>
      </c>
      <c r="X296" s="49">
        <f t="shared" si="371"/>
        <v>-2.42</v>
      </c>
    </row>
    <row r="297" spans="1:24" x14ac:dyDescent="0.4">
      <c r="A297" s="1" t="s">
        <v>138</v>
      </c>
      <c r="B297" s="1" t="s">
        <v>83</v>
      </c>
      <c r="C297" s="1" t="s">
        <v>82</v>
      </c>
      <c r="D297" s="1" t="s">
        <v>235</v>
      </c>
      <c r="E297" s="1" t="s">
        <v>236</v>
      </c>
      <c r="F297" s="1" t="s">
        <v>126</v>
      </c>
      <c r="G297" s="1" t="s">
        <v>27</v>
      </c>
      <c r="H297" s="1">
        <v>5000</v>
      </c>
      <c r="J297" s="51">
        <v>45196</v>
      </c>
      <c r="L297" s="51">
        <v>45147</v>
      </c>
      <c r="M297" s="1" t="s">
        <v>139</v>
      </c>
      <c r="N297" s="1">
        <v>-4</v>
      </c>
      <c r="O297" s="1">
        <v>22.95</v>
      </c>
      <c r="P297" s="1">
        <v>-459000</v>
      </c>
      <c r="Q297" s="1">
        <v>-9.68</v>
      </c>
      <c r="R297" s="1" t="s">
        <v>83</v>
      </c>
      <c r="T297" s="50">
        <f>IF(ISNUMBER(VLOOKUP(U297,Blotter!B:C,2,0)),VLOOKUP(U297,Blotter!B:C,2,0),"")</f>
        <v>6</v>
      </c>
      <c r="U297" s="49" t="str">
        <f t="shared" si="368"/>
        <v>SIU3</v>
      </c>
      <c r="V297" s="49">
        <f t="shared" si="369"/>
        <v>-4</v>
      </c>
      <c r="W297" s="49">
        <f t="shared" si="370"/>
        <v>22.95</v>
      </c>
      <c r="X297" s="49">
        <f t="shared" si="371"/>
        <v>-9.68</v>
      </c>
    </row>
    <row r="298" spans="1:24" x14ac:dyDescent="0.4">
      <c r="A298" s="1" t="s">
        <v>138</v>
      </c>
      <c r="B298" s="1" t="s">
        <v>83</v>
      </c>
      <c r="C298" s="1" t="s">
        <v>87</v>
      </c>
      <c r="D298" s="1" t="s">
        <v>270</v>
      </c>
      <c r="E298" s="1" t="s">
        <v>271</v>
      </c>
      <c r="F298" s="1" t="s">
        <v>129</v>
      </c>
      <c r="G298" s="1" t="s">
        <v>4</v>
      </c>
      <c r="H298" s="1">
        <v>100</v>
      </c>
      <c r="I298" s="1">
        <v>4390</v>
      </c>
      <c r="J298" s="51">
        <v>45219</v>
      </c>
      <c r="K298" s="1" t="s">
        <v>89</v>
      </c>
      <c r="L298" s="51">
        <v>45148</v>
      </c>
      <c r="M298" s="1" t="s">
        <v>135</v>
      </c>
      <c r="N298" s="1">
        <v>10</v>
      </c>
      <c r="O298" s="1">
        <v>64</v>
      </c>
      <c r="P298" s="1">
        <v>64000</v>
      </c>
      <c r="Q298" s="1">
        <v>-13.625500000000001</v>
      </c>
      <c r="R298" s="1" t="s">
        <v>83</v>
      </c>
      <c r="T298" s="50">
        <f>IF(ISNUMBER(VLOOKUP(U298,Blotter!B:C,2,0)),VLOOKUP(U298,Blotter!B:C,2,0),"")</f>
        <v>17</v>
      </c>
      <c r="U298" s="49" t="str">
        <f t="shared" ref="U298:U300" si="372">D298</f>
        <v>SPX   231020P04390000</v>
      </c>
      <c r="V298" s="49">
        <f t="shared" ref="V298:V300" si="373">N298</f>
        <v>10</v>
      </c>
      <c r="W298" s="49">
        <f t="shared" ref="W298:W300" si="374">O298</f>
        <v>64</v>
      </c>
      <c r="X298" s="49">
        <f t="shared" ref="X298:X300" si="375">Q298</f>
        <v>-13.625500000000001</v>
      </c>
    </row>
    <row r="299" spans="1:24" x14ac:dyDescent="0.4">
      <c r="A299" s="1" t="s">
        <v>138</v>
      </c>
      <c r="B299" s="1" t="s">
        <v>83</v>
      </c>
      <c r="C299" s="1" t="s">
        <v>87</v>
      </c>
      <c r="D299" s="1" t="s">
        <v>270</v>
      </c>
      <c r="E299" s="1" t="s">
        <v>271</v>
      </c>
      <c r="F299" s="1" t="s">
        <v>129</v>
      </c>
      <c r="G299" s="1" t="s">
        <v>4</v>
      </c>
      <c r="H299" s="1">
        <v>100</v>
      </c>
      <c r="I299" s="1">
        <v>4390</v>
      </c>
      <c r="J299" s="51">
        <v>45219</v>
      </c>
      <c r="K299" s="1" t="s">
        <v>89</v>
      </c>
      <c r="L299" s="51">
        <v>45148</v>
      </c>
      <c r="M299" s="1" t="s">
        <v>139</v>
      </c>
      <c r="N299" s="1">
        <v>-10</v>
      </c>
      <c r="O299" s="1">
        <v>67</v>
      </c>
      <c r="P299" s="1">
        <v>-67000</v>
      </c>
      <c r="Q299" s="1">
        <v>-13.625500000000001</v>
      </c>
      <c r="R299" s="1" t="s">
        <v>83</v>
      </c>
      <c r="T299" s="50">
        <f>IF(ISNUMBER(VLOOKUP(U299,Blotter!B:C,2,0)),VLOOKUP(U299,Blotter!B:C,2,0),"")</f>
        <v>17</v>
      </c>
      <c r="U299" s="49" t="str">
        <f t="shared" si="372"/>
        <v>SPX   231020P04390000</v>
      </c>
      <c r="V299" s="49">
        <f t="shared" si="373"/>
        <v>-10</v>
      </c>
      <c r="W299" s="49">
        <f t="shared" si="374"/>
        <v>67</v>
      </c>
      <c r="X299" s="49">
        <f t="shared" si="375"/>
        <v>-13.625500000000001</v>
      </c>
    </row>
    <row r="300" spans="1:24" x14ac:dyDescent="0.4">
      <c r="A300" s="1" t="s">
        <v>138</v>
      </c>
      <c r="B300" s="1" t="s">
        <v>83</v>
      </c>
      <c r="C300" s="1" t="s">
        <v>82</v>
      </c>
      <c r="D300" s="1" t="s">
        <v>257</v>
      </c>
      <c r="E300" s="1" t="s">
        <v>260</v>
      </c>
      <c r="F300" s="1" t="s">
        <v>100</v>
      </c>
      <c r="G300" s="1" t="s">
        <v>32</v>
      </c>
      <c r="H300" s="1">
        <v>112000</v>
      </c>
      <c r="J300" s="51">
        <v>45198</v>
      </c>
      <c r="L300" s="51">
        <v>45148</v>
      </c>
      <c r="M300" s="1" t="s">
        <v>139</v>
      </c>
      <c r="N300" s="1">
        <v>-7</v>
      </c>
      <c r="O300" s="59">
        <v>23.9</v>
      </c>
      <c r="P300" s="1">
        <v>-187376</v>
      </c>
      <c r="Q300" s="1">
        <v>-20.79</v>
      </c>
      <c r="R300" s="1" t="s">
        <v>83</v>
      </c>
      <c r="T300" s="50">
        <f>IF(ISNUMBER(VLOOKUP(U300,Blotter!B:C,2,0)),VLOOKUP(U300,Blotter!B:C,2,0),"")</f>
        <v>14</v>
      </c>
      <c r="U300" s="49" t="str">
        <f t="shared" si="372"/>
        <v>SBV3</v>
      </c>
      <c r="V300" s="49">
        <f t="shared" si="373"/>
        <v>-7</v>
      </c>
      <c r="W300" s="49">
        <f t="shared" si="374"/>
        <v>23.9</v>
      </c>
      <c r="X300" s="49">
        <f t="shared" si="375"/>
        <v>-20.79</v>
      </c>
    </row>
    <row r="301" spans="1:24" x14ac:dyDescent="0.4">
      <c r="A301" s="1" t="s">
        <v>138</v>
      </c>
      <c r="B301" s="1" t="s">
        <v>83</v>
      </c>
      <c r="C301" s="1" t="s">
        <v>82</v>
      </c>
      <c r="D301" s="1" t="s">
        <v>235</v>
      </c>
      <c r="E301" s="1" t="s">
        <v>236</v>
      </c>
      <c r="F301" s="1" t="s">
        <v>126</v>
      </c>
      <c r="G301" s="1" t="s">
        <v>27</v>
      </c>
      <c r="H301" s="1">
        <v>5000</v>
      </c>
      <c r="J301" s="51">
        <v>45196</v>
      </c>
      <c r="L301" s="51">
        <v>45148</v>
      </c>
      <c r="M301" s="1" t="s">
        <v>135</v>
      </c>
      <c r="N301" s="1">
        <v>5</v>
      </c>
      <c r="O301" s="1">
        <v>22.81</v>
      </c>
      <c r="P301" s="1">
        <v>570250</v>
      </c>
      <c r="Q301" s="1">
        <v>-12.1</v>
      </c>
      <c r="R301" s="1" t="s">
        <v>83</v>
      </c>
      <c r="T301" s="50">
        <f>IF(ISNUMBER(VLOOKUP(U301,Blotter!B:C,2,0)),VLOOKUP(U301,Blotter!B:C,2,0),"")</f>
        <v>6</v>
      </c>
      <c r="U301" s="49" t="str">
        <f t="shared" ref="U301" si="376">D301</f>
        <v>SIU3</v>
      </c>
      <c r="V301" s="49">
        <f t="shared" ref="V301" si="377">N301</f>
        <v>5</v>
      </c>
      <c r="W301" s="49">
        <f t="shared" ref="W301" si="378">O301</f>
        <v>22.81</v>
      </c>
      <c r="X301" s="49">
        <f t="shared" ref="X301" si="379">Q301</f>
        <v>-12.1</v>
      </c>
    </row>
    <row r="302" spans="1:24" x14ac:dyDescent="0.4">
      <c r="A302" s="1" t="s">
        <v>138</v>
      </c>
      <c r="B302" s="1" t="s">
        <v>83</v>
      </c>
      <c r="C302" s="1" t="s">
        <v>82</v>
      </c>
      <c r="D302" s="1" t="s">
        <v>235</v>
      </c>
      <c r="E302" s="1" t="s">
        <v>236</v>
      </c>
      <c r="F302" s="1" t="s">
        <v>126</v>
      </c>
      <c r="G302" s="1" t="s">
        <v>27</v>
      </c>
      <c r="H302" s="1">
        <v>5000</v>
      </c>
      <c r="J302" s="51">
        <v>45196</v>
      </c>
      <c r="L302" s="51">
        <v>45148</v>
      </c>
      <c r="M302" s="1" t="s">
        <v>139</v>
      </c>
      <c r="N302" s="1">
        <v>-5</v>
      </c>
      <c r="O302" s="1">
        <v>22.75</v>
      </c>
      <c r="P302" s="1">
        <v>-568750</v>
      </c>
      <c r="Q302" s="1">
        <v>-12.1</v>
      </c>
      <c r="R302" s="1" t="s">
        <v>83</v>
      </c>
      <c r="T302" s="50">
        <f>IF(ISNUMBER(VLOOKUP(U302,Blotter!B:C,2,0)),VLOOKUP(U302,Blotter!B:C,2,0),"")</f>
        <v>6</v>
      </c>
      <c r="U302" s="49" t="str">
        <f t="shared" ref="U302" si="380">D302</f>
        <v>SIU3</v>
      </c>
      <c r="V302" s="49">
        <f t="shared" ref="V302" si="381">N302</f>
        <v>-5</v>
      </c>
      <c r="W302" s="49">
        <f t="shared" ref="W302" si="382">O302</f>
        <v>22.75</v>
      </c>
      <c r="X302" s="49">
        <f t="shared" ref="X302" si="383">Q302</f>
        <v>-12.1</v>
      </c>
    </row>
    <row r="303" spans="1:24" x14ac:dyDescent="0.4">
      <c r="A303" s="1" t="s">
        <v>138</v>
      </c>
      <c r="B303" s="1" t="s">
        <v>83</v>
      </c>
      <c r="C303" s="1" t="s">
        <v>82</v>
      </c>
      <c r="D303" s="1" t="s">
        <v>235</v>
      </c>
      <c r="E303" s="1" t="s">
        <v>236</v>
      </c>
      <c r="F303" s="1" t="s">
        <v>126</v>
      </c>
      <c r="G303" s="1" t="s">
        <v>27</v>
      </c>
      <c r="H303" s="1">
        <v>5000</v>
      </c>
      <c r="J303" s="51">
        <v>45196</v>
      </c>
      <c r="L303" s="51">
        <v>45148</v>
      </c>
      <c r="M303" s="1" t="s">
        <v>139</v>
      </c>
      <c r="N303" s="1">
        <v>-5</v>
      </c>
      <c r="O303" s="1">
        <v>22.9</v>
      </c>
      <c r="P303" s="1">
        <v>-572500</v>
      </c>
      <c r="Q303" s="1">
        <v>-12.1</v>
      </c>
      <c r="R303" s="1" t="s">
        <v>83</v>
      </c>
      <c r="T303" s="50">
        <f>IF(ISNUMBER(VLOOKUP(U303,Blotter!B:C,2,0)),VLOOKUP(U303,Blotter!B:C,2,0),"")</f>
        <v>6</v>
      </c>
      <c r="U303" s="49" t="str">
        <f t="shared" ref="U303" si="384">D303</f>
        <v>SIU3</v>
      </c>
      <c r="V303" s="49">
        <f t="shared" ref="V303" si="385">N303</f>
        <v>-5</v>
      </c>
      <c r="W303" s="49">
        <f t="shared" ref="W303" si="386">O303</f>
        <v>22.9</v>
      </c>
      <c r="X303" s="49">
        <f t="shared" ref="X303" si="387">Q303</f>
        <v>-12.1</v>
      </c>
    </row>
    <row r="304" spans="1:24" x14ac:dyDescent="0.4">
      <c r="A304" s="1" t="s">
        <v>138</v>
      </c>
      <c r="B304" s="1" t="s">
        <v>83</v>
      </c>
      <c r="C304" s="1" t="s">
        <v>82</v>
      </c>
      <c r="D304" s="1" t="s">
        <v>235</v>
      </c>
      <c r="E304" s="1" t="s">
        <v>236</v>
      </c>
      <c r="F304" s="1" t="s">
        <v>126</v>
      </c>
      <c r="G304" s="1" t="s">
        <v>27</v>
      </c>
      <c r="H304" s="1">
        <v>5000</v>
      </c>
      <c r="J304" s="51">
        <v>45196</v>
      </c>
      <c r="L304" s="51">
        <v>45149</v>
      </c>
      <c r="M304" s="1" t="s">
        <v>135</v>
      </c>
      <c r="N304" s="1">
        <v>5</v>
      </c>
      <c r="O304" s="1">
        <v>22.69</v>
      </c>
      <c r="P304" s="1">
        <v>567250</v>
      </c>
      <c r="Q304" s="1">
        <v>-12.1</v>
      </c>
      <c r="R304" s="1" t="s">
        <v>83</v>
      </c>
      <c r="T304" s="50">
        <f>IF(ISNUMBER(VLOOKUP(U304,Blotter!B:C,2,0)),VLOOKUP(U304,Blotter!B:C,2,0),"")</f>
        <v>6</v>
      </c>
      <c r="U304" s="49" t="str">
        <f t="shared" ref="U304:U305" si="388">D304</f>
        <v>SIU3</v>
      </c>
      <c r="V304" s="49">
        <f t="shared" ref="V304:V305" si="389">N304</f>
        <v>5</v>
      </c>
      <c r="W304" s="49">
        <f t="shared" ref="W304:W305" si="390">O304</f>
        <v>22.69</v>
      </c>
      <c r="X304" s="49">
        <f t="shared" ref="X304:X305" si="391">Q304</f>
        <v>-12.1</v>
      </c>
    </row>
    <row r="305" spans="1:24" x14ac:dyDescent="0.4">
      <c r="A305" s="1" t="s">
        <v>138</v>
      </c>
      <c r="B305" s="1" t="s">
        <v>83</v>
      </c>
      <c r="C305" s="1" t="s">
        <v>82</v>
      </c>
      <c r="D305" s="1" t="s">
        <v>235</v>
      </c>
      <c r="E305" s="1" t="s">
        <v>236</v>
      </c>
      <c r="F305" s="1" t="s">
        <v>126</v>
      </c>
      <c r="G305" s="1" t="s">
        <v>27</v>
      </c>
      <c r="H305" s="1">
        <v>5000</v>
      </c>
      <c r="J305" s="51">
        <v>45196</v>
      </c>
      <c r="L305" s="51">
        <v>45149</v>
      </c>
      <c r="M305" s="1" t="s">
        <v>135</v>
      </c>
      <c r="N305" s="1">
        <v>5</v>
      </c>
      <c r="O305" s="1">
        <v>22.73</v>
      </c>
      <c r="P305" s="1">
        <v>568250</v>
      </c>
      <c r="Q305" s="1">
        <v>-12.1</v>
      </c>
      <c r="R305" s="1" t="s">
        <v>83</v>
      </c>
      <c r="T305" s="50">
        <f>IF(ISNUMBER(VLOOKUP(U305,Blotter!B:C,2,0)),VLOOKUP(U305,Blotter!B:C,2,0),"")</f>
        <v>6</v>
      </c>
      <c r="U305" s="49" t="str">
        <f t="shared" si="388"/>
        <v>SIU3</v>
      </c>
      <c r="V305" s="49">
        <f t="shared" si="389"/>
        <v>5</v>
      </c>
      <c r="W305" s="49">
        <f t="shared" si="390"/>
        <v>22.73</v>
      </c>
      <c r="X305" s="49">
        <f t="shared" si="391"/>
        <v>-12.1</v>
      </c>
    </row>
    <row r="306" spans="1:24" x14ac:dyDescent="0.4">
      <c r="A306" s="1" t="s">
        <v>138</v>
      </c>
      <c r="B306" s="1" t="s">
        <v>83</v>
      </c>
      <c r="C306" s="1" t="s">
        <v>82</v>
      </c>
      <c r="D306" s="1" t="s">
        <v>235</v>
      </c>
      <c r="E306" s="1" t="s">
        <v>236</v>
      </c>
      <c r="F306" s="1" t="s">
        <v>126</v>
      </c>
      <c r="G306" s="1" t="s">
        <v>27</v>
      </c>
      <c r="H306" s="1">
        <v>5000</v>
      </c>
      <c r="J306" s="51">
        <v>45196</v>
      </c>
      <c r="L306" s="51">
        <v>45149</v>
      </c>
      <c r="M306" s="1" t="s">
        <v>139</v>
      </c>
      <c r="N306" s="1">
        <v>-5</v>
      </c>
      <c r="O306" s="1">
        <v>22.81</v>
      </c>
      <c r="P306" s="1">
        <v>-570250</v>
      </c>
      <c r="Q306" s="1">
        <v>-12.1</v>
      </c>
      <c r="R306" s="1" t="s">
        <v>83</v>
      </c>
      <c r="T306" s="50">
        <f>IF(ISNUMBER(VLOOKUP(U306,Blotter!B:C,2,0)),VLOOKUP(U306,Blotter!B:C,2,0),"")</f>
        <v>6</v>
      </c>
      <c r="U306" s="49" t="str">
        <f t="shared" ref="U306:U310" si="392">D306</f>
        <v>SIU3</v>
      </c>
      <c r="V306" s="49">
        <f t="shared" ref="V306:V310" si="393">N306</f>
        <v>-5</v>
      </c>
      <c r="W306" s="49">
        <f t="shared" ref="W306:W310" si="394">O306</f>
        <v>22.81</v>
      </c>
      <c r="X306" s="49">
        <f t="shared" ref="X306:X310" si="395">Q306</f>
        <v>-12.1</v>
      </c>
    </row>
    <row r="307" spans="1:24" x14ac:dyDescent="0.4">
      <c r="A307" s="1" t="s">
        <v>138</v>
      </c>
      <c r="B307" s="1" t="s">
        <v>83</v>
      </c>
      <c r="C307" s="1" t="s">
        <v>82</v>
      </c>
      <c r="D307" s="1" t="s">
        <v>235</v>
      </c>
      <c r="E307" s="1" t="s">
        <v>236</v>
      </c>
      <c r="F307" s="1" t="s">
        <v>126</v>
      </c>
      <c r="G307" s="1" t="s">
        <v>27</v>
      </c>
      <c r="H307" s="1">
        <v>5000</v>
      </c>
      <c r="J307" s="51">
        <v>45196</v>
      </c>
      <c r="L307" s="51">
        <v>45149</v>
      </c>
      <c r="M307" s="1" t="s">
        <v>139</v>
      </c>
      <c r="N307" s="1">
        <v>-1</v>
      </c>
      <c r="O307" s="1">
        <v>22.74</v>
      </c>
      <c r="P307" s="1">
        <v>-113700</v>
      </c>
      <c r="Q307" s="1">
        <v>-2.42</v>
      </c>
      <c r="R307" s="1" t="s">
        <v>83</v>
      </c>
      <c r="T307" s="50">
        <f>IF(ISNUMBER(VLOOKUP(U307,Blotter!B:C,2,0)),VLOOKUP(U307,Blotter!B:C,2,0),"")</f>
        <v>6</v>
      </c>
      <c r="U307" s="49" t="str">
        <f t="shared" si="392"/>
        <v>SIU3</v>
      </c>
      <c r="V307" s="49">
        <f t="shared" si="393"/>
        <v>-1</v>
      </c>
      <c r="W307" s="49">
        <f t="shared" si="394"/>
        <v>22.74</v>
      </c>
      <c r="X307" s="49">
        <f t="shared" si="395"/>
        <v>-2.42</v>
      </c>
    </row>
    <row r="308" spans="1:24" x14ac:dyDescent="0.4">
      <c r="A308" s="1" t="s">
        <v>138</v>
      </c>
      <c r="B308" s="1" t="s">
        <v>83</v>
      </c>
      <c r="C308" s="1" t="s">
        <v>82</v>
      </c>
      <c r="D308" s="1" t="s">
        <v>235</v>
      </c>
      <c r="E308" s="1" t="s">
        <v>236</v>
      </c>
      <c r="F308" s="1" t="s">
        <v>126</v>
      </c>
      <c r="G308" s="1" t="s">
        <v>27</v>
      </c>
      <c r="H308" s="1">
        <v>5000</v>
      </c>
      <c r="J308" s="51">
        <v>45196</v>
      </c>
      <c r="L308" s="51">
        <v>45149</v>
      </c>
      <c r="M308" s="1" t="s">
        <v>139</v>
      </c>
      <c r="N308" s="1">
        <v>-1</v>
      </c>
      <c r="O308" s="1">
        <v>22.74</v>
      </c>
      <c r="P308" s="1">
        <v>-113700</v>
      </c>
      <c r="Q308" s="1">
        <v>-2.42</v>
      </c>
      <c r="R308" s="1" t="s">
        <v>83</v>
      </c>
      <c r="T308" s="50">
        <f>IF(ISNUMBER(VLOOKUP(U308,Blotter!B:C,2,0)),VLOOKUP(U308,Blotter!B:C,2,0),"")</f>
        <v>6</v>
      </c>
      <c r="U308" s="49" t="str">
        <f t="shared" si="392"/>
        <v>SIU3</v>
      </c>
      <c r="V308" s="49">
        <f t="shared" si="393"/>
        <v>-1</v>
      </c>
      <c r="W308" s="49">
        <f t="shared" si="394"/>
        <v>22.74</v>
      </c>
      <c r="X308" s="49">
        <f t="shared" si="395"/>
        <v>-2.42</v>
      </c>
    </row>
    <row r="309" spans="1:24" x14ac:dyDescent="0.4">
      <c r="A309" s="1" t="s">
        <v>138</v>
      </c>
      <c r="B309" s="1" t="s">
        <v>83</v>
      </c>
      <c r="C309" s="1" t="s">
        <v>82</v>
      </c>
      <c r="D309" s="1" t="s">
        <v>235</v>
      </c>
      <c r="E309" s="1" t="s">
        <v>236</v>
      </c>
      <c r="F309" s="1" t="s">
        <v>126</v>
      </c>
      <c r="G309" s="1" t="s">
        <v>27</v>
      </c>
      <c r="H309" s="1">
        <v>5000</v>
      </c>
      <c r="J309" s="51">
        <v>45196</v>
      </c>
      <c r="L309" s="51">
        <v>45149</v>
      </c>
      <c r="M309" s="1" t="s">
        <v>139</v>
      </c>
      <c r="N309" s="1">
        <v>-1</v>
      </c>
      <c r="O309" s="1">
        <v>22.74</v>
      </c>
      <c r="P309" s="1">
        <v>-113700</v>
      </c>
      <c r="Q309" s="1">
        <v>-2.42</v>
      </c>
      <c r="R309" s="1" t="s">
        <v>83</v>
      </c>
      <c r="T309" s="50">
        <f>IF(ISNUMBER(VLOOKUP(U309,Blotter!B:C,2,0)),VLOOKUP(U309,Blotter!B:C,2,0),"")</f>
        <v>6</v>
      </c>
      <c r="U309" s="49" t="str">
        <f t="shared" si="392"/>
        <v>SIU3</v>
      </c>
      <c r="V309" s="49">
        <f t="shared" si="393"/>
        <v>-1</v>
      </c>
      <c r="W309" s="49">
        <f t="shared" si="394"/>
        <v>22.74</v>
      </c>
      <c r="X309" s="49">
        <f t="shared" si="395"/>
        <v>-2.42</v>
      </c>
    </row>
    <row r="310" spans="1:24" x14ac:dyDescent="0.4">
      <c r="A310" s="1" t="s">
        <v>138</v>
      </c>
      <c r="B310" s="1" t="s">
        <v>83</v>
      </c>
      <c r="C310" s="1" t="s">
        <v>82</v>
      </c>
      <c r="D310" s="1" t="s">
        <v>235</v>
      </c>
      <c r="E310" s="1" t="s">
        <v>236</v>
      </c>
      <c r="F310" s="1" t="s">
        <v>126</v>
      </c>
      <c r="G310" s="1" t="s">
        <v>27</v>
      </c>
      <c r="H310" s="1">
        <v>5000</v>
      </c>
      <c r="J310" s="51">
        <v>45196</v>
      </c>
      <c r="L310" s="51">
        <v>45149</v>
      </c>
      <c r="M310" s="1" t="s">
        <v>139</v>
      </c>
      <c r="N310" s="1">
        <v>-2</v>
      </c>
      <c r="O310" s="1">
        <v>22.74</v>
      </c>
      <c r="P310" s="1">
        <v>-227400</v>
      </c>
      <c r="Q310" s="1">
        <v>-4.84</v>
      </c>
      <c r="R310" s="1" t="s">
        <v>83</v>
      </c>
      <c r="T310" s="50">
        <f>IF(ISNUMBER(VLOOKUP(U310,Blotter!B:C,2,0)),VLOOKUP(U310,Blotter!B:C,2,0),"")</f>
        <v>6</v>
      </c>
      <c r="U310" s="49" t="str">
        <f t="shared" si="392"/>
        <v>SIU3</v>
      </c>
      <c r="V310" s="49">
        <f t="shared" si="393"/>
        <v>-2</v>
      </c>
      <c r="W310" s="49">
        <f t="shared" si="394"/>
        <v>22.74</v>
      </c>
      <c r="X310" s="49">
        <f t="shared" si="395"/>
        <v>-4.84</v>
      </c>
    </row>
    <row r="311" spans="1:24" x14ac:dyDescent="0.4">
      <c r="A311" s="1" t="s">
        <v>138</v>
      </c>
      <c r="B311" s="1" t="s">
        <v>83</v>
      </c>
      <c r="C311" s="1" t="s">
        <v>87</v>
      </c>
      <c r="D311" s="1" t="s">
        <v>270</v>
      </c>
      <c r="E311" s="1" t="s">
        <v>271</v>
      </c>
      <c r="F311" s="1" t="s">
        <v>129</v>
      </c>
      <c r="G311" s="1" t="s">
        <v>4</v>
      </c>
      <c r="H311" s="1">
        <v>100</v>
      </c>
      <c r="I311" s="1">
        <v>4390</v>
      </c>
      <c r="J311" s="51">
        <v>45219</v>
      </c>
      <c r="K311" s="1" t="s">
        <v>89</v>
      </c>
      <c r="L311" s="51">
        <v>45152</v>
      </c>
      <c r="M311" s="1" t="s">
        <v>135</v>
      </c>
      <c r="N311" s="1">
        <v>10</v>
      </c>
      <c r="O311" s="1">
        <v>63.5</v>
      </c>
      <c r="P311" s="1">
        <v>63500</v>
      </c>
      <c r="Q311" s="1">
        <v>-13.625500000000001</v>
      </c>
      <c r="R311" s="1" t="s">
        <v>83</v>
      </c>
      <c r="T311" s="50">
        <f>IF(ISNUMBER(VLOOKUP(U311,Blotter!B:C,2,0)),VLOOKUP(U311,Blotter!B:C,2,0),"")</f>
        <v>17</v>
      </c>
      <c r="U311" s="49" t="str">
        <f t="shared" ref="U311:U312" si="396">D311</f>
        <v>SPX   231020P04390000</v>
      </c>
      <c r="V311" s="49">
        <f t="shared" ref="V311:V312" si="397">N311</f>
        <v>10</v>
      </c>
      <c r="W311" s="49">
        <f t="shared" ref="W311:W312" si="398">O311</f>
        <v>63.5</v>
      </c>
      <c r="X311" s="49">
        <f t="shared" ref="X311:X312" si="399">Q311</f>
        <v>-13.625500000000001</v>
      </c>
    </row>
    <row r="312" spans="1:24" x14ac:dyDescent="0.4">
      <c r="A312" s="1" t="s">
        <v>138</v>
      </c>
      <c r="B312" s="1" t="s">
        <v>83</v>
      </c>
      <c r="C312" s="1" t="s">
        <v>82</v>
      </c>
      <c r="D312" s="1" t="s">
        <v>235</v>
      </c>
      <c r="E312" s="1" t="s">
        <v>236</v>
      </c>
      <c r="F312" s="1" t="s">
        <v>126</v>
      </c>
      <c r="G312" s="1" t="s">
        <v>27</v>
      </c>
      <c r="H312" s="1">
        <v>5000</v>
      </c>
      <c r="J312" s="51">
        <v>45196</v>
      </c>
      <c r="L312" s="51">
        <v>45152</v>
      </c>
      <c r="M312" s="1" t="s">
        <v>135</v>
      </c>
      <c r="N312" s="1">
        <v>5</v>
      </c>
      <c r="O312" s="1">
        <v>22.67</v>
      </c>
      <c r="P312" s="1">
        <v>566750</v>
      </c>
      <c r="Q312" s="1">
        <v>-12.1</v>
      </c>
      <c r="R312" s="1" t="s">
        <v>83</v>
      </c>
      <c r="T312" s="50">
        <f>IF(ISNUMBER(VLOOKUP(U312,Blotter!B:C,2,0)),VLOOKUP(U312,Blotter!B:C,2,0),"")</f>
        <v>6</v>
      </c>
      <c r="U312" s="49" t="str">
        <f t="shared" si="396"/>
        <v>SIU3</v>
      </c>
      <c r="V312" s="49">
        <f t="shared" si="397"/>
        <v>5</v>
      </c>
      <c r="W312" s="49">
        <f t="shared" si="398"/>
        <v>22.67</v>
      </c>
      <c r="X312" s="49">
        <f t="shared" si="399"/>
        <v>-12.1</v>
      </c>
    </row>
    <row r="313" spans="1:24" x14ac:dyDescent="0.4">
      <c r="A313" s="1" t="s">
        <v>138</v>
      </c>
      <c r="B313" s="1" t="s">
        <v>83</v>
      </c>
      <c r="C313" s="1" t="s">
        <v>82</v>
      </c>
      <c r="D313" s="1" t="s">
        <v>235</v>
      </c>
      <c r="E313" s="1" t="s">
        <v>236</v>
      </c>
      <c r="F313" s="1" t="s">
        <v>126</v>
      </c>
      <c r="G313" s="1" t="s">
        <v>27</v>
      </c>
      <c r="H313" s="1">
        <v>5000</v>
      </c>
      <c r="J313" s="51">
        <v>45196</v>
      </c>
      <c r="L313" s="51">
        <v>45152</v>
      </c>
      <c r="M313" s="1" t="s">
        <v>135</v>
      </c>
      <c r="N313" s="1">
        <v>5</v>
      </c>
      <c r="O313" s="1">
        <v>22.67</v>
      </c>
      <c r="P313" s="1">
        <v>566750</v>
      </c>
      <c r="Q313" s="1">
        <v>-12.1</v>
      </c>
      <c r="R313" s="1" t="s">
        <v>83</v>
      </c>
      <c r="T313" s="50">
        <f>IF(ISNUMBER(VLOOKUP(U313,Blotter!B:C,2,0)),VLOOKUP(U313,Blotter!B:C,2,0),"")</f>
        <v>6</v>
      </c>
      <c r="U313" s="49" t="str">
        <f t="shared" ref="U313:U327" si="400">D313</f>
        <v>SIU3</v>
      </c>
      <c r="V313" s="49">
        <f t="shared" ref="V313:V327" si="401">N313</f>
        <v>5</v>
      </c>
      <c r="W313" s="49">
        <f t="shared" ref="W313:W327" si="402">O313</f>
        <v>22.67</v>
      </c>
      <c r="X313" s="49">
        <f t="shared" ref="X313:X327" si="403">Q313</f>
        <v>-12.1</v>
      </c>
    </row>
    <row r="314" spans="1:24" x14ac:dyDescent="0.4">
      <c r="A314" s="1" t="s">
        <v>138</v>
      </c>
      <c r="B314" s="1" t="s">
        <v>83</v>
      </c>
      <c r="C314" s="1" t="s">
        <v>82</v>
      </c>
      <c r="D314" s="1" t="s">
        <v>235</v>
      </c>
      <c r="E314" s="1" t="s">
        <v>236</v>
      </c>
      <c r="F314" s="1" t="s">
        <v>126</v>
      </c>
      <c r="G314" s="1" t="s">
        <v>27</v>
      </c>
      <c r="H314" s="1">
        <v>5000</v>
      </c>
      <c r="J314" s="51">
        <v>45196</v>
      </c>
      <c r="L314" s="51">
        <v>45152</v>
      </c>
      <c r="M314" s="1" t="s">
        <v>135</v>
      </c>
      <c r="N314" s="1">
        <v>7</v>
      </c>
      <c r="O314" s="1">
        <v>22.62</v>
      </c>
      <c r="P314" s="1">
        <v>791700</v>
      </c>
      <c r="Q314" s="1">
        <v>-16.940000000000001</v>
      </c>
      <c r="R314" s="1" t="s">
        <v>83</v>
      </c>
      <c r="T314" s="50">
        <f>IF(ISNUMBER(VLOOKUP(U314,Blotter!B:C,2,0)),VLOOKUP(U314,Blotter!B:C,2,0),"")</f>
        <v>6</v>
      </c>
      <c r="U314" s="49" t="str">
        <f t="shared" si="400"/>
        <v>SIU3</v>
      </c>
      <c r="V314" s="49">
        <f t="shared" si="401"/>
        <v>7</v>
      </c>
      <c r="W314" s="49">
        <f t="shared" si="402"/>
        <v>22.62</v>
      </c>
      <c r="X314" s="49">
        <f t="shared" si="403"/>
        <v>-16.940000000000001</v>
      </c>
    </row>
    <row r="315" spans="1:24" x14ac:dyDescent="0.4">
      <c r="A315" s="1" t="s">
        <v>138</v>
      </c>
      <c r="B315" s="1" t="s">
        <v>83</v>
      </c>
      <c r="C315" s="1" t="s">
        <v>82</v>
      </c>
      <c r="D315" s="1" t="s">
        <v>235</v>
      </c>
      <c r="E315" s="1" t="s">
        <v>236</v>
      </c>
      <c r="F315" s="1" t="s">
        <v>126</v>
      </c>
      <c r="G315" s="1" t="s">
        <v>27</v>
      </c>
      <c r="H315" s="1">
        <v>5000</v>
      </c>
      <c r="J315" s="51">
        <v>45196</v>
      </c>
      <c r="L315" s="51">
        <v>45152</v>
      </c>
      <c r="M315" s="1" t="s">
        <v>135</v>
      </c>
      <c r="N315" s="1">
        <v>8</v>
      </c>
      <c r="O315" s="1">
        <v>22.62</v>
      </c>
      <c r="P315" s="1">
        <v>904800</v>
      </c>
      <c r="Q315" s="1">
        <v>-19.36</v>
      </c>
      <c r="R315" s="1" t="s">
        <v>83</v>
      </c>
      <c r="T315" s="50">
        <f>IF(ISNUMBER(VLOOKUP(U315,Blotter!B:C,2,0)),VLOOKUP(U315,Blotter!B:C,2,0),"")</f>
        <v>6</v>
      </c>
      <c r="U315" s="49" t="str">
        <f t="shared" si="400"/>
        <v>SIU3</v>
      </c>
      <c r="V315" s="49">
        <f t="shared" si="401"/>
        <v>8</v>
      </c>
      <c r="W315" s="49">
        <f t="shared" si="402"/>
        <v>22.62</v>
      </c>
      <c r="X315" s="49">
        <f t="shared" si="403"/>
        <v>-19.36</v>
      </c>
    </row>
    <row r="316" spans="1:24" x14ac:dyDescent="0.4">
      <c r="A316" s="1" t="s">
        <v>138</v>
      </c>
      <c r="B316" s="1" t="s">
        <v>83</v>
      </c>
      <c r="C316" s="1" t="s">
        <v>82</v>
      </c>
      <c r="D316" s="1" t="s">
        <v>235</v>
      </c>
      <c r="E316" s="1" t="s">
        <v>236</v>
      </c>
      <c r="F316" s="1" t="s">
        <v>126</v>
      </c>
      <c r="G316" s="1" t="s">
        <v>27</v>
      </c>
      <c r="H316" s="1">
        <v>5000</v>
      </c>
      <c r="J316" s="51">
        <v>45196</v>
      </c>
      <c r="L316" s="51">
        <v>45152</v>
      </c>
      <c r="M316" s="1" t="s">
        <v>135</v>
      </c>
      <c r="N316" s="1">
        <v>5</v>
      </c>
      <c r="O316" s="1">
        <v>22.62</v>
      </c>
      <c r="P316" s="1">
        <v>565500</v>
      </c>
      <c r="Q316" s="1">
        <v>-12.1</v>
      </c>
      <c r="R316" s="1" t="s">
        <v>83</v>
      </c>
      <c r="T316" s="50">
        <f>IF(ISNUMBER(VLOOKUP(U316,Blotter!B:C,2,0)),VLOOKUP(U316,Blotter!B:C,2,0),"")</f>
        <v>6</v>
      </c>
      <c r="U316" s="49" t="str">
        <f t="shared" si="400"/>
        <v>SIU3</v>
      </c>
      <c r="V316" s="49">
        <f t="shared" si="401"/>
        <v>5</v>
      </c>
      <c r="W316" s="49">
        <f t="shared" si="402"/>
        <v>22.62</v>
      </c>
      <c r="X316" s="49">
        <f t="shared" si="403"/>
        <v>-12.1</v>
      </c>
    </row>
    <row r="317" spans="1:24" x14ac:dyDescent="0.4">
      <c r="A317" s="1" t="s">
        <v>138</v>
      </c>
      <c r="B317" s="1" t="s">
        <v>83</v>
      </c>
      <c r="C317" s="1" t="s">
        <v>82</v>
      </c>
      <c r="D317" s="1" t="s">
        <v>235</v>
      </c>
      <c r="E317" s="1" t="s">
        <v>236</v>
      </c>
      <c r="F317" s="1" t="s">
        <v>126</v>
      </c>
      <c r="G317" s="1" t="s">
        <v>27</v>
      </c>
      <c r="H317" s="1">
        <v>5000</v>
      </c>
      <c r="J317" s="51">
        <v>45196</v>
      </c>
      <c r="L317" s="51">
        <v>45152</v>
      </c>
      <c r="M317" s="1" t="s">
        <v>135</v>
      </c>
      <c r="N317" s="1">
        <v>5</v>
      </c>
      <c r="O317" s="1">
        <v>22.64</v>
      </c>
      <c r="P317" s="1">
        <v>566000</v>
      </c>
      <c r="Q317" s="1">
        <v>-12.1</v>
      </c>
      <c r="R317" s="1" t="s">
        <v>83</v>
      </c>
      <c r="T317" s="50">
        <f>IF(ISNUMBER(VLOOKUP(U317,Blotter!B:C,2,0)),VLOOKUP(U317,Blotter!B:C,2,0),"")</f>
        <v>6</v>
      </c>
      <c r="U317" s="49" t="str">
        <f t="shared" si="400"/>
        <v>SIU3</v>
      </c>
      <c r="V317" s="49">
        <f t="shared" si="401"/>
        <v>5</v>
      </c>
      <c r="W317" s="49">
        <f t="shared" si="402"/>
        <v>22.64</v>
      </c>
      <c r="X317" s="49">
        <f t="shared" si="403"/>
        <v>-12.1</v>
      </c>
    </row>
    <row r="318" spans="1:24" x14ac:dyDescent="0.4">
      <c r="A318" s="1" t="s">
        <v>138</v>
      </c>
      <c r="B318" s="1" t="s">
        <v>83</v>
      </c>
      <c r="C318" s="1" t="s">
        <v>82</v>
      </c>
      <c r="D318" s="1" t="s">
        <v>235</v>
      </c>
      <c r="E318" s="1" t="s">
        <v>236</v>
      </c>
      <c r="F318" s="1" t="s">
        <v>126</v>
      </c>
      <c r="G318" s="1" t="s">
        <v>27</v>
      </c>
      <c r="H318" s="1">
        <v>5000</v>
      </c>
      <c r="J318" s="51">
        <v>45196</v>
      </c>
      <c r="L318" s="51">
        <v>45152</v>
      </c>
      <c r="M318" s="1" t="s">
        <v>139</v>
      </c>
      <c r="N318" s="1">
        <v>-5</v>
      </c>
      <c r="O318" s="1">
        <v>22.77</v>
      </c>
      <c r="P318" s="1">
        <v>-569250</v>
      </c>
      <c r="Q318" s="1">
        <v>-12.1</v>
      </c>
      <c r="R318" s="1" t="s">
        <v>83</v>
      </c>
      <c r="T318" s="50">
        <f>IF(ISNUMBER(VLOOKUP(U318,Blotter!B:C,2,0)),VLOOKUP(U318,Blotter!B:C,2,0),"")</f>
        <v>6</v>
      </c>
      <c r="U318" s="49" t="str">
        <f t="shared" si="400"/>
        <v>SIU3</v>
      </c>
      <c r="V318" s="49">
        <f t="shared" si="401"/>
        <v>-5</v>
      </c>
      <c r="W318" s="49">
        <f t="shared" si="402"/>
        <v>22.77</v>
      </c>
      <c r="X318" s="49">
        <f t="shared" si="403"/>
        <v>-12.1</v>
      </c>
    </row>
    <row r="319" spans="1:24" x14ac:dyDescent="0.4">
      <c r="A319" s="1" t="s">
        <v>138</v>
      </c>
      <c r="B319" s="1" t="s">
        <v>83</v>
      </c>
      <c r="C319" s="1" t="s">
        <v>82</v>
      </c>
      <c r="D319" s="1" t="s">
        <v>235</v>
      </c>
      <c r="E319" s="1" t="s">
        <v>236</v>
      </c>
      <c r="F319" s="1" t="s">
        <v>126</v>
      </c>
      <c r="G319" s="1" t="s">
        <v>27</v>
      </c>
      <c r="H319" s="1">
        <v>5000</v>
      </c>
      <c r="J319" s="51">
        <v>45196</v>
      </c>
      <c r="L319" s="51">
        <v>45152</v>
      </c>
      <c r="M319" s="1" t="s">
        <v>139</v>
      </c>
      <c r="N319" s="1">
        <v>-1</v>
      </c>
      <c r="O319" s="1">
        <v>22.625</v>
      </c>
      <c r="P319" s="1">
        <v>-113125</v>
      </c>
      <c r="Q319" s="1">
        <v>-2.42</v>
      </c>
      <c r="R319" s="1" t="s">
        <v>83</v>
      </c>
      <c r="T319" s="50">
        <f>IF(ISNUMBER(VLOOKUP(U319,Blotter!B:C,2,0)),VLOOKUP(U319,Blotter!B:C,2,0),"")</f>
        <v>6</v>
      </c>
      <c r="U319" s="49" t="str">
        <f t="shared" si="400"/>
        <v>SIU3</v>
      </c>
      <c r="V319" s="49">
        <f t="shared" si="401"/>
        <v>-1</v>
      </c>
      <c r="W319" s="49">
        <f t="shared" si="402"/>
        <v>22.625</v>
      </c>
      <c r="X319" s="49">
        <f t="shared" si="403"/>
        <v>-2.42</v>
      </c>
    </row>
    <row r="320" spans="1:24" x14ac:dyDescent="0.4">
      <c r="A320" s="1" t="s">
        <v>138</v>
      </c>
      <c r="B320" s="1" t="s">
        <v>83</v>
      </c>
      <c r="C320" s="1" t="s">
        <v>82</v>
      </c>
      <c r="D320" s="1" t="s">
        <v>235</v>
      </c>
      <c r="E320" s="1" t="s">
        <v>236</v>
      </c>
      <c r="F320" s="1" t="s">
        <v>126</v>
      </c>
      <c r="G320" s="1" t="s">
        <v>27</v>
      </c>
      <c r="H320" s="1">
        <v>5000</v>
      </c>
      <c r="J320" s="51">
        <v>45196</v>
      </c>
      <c r="L320" s="51">
        <v>45152</v>
      </c>
      <c r="M320" s="1" t="s">
        <v>139</v>
      </c>
      <c r="N320" s="1">
        <v>-9</v>
      </c>
      <c r="O320" s="1">
        <v>22.625</v>
      </c>
      <c r="P320" s="1">
        <v>-1018125</v>
      </c>
      <c r="Q320" s="1">
        <v>-21.78</v>
      </c>
      <c r="R320" s="1" t="s">
        <v>83</v>
      </c>
      <c r="T320" s="50">
        <f>IF(ISNUMBER(VLOOKUP(U320,Blotter!B:C,2,0)),VLOOKUP(U320,Blotter!B:C,2,0),"")</f>
        <v>6</v>
      </c>
      <c r="U320" s="49" t="str">
        <f t="shared" si="400"/>
        <v>SIU3</v>
      </c>
      <c r="V320" s="49">
        <f t="shared" si="401"/>
        <v>-9</v>
      </c>
      <c r="W320" s="49">
        <f t="shared" si="402"/>
        <v>22.625</v>
      </c>
      <c r="X320" s="49">
        <f t="shared" si="403"/>
        <v>-21.78</v>
      </c>
    </row>
    <row r="321" spans="1:24" x14ac:dyDescent="0.4">
      <c r="A321" s="1" t="s">
        <v>138</v>
      </c>
      <c r="B321" s="1" t="s">
        <v>83</v>
      </c>
      <c r="C321" s="1" t="s">
        <v>82</v>
      </c>
      <c r="D321" s="1" t="s">
        <v>235</v>
      </c>
      <c r="E321" s="1" t="s">
        <v>236</v>
      </c>
      <c r="F321" s="1" t="s">
        <v>126</v>
      </c>
      <c r="G321" s="1" t="s">
        <v>27</v>
      </c>
      <c r="H321" s="1">
        <v>5000</v>
      </c>
      <c r="J321" s="51">
        <v>45196</v>
      </c>
      <c r="L321" s="51">
        <v>45152</v>
      </c>
      <c r="M321" s="1" t="s">
        <v>139</v>
      </c>
      <c r="N321" s="1">
        <v>-5</v>
      </c>
      <c r="O321" s="1">
        <v>22.625</v>
      </c>
      <c r="P321" s="1">
        <v>-565625</v>
      </c>
      <c r="Q321" s="1">
        <v>-12.1</v>
      </c>
      <c r="R321" s="1" t="s">
        <v>83</v>
      </c>
      <c r="T321" s="50">
        <f>IF(ISNUMBER(VLOOKUP(U321,Blotter!B:C,2,0)),VLOOKUP(U321,Blotter!B:C,2,0),"")</f>
        <v>6</v>
      </c>
      <c r="U321" s="49" t="str">
        <f t="shared" si="400"/>
        <v>SIU3</v>
      </c>
      <c r="V321" s="49">
        <f t="shared" si="401"/>
        <v>-5</v>
      </c>
      <c r="W321" s="49">
        <f t="shared" si="402"/>
        <v>22.625</v>
      </c>
      <c r="X321" s="49">
        <f t="shared" si="403"/>
        <v>-12.1</v>
      </c>
    </row>
    <row r="322" spans="1:24" x14ac:dyDescent="0.4">
      <c r="A322" s="1" t="s">
        <v>138</v>
      </c>
      <c r="B322" s="1" t="s">
        <v>83</v>
      </c>
      <c r="C322" s="1" t="s">
        <v>82</v>
      </c>
      <c r="D322" s="1" t="s">
        <v>235</v>
      </c>
      <c r="E322" s="1" t="s">
        <v>236</v>
      </c>
      <c r="F322" s="1" t="s">
        <v>126</v>
      </c>
      <c r="G322" s="1" t="s">
        <v>27</v>
      </c>
      <c r="H322" s="1">
        <v>5000</v>
      </c>
      <c r="J322" s="51">
        <v>45196</v>
      </c>
      <c r="L322" s="51">
        <v>45152</v>
      </c>
      <c r="M322" s="1" t="s">
        <v>139</v>
      </c>
      <c r="N322" s="1">
        <v>-2</v>
      </c>
      <c r="O322" s="1">
        <v>22.625</v>
      </c>
      <c r="P322" s="1">
        <v>-226250</v>
      </c>
      <c r="Q322" s="1">
        <v>-4.84</v>
      </c>
      <c r="R322" s="1" t="s">
        <v>83</v>
      </c>
      <c r="T322" s="50">
        <f>IF(ISNUMBER(VLOOKUP(U322,Blotter!B:C,2,0)),VLOOKUP(U322,Blotter!B:C,2,0),"")</f>
        <v>6</v>
      </c>
      <c r="U322" s="49" t="str">
        <f t="shared" si="400"/>
        <v>SIU3</v>
      </c>
      <c r="V322" s="49">
        <f t="shared" si="401"/>
        <v>-2</v>
      </c>
      <c r="W322" s="49">
        <f t="shared" si="402"/>
        <v>22.625</v>
      </c>
      <c r="X322" s="49">
        <f t="shared" si="403"/>
        <v>-4.84</v>
      </c>
    </row>
    <row r="323" spans="1:24" x14ac:dyDescent="0.4">
      <c r="A323" s="1" t="s">
        <v>138</v>
      </c>
      <c r="B323" s="1" t="s">
        <v>83</v>
      </c>
      <c r="C323" s="1" t="s">
        <v>82</v>
      </c>
      <c r="D323" s="1" t="s">
        <v>235</v>
      </c>
      <c r="E323" s="1" t="s">
        <v>236</v>
      </c>
      <c r="F323" s="1" t="s">
        <v>126</v>
      </c>
      <c r="G323" s="1" t="s">
        <v>27</v>
      </c>
      <c r="H323" s="1">
        <v>5000</v>
      </c>
      <c r="J323" s="51">
        <v>45196</v>
      </c>
      <c r="L323" s="51">
        <v>45152</v>
      </c>
      <c r="M323" s="1" t="s">
        <v>139</v>
      </c>
      <c r="N323" s="1">
        <v>-2</v>
      </c>
      <c r="O323" s="1">
        <v>22.625</v>
      </c>
      <c r="P323" s="1">
        <v>-226250</v>
      </c>
      <c r="Q323" s="1">
        <v>-4.84</v>
      </c>
      <c r="R323" s="1" t="s">
        <v>83</v>
      </c>
      <c r="T323" s="50">
        <f>IF(ISNUMBER(VLOOKUP(U323,Blotter!B:C,2,0)),VLOOKUP(U323,Blotter!B:C,2,0),"")</f>
        <v>6</v>
      </c>
      <c r="U323" s="49" t="str">
        <f t="shared" si="400"/>
        <v>SIU3</v>
      </c>
      <c r="V323" s="49">
        <f t="shared" si="401"/>
        <v>-2</v>
      </c>
      <c r="W323" s="49">
        <f t="shared" si="402"/>
        <v>22.625</v>
      </c>
      <c r="X323" s="49">
        <f t="shared" si="403"/>
        <v>-4.84</v>
      </c>
    </row>
    <row r="324" spans="1:24" x14ac:dyDescent="0.4">
      <c r="A324" s="1" t="s">
        <v>138</v>
      </c>
      <c r="B324" s="1" t="s">
        <v>83</v>
      </c>
      <c r="C324" s="1" t="s">
        <v>82</v>
      </c>
      <c r="D324" s="1" t="s">
        <v>235</v>
      </c>
      <c r="E324" s="1" t="s">
        <v>236</v>
      </c>
      <c r="F324" s="1" t="s">
        <v>126</v>
      </c>
      <c r="G324" s="1" t="s">
        <v>27</v>
      </c>
      <c r="H324" s="1">
        <v>5000</v>
      </c>
      <c r="J324" s="51">
        <v>45196</v>
      </c>
      <c r="L324" s="51">
        <v>45152</v>
      </c>
      <c r="M324" s="1" t="s">
        <v>139</v>
      </c>
      <c r="N324" s="1">
        <v>-1</v>
      </c>
      <c r="O324" s="1">
        <v>22.625</v>
      </c>
      <c r="P324" s="1">
        <v>-113125</v>
      </c>
      <c r="Q324" s="1">
        <v>-2.42</v>
      </c>
      <c r="R324" s="1" t="s">
        <v>83</v>
      </c>
      <c r="T324" s="50">
        <f>IF(ISNUMBER(VLOOKUP(U324,Blotter!B:C,2,0)),VLOOKUP(U324,Blotter!B:C,2,0),"")</f>
        <v>6</v>
      </c>
      <c r="U324" s="49" t="str">
        <f t="shared" si="400"/>
        <v>SIU3</v>
      </c>
      <c r="V324" s="49">
        <f t="shared" si="401"/>
        <v>-1</v>
      </c>
      <c r="W324" s="49">
        <f t="shared" si="402"/>
        <v>22.625</v>
      </c>
      <c r="X324" s="49">
        <f t="shared" si="403"/>
        <v>-2.42</v>
      </c>
    </row>
    <row r="325" spans="1:24" x14ac:dyDescent="0.4">
      <c r="A325" s="1" t="s">
        <v>138</v>
      </c>
      <c r="B325" s="1" t="s">
        <v>83</v>
      </c>
      <c r="C325" s="1" t="s">
        <v>82</v>
      </c>
      <c r="D325" s="1" t="s">
        <v>235</v>
      </c>
      <c r="E325" s="1" t="s">
        <v>236</v>
      </c>
      <c r="F325" s="1" t="s">
        <v>126</v>
      </c>
      <c r="G325" s="1" t="s">
        <v>27</v>
      </c>
      <c r="H325" s="1">
        <v>5000</v>
      </c>
      <c r="J325" s="51">
        <v>45196</v>
      </c>
      <c r="L325" s="51">
        <v>45152</v>
      </c>
      <c r="M325" s="1" t="s">
        <v>139</v>
      </c>
      <c r="N325" s="1">
        <v>-4</v>
      </c>
      <c r="O325" s="1">
        <v>22.625</v>
      </c>
      <c r="P325" s="1">
        <v>-452500</v>
      </c>
      <c r="Q325" s="1">
        <v>-9.68</v>
      </c>
      <c r="R325" s="1" t="s">
        <v>83</v>
      </c>
      <c r="T325" s="50">
        <f>IF(ISNUMBER(VLOOKUP(U325,Blotter!B:C,2,0)),VLOOKUP(U325,Blotter!B:C,2,0),"")</f>
        <v>6</v>
      </c>
      <c r="U325" s="49" t="str">
        <f t="shared" si="400"/>
        <v>SIU3</v>
      </c>
      <c r="V325" s="49">
        <f t="shared" si="401"/>
        <v>-4</v>
      </c>
      <c r="W325" s="49">
        <f t="shared" si="402"/>
        <v>22.625</v>
      </c>
      <c r="X325" s="49">
        <f t="shared" si="403"/>
        <v>-9.68</v>
      </c>
    </row>
    <row r="326" spans="1:24" x14ac:dyDescent="0.4">
      <c r="A326" s="1" t="s">
        <v>138</v>
      </c>
      <c r="B326" s="1" t="s">
        <v>83</v>
      </c>
      <c r="C326" s="1" t="s">
        <v>82</v>
      </c>
      <c r="D326" s="1" t="s">
        <v>235</v>
      </c>
      <c r="E326" s="1" t="s">
        <v>236</v>
      </c>
      <c r="F326" s="1" t="s">
        <v>126</v>
      </c>
      <c r="G326" s="1" t="s">
        <v>27</v>
      </c>
      <c r="H326" s="1">
        <v>5000</v>
      </c>
      <c r="J326" s="51">
        <v>45196</v>
      </c>
      <c r="L326" s="51">
        <v>45152</v>
      </c>
      <c r="M326" s="1" t="s">
        <v>139</v>
      </c>
      <c r="N326" s="1">
        <v>-1</v>
      </c>
      <c r="O326" s="1">
        <v>22.625</v>
      </c>
      <c r="P326" s="1">
        <v>-113125</v>
      </c>
      <c r="Q326" s="1">
        <v>-2.42</v>
      </c>
      <c r="R326" s="1" t="s">
        <v>83</v>
      </c>
      <c r="T326" s="50">
        <f>IF(ISNUMBER(VLOOKUP(U326,Blotter!B:C,2,0)),VLOOKUP(U326,Blotter!B:C,2,0),"")</f>
        <v>6</v>
      </c>
      <c r="U326" s="49" t="str">
        <f t="shared" si="400"/>
        <v>SIU3</v>
      </c>
      <c r="V326" s="49">
        <f t="shared" si="401"/>
        <v>-1</v>
      </c>
      <c r="W326" s="49">
        <f t="shared" si="402"/>
        <v>22.625</v>
      </c>
      <c r="X326" s="49">
        <f t="shared" si="403"/>
        <v>-2.42</v>
      </c>
    </row>
    <row r="327" spans="1:24" x14ac:dyDescent="0.4">
      <c r="A327" s="1" t="s">
        <v>138</v>
      </c>
      <c r="B327" s="1" t="s">
        <v>83</v>
      </c>
      <c r="C327" s="1" t="s">
        <v>82</v>
      </c>
      <c r="D327" s="1" t="s">
        <v>235</v>
      </c>
      <c r="E327" s="1" t="s">
        <v>236</v>
      </c>
      <c r="F327" s="1" t="s">
        <v>126</v>
      </c>
      <c r="G327" s="1" t="s">
        <v>27</v>
      </c>
      <c r="H327" s="1">
        <v>5000</v>
      </c>
      <c r="J327" s="51">
        <v>45196</v>
      </c>
      <c r="L327" s="51">
        <v>45152</v>
      </c>
      <c r="M327" s="1" t="s">
        <v>139</v>
      </c>
      <c r="N327" s="1">
        <v>-5</v>
      </c>
      <c r="O327" s="1">
        <v>22.72</v>
      </c>
      <c r="P327" s="1">
        <v>-568000</v>
      </c>
      <c r="Q327" s="1">
        <v>-12.1</v>
      </c>
      <c r="R327" s="1" t="s">
        <v>83</v>
      </c>
      <c r="T327" s="50">
        <f>IF(ISNUMBER(VLOOKUP(U327,Blotter!B:C,2,0)),VLOOKUP(U327,Blotter!B:C,2,0),"")</f>
        <v>6</v>
      </c>
      <c r="U327" s="49" t="str">
        <f t="shared" si="400"/>
        <v>SIU3</v>
      </c>
      <c r="V327" s="49">
        <f t="shared" si="401"/>
        <v>-5</v>
      </c>
      <c r="W327" s="49">
        <f t="shared" si="402"/>
        <v>22.72</v>
      </c>
      <c r="X327" s="49">
        <f t="shared" si="403"/>
        <v>-12.1</v>
      </c>
    </row>
    <row r="328" spans="1:24" x14ac:dyDescent="0.4">
      <c r="A328" s="1" t="s">
        <v>138</v>
      </c>
      <c r="B328" s="1" t="s">
        <v>83</v>
      </c>
      <c r="C328" s="1" t="s">
        <v>87</v>
      </c>
      <c r="D328" s="1" t="s">
        <v>270</v>
      </c>
      <c r="E328" s="1" t="s">
        <v>271</v>
      </c>
      <c r="F328" s="1" t="s">
        <v>129</v>
      </c>
      <c r="G328" s="1" t="s">
        <v>4</v>
      </c>
      <c r="H328" s="1">
        <v>100</v>
      </c>
      <c r="I328" s="1">
        <v>4390</v>
      </c>
      <c r="J328" s="51">
        <v>45219</v>
      </c>
      <c r="K328" s="1" t="s">
        <v>89</v>
      </c>
      <c r="L328" s="51">
        <v>45153</v>
      </c>
      <c r="M328" s="1" t="s">
        <v>139</v>
      </c>
      <c r="N328" s="1">
        <v>-10</v>
      </c>
      <c r="O328" s="1">
        <v>70.2</v>
      </c>
      <c r="P328" s="1">
        <v>-70200</v>
      </c>
      <c r="Q328" s="1">
        <v>-13.625500000000001</v>
      </c>
      <c r="R328" s="1" t="s">
        <v>83</v>
      </c>
      <c r="T328" s="50">
        <f>IF(ISNUMBER(VLOOKUP(U328,Blotter!B:C,2,0)),VLOOKUP(U328,Blotter!B:C,2,0),"")</f>
        <v>17</v>
      </c>
      <c r="U328" s="49" t="str">
        <f t="shared" ref="U328:U336" si="404">D328</f>
        <v>SPX   231020P04390000</v>
      </c>
      <c r="V328" s="49">
        <f t="shared" ref="V328:V336" si="405">N328</f>
        <v>-10</v>
      </c>
      <c r="W328" s="49">
        <f t="shared" ref="W328:W336" si="406">O328</f>
        <v>70.2</v>
      </c>
      <c r="X328" s="49">
        <f t="shared" ref="X328:X336" si="407">Q328</f>
        <v>-13.625500000000001</v>
      </c>
    </row>
    <row r="329" spans="1:24" x14ac:dyDescent="0.4">
      <c r="A329" s="1" t="s">
        <v>138</v>
      </c>
      <c r="B329" s="1" t="s">
        <v>83</v>
      </c>
      <c r="C329" s="1" t="s">
        <v>82</v>
      </c>
      <c r="D329" s="1" t="s">
        <v>235</v>
      </c>
      <c r="E329" s="1" t="s">
        <v>236</v>
      </c>
      <c r="F329" s="1" t="s">
        <v>126</v>
      </c>
      <c r="G329" s="1" t="s">
        <v>27</v>
      </c>
      <c r="H329" s="1">
        <v>5000</v>
      </c>
      <c r="J329" s="51">
        <v>45196</v>
      </c>
      <c r="L329" s="51">
        <v>45153</v>
      </c>
      <c r="M329" s="1" t="s">
        <v>135</v>
      </c>
      <c r="N329" s="1">
        <v>5</v>
      </c>
      <c r="O329" s="1">
        <v>22.56</v>
      </c>
      <c r="P329" s="1">
        <v>564000</v>
      </c>
      <c r="Q329" s="1">
        <v>-12.1</v>
      </c>
      <c r="R329" s="1" t="s">
        <v>83</v>
      </c>
      <c r="T329" s="50">
        <f>IF(ISNUMBER(VLOOKUP(U329,Blotter!B:C,2,0)),VLOOKUP(U329,Blotter!B:C,2,0),"")</f>
        <v>6</v>
      </c>
      <c r="U329" s="49" t="str">
        <f t="shared" si="404"/>
        <v>SIU3</v>
      </c>
      <c r="V329" s="49">
        <f t="shared" si="405"/>
        <v>5</v>
      </c>
      <c r="W329" s="49">
        <f t="shared" si="406"/>
        <v>22.56</v>
      </c>
      <c r="X329" s="49">
        <f t="shared" si="407"/>
        <v>-12.1</v>
      </c>
    </row>
    <row r="330" spans="1:24" x14ac:dyDescent="0.4">
      <c r="A330" s="1" t="s">
        <v>138</v>
      </c>
      <c r="B330" s="1" t="s">
        <v>83</v>
      </c>
      <c r="C330" s="1" t="s">
        <v>82</v>
      </c>
      <c r="D330" s="1" t="s">
        <v>235</v>
      </c>
      <c r="E330" s="1" t="s">
        <v>236</v>
      </c>
      <c r="F330" s="1" t="s">
        <v>126</v>
      </c>
      <c r="G330" s="1" t="s">
        <v>27</v>
      </c>
      <c r="H330" s="1">
        <v>5000</v>
      </c>
      <c r="J330" s="51">
        <v>45196</v>
      </c>
      <c r="L330" s="51">
        <v>45153</v>
      </c>
      <c r="M330" s="1" t="s">
        <v>135</v>
      </c>
      <c r="N330" s="1">
        <v>5</v>
      </c>
      <c r="O330" s="1">
        <v>22.484999999999999</v>
      </c>
      <c r="P330" s="1">
        <v>562125</v>
      </c>
      <c r="Q330" s="1">
        <v>-12.1</v>
      </c>
      <c r="R330" s="1" t="s">
        <v>83</v>
      </c>
      <c r="T330" s="50">
        <f>IF(ISNUMBER(VLOOKUP(U330,Blotter!B:C,2,0)),VLOOKUP(U330,Blotter!B:C,2,0),"")</f>
        <v>6</v>
      </c>
      <c r="U330" s="49" t="str">
        <f t="shared" si="404"/>
        <v>SIU3</v>
      </c>
      <c r="V330" s="49">
        <f t="shared" si="405"/>
        <v>5</v>
      </c>
      <c r="W330" s="49">
        <f t="shared" si="406"/>
        <v>22.484999999999999</v>
      </c>
      <c r="X330" s="49">
        <f t="shared" si="407"/>
        <v>-12.1</v>
      </c>
    </row>
    <row r="331" spans="1:24" x14ac:dyDescent="0.4">
      <c r="A331" s="1" t="s">
        <v>138</v>
      </c>
      <c r="B331" s="1" t="s">
        <v>83</v>
      </c>
      <c r="C331" s="1" t="s">
        <v>82</v>
      </c>
      <c r="D331" s="1" t="s">
        <v>235</v>
      </c>
      <c r="E331" s="1" t="s">
        <v>236</v>
      </c>
      <c r="F331" s="1" t="s">
        <v>126</v>
      </c>
      <c r="G331" s="1" t="s">
        <v>27</v>
      </c>
      <c r="H331" s="1">
        <v>5000</v>
      </c>
      <c r="J331" s="51">
        <v>45196</v>
      </c>
      <c r="L331" s="51">
        <v>45153</v>
      </c>
      <c r="M331" s="1" t="s">
        <v>139</v>
      </c>
      <c r="N331" s="1">
        <v>-1</v>
      </c>
      <c r="O331" s="1">
        <v>22.6</v>
      </c>
      <c r="P331" s="1">
        <v>-113000</v>
      </c>
      <c r="Q331" s="1">
        <v>-2.42</v>
      </c>
      <c r="R331" s="1" t="s">
        <v>83</v>
      </c>
      <c r="T331" s="50">
        <f>IF(ISNUMBER(VLOOKUP(U331,Blotter!B:C,2,0)),VLOOKUP(U331,Blotter!B:C,2,0),"")</f>
        <v>6</v>
      </c>
      <c r="U331" s="49" t="str">
        <f t="shared" si="404"/>
        <v>SIU3</v>
      </c>
      <c r="V331" s="49">
        <f t="shared" si="405"/>
        <v>-1</v>
      </c>
      <c r="W331" s="49">
        <f t="shared" si="406"/>
        <v>22.6</v>
      </c>
      <c r="X331" s="49">
        <f t="shared" si="407"/>
        <v>-2.42</v>
      </c>
    </row>
    <row r="332" spans="1:24" x14ac:dyDescent="0.4">
      <c r="A332" s="1" t="s">
        <v>138</v>
      </c>
      <c r="B332" s="1" t="s">
        <v>83</v>
      </c>
      <c r="C332" s="1" t="s">
        <v>82</v>
      </c>
      <c r="D332" s="1" t="s">
        <v>235</v>
      </c>
      <c r="E332" s="1" t="s">
        <v>236</v>
      </c>
      <c r="F332" s="1" t="s">
        <v>126</v>
      </c>
      <c r="G332" s="1" t="s">
        <v>27</v>
      </c>
      <c r="H332" s="1">
        <v>5000</v>
      </c>
      <c r="J332" s="51">
        <v>45196</v>
      </c>
      <c r="L332" s="51">
        <v>45153</v>
      </c>
      <c r="M332" s="1" t="s">
        <v>139</v>
      </c>
      <c r="N332" s="1">
        <v>-1</v>
      </c>
      <c r="O332" s="1">
        <v>22.6</v>
      </c>
      <c r="P332" s="1">
        <v>-113000</v>
      </c>
      <c r="Q332" s="1">
        <v>-2.42</v>
      </c>
      <c r="R332" s="1" t="s">
        <v>83</v>
      </c>
      <c r="T332" s="50">
        <f>IF(ISNUMBER(VLOOKUP(U332,Blotter!B:C,2,0)),VLOOKUP(U332,Blotter!B:C,2,0),"")</f>
        <v>6</v>
      </c>
      <c r="U332" s="49" t="str">
        <f t="shared" si="404"/>
        <v>SIU3</v>
      </c>
      <c r="V332" s="49">
        <f t="shared" si="405"/>
        <v>-1</v>
      </c>
      <c r="W332" s="49">
        <f t="shared" si="406"/>
        <v>22.6</v>
      </c>
      <c r="X332" s="49">
        <f t="shared" si="407"/>
        <v>-2.42</v>
      </c>
    </row>
    <row r="333" spans="1:24" x14ac:dyDescent="0.4">
      <c r="A333" s="1" t="s">
        <v>138</v>
      </c>
      <c r="B333" s="1" t="s">
        <v>83</v>
      </c>
      <c r="C333" s="1" t="s">
        <v>82</v>
      </c>
      <c r="D333" s="1" t="s">
        <v>235</v>
      </c>
      <c r="E333" s="1" t="s">
        <v>236</v>
      </c>
      <c r="F333" s="1" t="s">
        <v>126</v>
      </c>
      <c r="G333" s="1" t="s">
        <v>27</v>
      </c>
      <c r="H333" s="1">
        <v>5000</v>
      </c>
      <c r="J333" s="51">
        <v>45196</v>
      </c>
      <c r="L333" s="51">
        <v>45153</v>
      </c>
      <c r="M333" s="1" t="s">
        <v>139</v>
      </c>
      <c r="N333" s="1">
        <v>-1</v>
      </c>
      <c r="O333" s="1">
        <v>22.6</v>
      </c>
      <c r="P333" s="1">
        <v>-113000</v>
      </c>
      <c r="Q333" s="1">
        <v>-2.42</v>
      </c>
      <c r="R333" s="1" t="s">
        <v>83</v>
      </c>
      <c r="T333" s="50">
        <f>IF(ISNUMBER(VLOOKUP(U333,Blotter!B:C,2,0)),VLOOKUP(U333,Blotter!B:C,2,0),"")</f>
        <v>6</v>
      </c>
      <c r="U333" s="49" t="str">
        <f t="shared" si="404"/>
        <v>SIU3</v>
      </c>
      <c r="V333" s="49">
        <f t="shared" si="405"/>
        <v>-1</v>
      </c>
      <c r="W333" s="49">
        <f t="shared" si="406"/>
        <v>22.6</v>
      </c>
      <c r="X333" s="49">
        <f t="shared" si="407"/>
        <v>-2.42</v>
      </c>
    </row>
    <row r="334" spans="1:24" x14ac:dyDescent="0.4">
      <c r="A334" s="1" t="s">
        <v>138</v>
      </c>
      <c r="B334" s="1" t="s">
        <v>83</v>
      </c>
      <c r="C334" s="1" t="s">
        <v>82</v>
      </c>
      <c r="D334" s="1" t="s">
        <v>235</v>
      </c>
      <c r="E334" s="1" t="s">
        <v>236</v>
      </c>
      <c r="F334" s="1" t="s">
        <v>126</v>
      </c>
      <c r="G334" s="1" t="s">
        <v>27</v>
      </c>
      <c r="H334" s="1">
        <v>5000</v>
      </c>
      <c r="J334" s="51">
        <v>45196</v>
      </c>
      <c r="L334" s="51">
        <v>45153</v>
      </c>
      <c r="M334" s="1" t="s">
        <v>139</v>
      </c>
      <c r="N334" s="1">
        <v>-1</v>
      </c>
      <c r="O334" s="1">
        <v>22.6</v>
      </c>
      <c r="P334" s="1">
        <v>-113000</v>
      </c>
      <c r="Q334" s="1">
        <v>-2.42</v>
      </c>
      <c r="R334" s="1" t="s">
        <v>83</v>
      </c>
      <c r="T334" s="50">
        <f>IF(ISNUMBER(VLOOKUP(U334,Blotter!B:C,2,0)),VLOOKUP(U334,Blotter!B:C,2,0),"")</f>
        <v>6</v>
      </c>
      <c r="U334" s="49" t="str">
        <f t="shared" si="404"/>
        <v>SIU3</v>
      </c>
      <c r="V334" s="49">
        <f t="shared" si="405"/>
        <v>-1</v>
      </c>
      <c r="W334" s="49">
        <f t="shared" si="406"/>
        <v>22.6</v>
      </c>
      <c r="X334" s="49">
        <f t="shared" si="407"/>
        <v>-2.42</v>
      </c>
    </row>
    <row r="335" spans="1:24" x14ac:dyDescent="0.4">
      <c r="A335" s="1" t="s">
        <v>138</v>
      </c>
      <c r="B335" s="1" t="s">
        <v>83</v>
      </c>
      <c r="C335" s="1" t="s">
        <v>82</v>
      </c>
      <c r="D335" s="1" t="s">
        <v>235</v>
      </c>
      <c r="E335" s="1" t="s">
        <v>236</v>
      </c>
      <c r="F335" s="1" t="s">
        <v>126</v>
      </c>
      <c r="G335" s="1" t="s">
        <v>27</v>
      </c>
      <c r="H335" s="1">
        <v>5000</v>
      </c>
      <c r="J335" s="51">
        <v>45196</v>
      </c>
      <c r="L335" s="51">
        <v>45153</v>
      </c>
      <c r="M335" s="1" t="s">
        <v>139</v>
      </c>
      <c r="N335" s="1">
        <v>-1</v>
      </c>
      <c r="O335" s="1">
        <v>22.6</v>
      </c>
      <c r="P335" s="1">
        <v>-113000</v>
      </c>
      <c r="Q335" s="1">
        <v>-2.42</v>
      </c>
      <c r="R335" s="1" t="s">
        <v>83</v>
      </c>
      <c r="T335" s="50">
        <f>IF(ISNUMBER(VLOOKUP(U335,Blotter!B:C,2,0)),VLOOKUP(U335,Blotter!B:C,2,0),"")</f>
        <v>6</v>
      </c>
      <c r="U335" s="49" t="str">
        <f t="shared" si="404"/>
        <v>SIU3</v>
      </c>
      <c r="V335" s="49">
        <f t="shared" si="405"/>
        <v>-1</v>
      </c>
      <c r="W335" s="49">
        <f t="shared" si="406"/>
        <v>22.6</v>
      </c>
      <c r="X335" s="49">
        <f t="shared" si="407"/>
        <v>-2.42</v>
      </c>
    </row>
    <row r="336" spans="1:24" x14ac:dyDescent="0.4">
      <c r="A336" s="1" t="s">
        <v>138</v>
      </c>
      <c r="B336" s="1" t="s">
        <v>83</v>
      </c>
      <c r="C336" s="1" t="s">
        <v>82</v>
      </c>
      <c r="D336" s="1" t="s">
        <v>235</v>
      </c>
      <c r="E336" s="1" t="s">
        <v>236</v>
      </c>
      <c r="F336" s="1" t="s">
        <v>126</v>
      </c>
      <c r="G336" s="1" t="s">
        <v>27</v>
      </c>
      <c r="H336" s="1">
        <v>5000</v>
      </c>
      <c r="J336" s="51">
        <v>45196</v>
      </c>
      <c r="L336" s="51">
        <v>45153</v>
      </c>
      <c r="M336" s="1" t="s">
        <v>139</v>
      </c>
      <c r="N336" s="1">
        <v>-5</v>
      </c>
      <c r="O336" s="1">
        <v>22.65</v>
      </c>
      <c r="P336" s="1">
        <v>-566250</v>
      </c>
      <c r="Q336" s="1">
        <v>-12.1</v>
      </c>
      <c r="R336" s="1" t="s">
        <v>83</v>
      </c>
      <c r="T336" s="50">
        <f>IF(ISNUMBER(VLOOKUP(U336,Blotter!B:C,2,0)),VLOOKUP(U336,Blotter!B:C,2,0),"")</f>
        <v>6</v>
      </c>
      <c r="U336" s="49" t="str">
        <f t="shared" si="404"/>
        <v>SIU3</v>
      </c>
      <c r="V336" s="49">
        <f t="shared" si="405"/>
        <v>-5</v>
      </c>
      <c r="W336" s="49">
        <f t="shared" si="406"/>
        <v>22.65</v>
      </c>
      <c r="X336" s="49">
        <f t="shared" si="407"/>
        <v>-12.1</v>
      </c>
    </row>
    <row r="337" spans="1:24" x14ac:dyDescent="0.4">
      <c r="A337" s="1" t="s">
        <v>138</v>
      </c>
      <c r="B337" s="1" t="s">
        <v>83</v>
      </c>
      <c r="C337" s="1" t="s">
        <v>82</v>
      </c>
      <c r="D337" s="1" t="s">
        <v>235</v>
      </c>
      <c r="E337" s="1" t="s">
        <v>236</v>
      </c>
      <c r="F337" s="1" t="s">
        <v>126</v>
      </c>
      <c r="G337" s="1" t="s">
        <v>27</v>
      </c>
      <c r="H337" s="1">
        <v>5000</v>
      </c>
      <c r="J337" s="51">
        <v>45196</v>
      </c>
      <c r="L337" s="51">
        <v>45154</v>
      </c>
      <c r="M337" s="1" t="s">
        <v>135</v>
      </c>
      <c r="N337" s="1">
        <v>1</v>
      </c>
      <c r="O337" s="1">
        <v>22.715</v>
      </c>
      <c r="P337" s="1">
        <v>113575</v>
      </c>
      <c r="Q337" s="1">
        <v>-2.42</v>
      </c>
      <c r="R337" s="1" t="s">
        <v>83</v>
      </c>
      <c r="T337" s="50">
        <f>IF(ISNUMBER(VLOOKUP(U337,Blotter!B:C,2,0)),VLOOKUP(U337,Blotter!B:C,2,0),"")</f>
        <v>6</v>
      </c>
      <c r="U337" s="49" t="str">
        <f t="shared" ref="U337:U342" si="408">D337</f>
        <v>SIU3</v>
      </c>
      <c r="V337" s="49">
        <f t="shared" ref="V337:V342" si="409">N337</f>
        <v>1</v>
      </c>
      <c r="W337" s="49">
        <f t="shared" ref="W337:W342" si="410">O337</f>
        <v>22.715</v>
      </c>
      <c r="X337" s="49">
        <f t="shared" ref="X337:X342" si="411">Q337</f>
        <v>-2.42</v>
      </c>
    </row>
    <row r="338" spans="1:24" x14ac:dyDescent="0.4">
      <c r="A338" s="1" t="s">
        <v>138</v>
      </c>
      <c r="B338" s="1" t="s">
        <v>83</v>
      </c>
      <c r="C338" s="1" t="s">
        <v>82</v>
      </c>
      <c r="D338" s="1" t="s">
        <v>235</v>
      </c>
      <c r="E338" s="1" t="s">
        <v>236</v>
      </c>
      <c r="F338" s="1" t="s">
        <v>126</v>
      </c>
      <c r="G338" s="1" t="s">
        <v>27</v>
      </c>
      <c r="H338" s="1">
        <v>5000</v>
      </c>
      <c r="J338" s="51">
        <v>45196</v>
      </c>
      <c r="L338" s="51">
        <v>45154</v>
      </c>
      <c r="M338" s="1" t="s">
        <v>135</v>
      </c>
      <c r="N338" s="1">
        <v>1</v>
      </c>
      <c r="O338" s="1">
        <v>22.715</v>
      </c>
      <c r="P338" s="1">
        <v>113575</v>
      </c>
      <c r="Q338" s="1">
        <v>-2.42</v>
      </c>
      <c r="R338" s="1" t="s">
        <v>83</v>
      </c>
      <c r="T338" s="50">
        <f>IF(ISNUMBER(VLOOKUP(U338,Blotter!B:C,2,0)),VLOOKUP(U338,Blotter!B:C,2,0),"")</f>
        <v>6</v>
      </c>
      <c r="U338" s="49" t="str">
        <f t="shared" si="408"/>
        <v>SIU3</v>
      </c>
      <c r="V338" s="49">
        <f t="shared" si="409"/>
        <v>1</v>
      </c>
      <c r="W338" s="49">
        <f t="shared" si="410"/>
        <v>22.715</v>
      </c>
      <c r="X338" s="49">
        <f t="shared" si="411"/>
        <v>-2.42</v>
      </c>
    </row>
    <row r="339" spans="1:24" x14ac:dyDescent="0.4">
      <c r="A339" s="1" t="s">
        <v>138</v>
      </c>
      <c r="B339" s="1" t="s">
        <v>83</v>
      </c>
      <c r="C339" s="1" t="s">
        <v>82</v>
      </c>
      <c r="D339" s="1" t="s">
        <v>235</v>
      </c>
      <c r="E339" s="1" t="s">
        <v>236</v>
      </c>
      <c r="F339" s="1" t="s">
        <v>126</v>
      </c>
      <c r="G339" s="1" t="s">
        <v>27</v>
      </c>
      <c r="H339" s="1">
        <v>5000</v>
      </c>
      <c r="J339" s="51">
        <v>45196</v>
      </c>
      <c r="L339" s="51">
        <v>45154</v>
      </c>
      <c r="M339" s="1" t="s">
        <v>135</v>
      </c>
      <c r="N339" s="1">
        <v>2</v>
      </c>
      <c r="O339" s="1">
        <v>22.715</v>
      </c>
      <c r="P339" s="1">
        <v>227150</v>
      </c>
      <c r="Q339" s="1">
        <v>-4.84</v>
      </c>
      <c r="R339" s="1" t="s">
        <v>83</v>
      </c>
      <c r="T339" s="50">
        <f>IF(ISNUMBER(VLOOKUP(U339,Blotter!B:C,2,0)),VLOOKUP(U339,Blotter!B:C,2,0),"")</f>
        <v>6</v>
      </c>
      <c r="U339" s="49" t="str">
        <f t="shared" si="408"/>
        <v>SIU3</v>
      </c>
      <c r="V339" s="49">
        <f t="shared" si="409"/>
        <v>2</v>
      </c>
      <c r="W339" s="49">
        <f t="shared" si="410"/>
        <v>22.715</v>
      </c>
      <c r="X339" s="49">
        <f t="shared" si="411"/>
        <v>-4.84</v>
      </c>
    </row>
    <row r="340" spans="1:24" x14ac:dyDescent="0.4">
      <c r="A340" s="1" t="s">
        <v>138</v>
      </c>
      <c r="B340" s="1" t="s">
        <v>83</v>
      </c>
      <c r="C340" s="1" t="s">
        <v>82</v>
      </c>
      <c r="D340" s="1" t="s">
        <v>235</v>
      </c>
      <c r="E340" s="1" t="s">
        <v>236</v>
      </c>
      <c r="F340" s="1" t="s">
        <v>126</v>
      </c>
      <c r="G340" s="1" t="s">
        <v>27</v>
      </c>
      <c r="H340" s="1">
        <v>5000</v>
      </c>
      <c r="J340" s="51">
        <v>45196</v>
      </c>
      <c r="L340" s="51">
        <v>45154</v>
      </c>
      <c r="M340" s="1" t="s">
        <v>135</v>
      </c>
      <c r="N340" s="1">
        <v>1</v>
      </c>
      <c r="O340" s="1">
        <v>22.715</v>
      </c>
      <c r="P340" s="1">
        <v>113575</v>
      </c>
      <c r="Q340" s="1">
        <v>-2.42</v>
      </c>
      <c r="R340" s="1" t="s">
        <v>83</v>
      </c>
      <c r="T340" s="50">
        <f>IF(ISNUMBER(VLOOKUP(U340,Blotter!B:C,2,0)),VLOOKUP(U340,Blotter!B:C,2,0),"")</f>
        <v>6</v>
      </c>
      <c r="U340" s="49" t="str">
        <f t="shared" si="408"/>
        <v>SIU3</v>
      </c>
      <c r="V340" s="49">
        <f t="shared" si="409"/>
        <v>1</v>
      </c>
      <c r="W340" s="49">
        <f t="shared" si="410"/>
        <v>22.715</v>
      </c>
      <c r="X340" s="49">
        <f t="shared" si="411"/>
        <v>-2.42</v>
      </c>
    </row>
    <row r="341" spans="1:24" x14ac:dyDescent="0.4">
      <c r="A341" s="1" t="s">
        <v>138</v>
      </c>
      <c r="B341" s="1" t="s">
        <v>83</v>
      </c>
      <c r="C341" s="1" t="s">
        <v>82</v>
      </c>
      <c r="D341" s="1" t="s">
        <v>235</v>
      </c>
      <c r="E341" s="1" t="s">
        <v>236</v>
      </c>
      <c r="F341" s="1" t="s">
        <v>126</v>
      </c>
      <c r="G341" s="1" t="s">
        <v>27</v>
      </c>
      <c r="H341" s="1">
        <v>5000</v>
      </c>
      <c r="J341" s="51">
        <v>45196</v>
      </c>
      <c r="L341" s="51">
        <v>45154</v>
      </c>
      <c r="M341" s="1" t="s">
        <v>135</v>
      </c>
      <c r="N341" s="1">
        <v>5</v>
      </c>
      <c r="O341" s="1">
        <v>22.66</v>
      </c>
      <c r="P341" s="1">
        <v>566500</v>
      </c>
      <c r="Q341" s="1">
        <v>-12.1</v>
      </c>
      <c r="R341" s="1" t="s">
        <v>83</v>
      </c>
      <c r="T341" s="50">
        <f>IF(ISNUMBER(VLOOKUP(U341,Blotter!B:C,2,0)),VLOOKUP(U341,Blotter!B:C,2,0),"")</f>
        <v>6</v>
      </c>
      <c r="U341" s="49" t="str">
        <f t="shared" si="408"/>
        <v>SIU3</v>
      </c>
      <c r="V341" s="49">
        <f t="shared" si="409"/>
        <v>5</v>
      </c>
      <c r="W341" s="49">
        <f t="shared" si="410"/>
        <v>22.66</v>
      </c>
      <c r="X341" s="49">
        <f t="shared" si="411"/>
        <v>-12.1</v>
      </c>
    </row>
    <row r="342" spans="1:24" x14ac:dyDescent="0.4">
      <c r="A342" s="1" t="s">
        <v>138</v>
      </c>
      <c r="B342" s="1" t="s">
        <v>83</v>
      </c>
      <c r="C342" s="1" t="s">
        <v>82</v>
      </c>
      <c r="D342" s="1" t="s">
        <v>235</v>
      </c>
      <c r="E342" s="1" t="s">
        <v>236</v>
      </c>
      <c r="F342" s="1" t="s">
        <v>126</v>
      </c>
      <c r="G342" s="1" t="s">
        <v>27</v>
      </c>
      <c r="H342" s="1">
        <v>5000</v>
      </c>
      <c r="J342" s="51">
        <v>45196</v>
      </c>
      <c r="L342" s="51">
        <v>45154</v>
      </c>
      <c r="M342" s="1" t="s">
        <v>139</v>
      </c>
      <c r="N342" s="1">
        <v>-5</v>
      </c>
      <c r="O342" s="1">
        <v>22.77</v>
      </c>
      <c r="P342" s="1">
        <v>-569250</v>
      </c>
      <c r="Q342" s="1">
        <v>-12.1</v>
      </c>
      <c r="R342" s="1" t="s">
        <v>83</v>
      </c>
      <c r="T342" s="50">
        <f>IF(ISNUMBER(VLOOKUP(U342,Blotter!B:C,2,0)),VLOOKUP(U342,Blotter!B:C,2,0),"")</f>
        <v>6</v>
      </c>
      <c r="U342" s="49" t="str">
        <f t="shared" si="408"/>
        <v>SIU3</v>
      </c>
      <c r="V342" s="49">
        <f t="shared" si="409"/>
        <v>-5</v>
      </c>
      <c r="W342" s="49">
        <f t="shared" si="410"/>
        <v>22.77</v>
      </c>
      <c r="X342" s="49">
        <f t="shared" si="411"/>
        <v>-12.1</v>
      </c>
    </row>
    <row r="343" spans="1:24" x14ac:dyDescent="0.4">
      <c r="A343" s="1" t="s">
        <v>138</v>
      </c>
      <c r="B343" s="1" t="s">
        <v>83</v>
      </c>
      <c r="C343" s="1" t="s">
        <v>87</v>
      </c>
      <c r="D343" s="1" t="s">
        <v>272</v>
      </c>
      <c r="E343" s="1" t="s">
        <v>273</v>
      </c>
      <c r="F343" s="1" t="s">
        <v>129</v>
      </c>
      <c r="G343" s="1" t="s">
        <v>4</v>
      </c>
      <c r="H343" s="1">
        <v>100</v>
      </c>
      <c r="I343" s="1">
        <v>4300</v>
      </c>
      <c r="J343" s="51">
        <v>45219</v>
      </c>
      <c r="K343" s="1" t="s">
        <v>89</v>
      </c>
      <c r="L343" s="51">
        <v>45155</v>
      </c>
      <c r="M343" s="1" t="s">
        <v>135</v>
      </c>
      <c r="N343" s="1">
        <v>10</v>
      </c>
      <c r="O343" s="1">
        <v>62.5</v>
      </c>
      <c r="P343" s="1">
        <v>62500</v>
      </c>
      <c r="Q343" s="1">
        <v>-13.625500000000001</v>
      </c>
      <c r="R343" s="1" t="s">
        <v>83</v>
      </c>
      <c r="T343" s="50">
        <f>IF(ISNUMBER(VLOOKUP(U343,Blotter!B:C,2,0)),VLOOKUP(U343,Blotter!B:C,2,0),"")</f>
        <v>17</v>
      </c>
      <c r="U343" s="49" t="str">
        <f t="shared" ref="U343" si="412">D343</f>
        <v>SPX   231020P04300000</v>
      </c>
      <c r="V343" s="49">
        <f t="shared" ref="V343" si="413">N343</f>
        <v>10</v>
      </c>
      <c r="W343" s="49">
        <f t="shared" ref="W343" si="414">O343</f>
        <v>62.5</v>
      </c>
      <c r="X343" s="49">
        <f t="shared" ref="X343" si="415">Q343</f>
        <v>-13.625500000000001</v>
      </c>
    </row>
    <row r="344" spans="1:24" x14ac:dyDescent="0.4">
      <c r="A344" s="1" t="s">
        <v>138</v>
      </c>
      <c r="B344" s="1" t="s">
        <v>83</v>
      </c>
      <c r="C344" s="1" t="s">
        <v>87</v>
      </c>
      <c r="D344" s="1" t="s">
        <v>272</v>
      </c>
      <c r="E344" s="1" t="s">
        <v>273</v>
      </c>
      <c r="F344" s="1" t="s">
        <v>129</v>
      </c>
      <c r="G344" s="1" t="s">
        <v>4</v>
      </c>
      <c r="H344" s="1">
        <v>100</v>
      </c>
      <c r="I344" s="1">
        <v>4300</v>
      </c>
      <c r="J344" s="51">
        <v>45219</v>
      </c>
      <c r="K344" s="1" t="s">
        <v>89</v>
      </c>
      <c r="L344" s="51">
        <v>45155</v>
      </c>
      <c r="M344" s="1" t="s">
        <v>139</v>
      </c>
      <c r="N344" s="1">
        <v>-10</v>
      </c>
      <c r="O344" s="1">
        <v>66.599999999999994</v>
      </c>
      <c r="P344" s="1">
        <v>-66600</v>
      </c>
      <c r="Q344" s="1">
        <v>-13.625500000000001</v>
      </c>
      <c r="R344" s="1" t="s">
        <v>83</v>
      </c>
      <c r="T344" s="50">
        <f>IF(ISNUMBER(VLOOKUP(U344,Blotter!B:C,2,0)),VLOOKUP(U344,Blotter!B:C,2,0),"")</f>
        <v>17</v>
      </c>
      <c r="U344" s="49" t="str">
        <f t="shared" ref="U344" si="416">D344</f>
        <v>SPX   231020P04300000</v>
      </c>
      <c r="V344" s="49">
        <f t="shared" ref="V344" si="417">N344</f>
        <v>-10</v>
      </c>
      <c r="W344" s="49">
        <f t="shared" ref="W344" si="418">O344</f>
        <v>66.599999999999994</v>
      </c>
      <c r="X344" s="49">
        <f t="shared" ref="X344" si="419">Q344</f>
        <v>-13.625500000000001</v>
      </c>
    </row>
    <row r="345" spans="1:24" x14ac:dyDescent="0.4">
      <c r="A345" s="1" t="s">
        <v>138</v>
      </c>
      <c r="B345" s="1" t="s">
        <v>83</v>
      </c>
      <c r="C345" s="1" t="s">
        <v>82</v>
      </c>
      <c r="D345" s="1" t="s">
        <v>257</v>
      </c>
      <c r="E345" s="1" t="s">
        <v>260</v>
      </c>
      <c r="F345" s="1" t="s">
        <v>100</v>
      </c>
      <c r="G345" s="1" t="s">
        <v>32</v>
      </c>
      <c r="H345" s="1">
        <v>112000</v>
      </c>
      <c r="J345" s="51">
        <v>45198</v>
      </c>
      <c r="L345" s="51">
        <v>45155</v>
      </c>
      <c r="M345" s="1" t="s">
        <v>135</v>
      </c>
      <c r="N345" s="1">
        <v>7</v>
      </c>
      <c r="O345" s="59">
        <v>23.99</v>
      </c>
      <c r="P345" s="1">
        <v>188081.6</v>
      </c>
      <c r="Q345" s="1">
        <v>-20.79</v>
      </c>
      <c r="R345" s="1" t="s">
        <v>83</v>
      </c>
      <c r="T345" s="50">
        <f>IF(ISNUMBER(VLOOKUP(U345,Blotter!B:C,2,0)),VLOOKUP(U345,Blotter!B:C,2,0),"")</f>
        <v>14</v>
      </c>
      <c r="U345" s="49" t="str">
        <f t="shared" ref="U345" si="420">D345</f>
        <v>SBV3</v>
      </c>
      <c r="V345" s="49">
        <f t="shared" ref="V345" si="421">N345</f>
        <v>7</v>
      </c>
      <c r="W345" s="49">
        <f t="shared" ref="W345" si="422">O345</f>
        <v>23.99</v>
      </c>
      <c r="X345" s="49">
        <f t="shared" ref="X345" si="423">Q345</f>
        <v>-20.79</v>
      </c>
    </row>
    <row r="346" spans="1:24" x14ac:dyDescent="0.4">
      <c r="A346" s="1" t="s">
        <v>138</v>
      </c>
      <c r="B346" s="1" t="s">
        <v>83</v>
      </c>
      <c r="C346" s="1" t="s">
        <v>82</v>
      </c>
      <c r="D346" s="1" t="s">
        <v>235</v>
      </c>
      <c r="E346" s="1" t="s">
        <v>236</v>
      </c>
      <c r="F346" s="1" t="s">
        <v>126</v>
      </c>
      <c r="G346" s="1" t="s">
        <v>27</v>
      </c>
      <c r="H346" s="1">
        <v>5000</v>
      </c>
      <c r="J346" s="51">
        <v>45196</v>
      </c>
      <c r="L346" s="51">
        <v>45155</v>
      </c>
      <c r="M346" s="1" t="s">
        <v>135</v>
      </c>
      <c r="N346" s="1">
        <v>1</v>
      </c>
      <c r="O346" s="1">
        <v>22.9</v>
      </c>
      <c r="P346" s="1">
        <v>114500</v>
      </c>
      <c r="Q346" s="1">
        <v>-2.42</v>
      </c>
      <c r="R346" s="1" t="s">
        <v>83</v>
      </c>
      <c r="T346" s="50">
        <f>IF(ISNUMBER(VLOOKUP(U346,Blotter!B:C,2,0)),VLOOKUP(U346,Blotter!B:C,2,0),"")</f>
        <v>6</v>
      </c>
      <c r="U346" s="49" t="str">
        <f t="shared" ref="U346" si="424">D346</f>
        <v>SIU3</v>
      </c>
      <c r="V346" s="49">
        <f t="shared" ref="V346" si="425">N346</f>
        <v>1</v>
      </c>
      <c r="W346" s="49">
        <f t="shared" ref="W346" si="426">O346</f>
        <v>22.9</v>
      </c>
      <c r="X346" s="49">
        <f t="shared" ref="X346" si="427">Q346</f>
        <v>-2.42</v>
      </c>
    </row>
    <row r="347" spans="1:24" x14ac:dyDescent="0.4">
      <c r="A347" s="1" t="s">
        <v>138</v>
      </c>
      <c r="B347" s="1" t="s">
        <v>83</v>
      </c>
      <c r="C347" s="1" t="s">
        <v>82</v>
      </c>
      <c r="D347" s="1" t="s">
        <v>235</v>
      </c>
      <c r="E347" s="1" t="s">
        <v>236</v>
      </c>
      <c r="F347" s="1" t="s">
        <v>126</v>
      </c>
      <c r="G347" s="1" t="s">
        <v>27</v>
      </c>
      <c r="H347" s="1">
        <v>5000</v>
      </c>
      <c r="J347" s="51">
        <v>45196</v>
      </c>
      <c r="L347" s="51">
        <v>45155</v>
      </c>
      <c r="M347" s="1" t="s">
        <v>135</v>
      </c>
      <c r="N347" s="1">
        <v>1</v>
      </c>
      <c r="O347" s="1">
        <v>22.89</v>
      </c>
      <c r="P347" s="1">
        <v>114450</v>
      </c>
      <c r="Q347" s="1">
        <v>-2.42</v>
      </c>
      <c r="R347" s="1" t="s">
        <v>83</v>
      </c>
      <c r="T347" s="50">
        <f>IF(ISNUMBER(VLOOKUP(U347,Blotter!B:C,2,0)),VLOOKUP(U347,Blotter!B:C,2,0),"")</f>
        <v>6</v>
      </c>
      <c r="U347" s="49" t="str">
        <f t="shared" ref="U347:U357" si="428">D347</f>
        <v>SIU3</v>
      </c>
      <c r="V347" s="49">
        <f t="shared" ref="V347:V357" si="429">N347</f>
        <v>1</v>
      </c>
      <c r="W347" s="49">
        <f t="shared" ref="W347:W357" si="430">O347</f>
        <v>22.89</v>
      </c>
      <c r="X347" s="49">
        <f t="shared" ref="X347:X357" si="431">Q347</f>
        <v>-2.42</v>
      </c>
    </row>
    <row r="348" spans="1:24" x14ac:dyDescent="0.4">
      <c r="A348" s="1" t="s">
        <v>138</v>
      </c>
      <c r="B348" s="1" t="s">
        <v>83</v>
      </c>
      <c r="C348" s="1" t="s">
        <v>82</v>
      </c>
      <c r="D348" s="1" t="s">
        <v>235</v>
      </c>
      <c r="E348" s="1" t="s">
        <v>236</v>
      </c>
      <c r="F348" s="1" t="s">
        <v>126</v>
      </c>
      <c r="G348" s="1" t="s">
        <v>27</v>
      </c>
      <c r="H348" s="1">
        <v>5000</v>
      </c>
      <c r="J348" s="51">
        <v>45196</v>
      </c>
      <c r="L348" s="51">
        <v>45155</v>
      </c>
      <c r="M348" s="1" t="s">
        <v>135</v>
      </c>
      <c r="N348" s="1">
        <v>4</v>
      </c>
      <c r="O348" s="1">
        <v>22.89</v>
      </c>
      <c r="P348" s="1">
        <v>457800</v>
      </c>
      <c r="Q348" s="1">
        <v>-9.68</v>
      </c>
      <c r="R348" s="1" t="s">
        <v>83</v>
      </c>
      <c r="T348" s="50">
        <f>IF(ISNUMBER(VLOOKUP(U348,Blotter!B:C,2,0)),VLOOKUP(U348,Blotter!B:C,2,0),"")</f>
        <v>6</v>
      </c>
      <c r="U348" s="49" t="str">
        <f t="shared" si="428"/>
        <v>SIU3</v>
      </c>
      <c r="V348" s="49">
        <f t="shared" si="429"/>
        <v>4</v>
      </c>
      <c r="W348" s="49">
        <f t="shared" si="430"/>
        <v>22.89</v>
      </c>
      <c r="X348" s="49">
        <f t="shared" si="431"/>
        <v>-9.68</v>
      </c>
    </row>
    <row r="349" spans="1:24" x14ac:dyDescent="0.4">
      <c r="A349" s="1" t="s">
        <v>138</v>
      </c>
      <c r="B349" s="1" t="s">
        <v>83</v>
      </c>
      <c r="C349" s="1" t="s">
        <v>82</v>
      </c>
      <c r="D349" s="1" t="s">
        <v>235</v>
      </c>
      <c r="E349" s="1" t="s">
        <v>236</v>
      </c>
      <c r="F349" s="1" t="s">
        <v>126</v>
      </c>
      <c r="G349" s="1" t="s">
        <v>27</v>
      </c>
      <c r="H349" s="1">
        <v>5000</v>
      </c>
      <c r="J349" s="51">
        <v>45196</v>
      </c>
      <c r="L349" s="51">
        <v>45155</v>
      </c>
      <c r="M349" s="1" t="s">
        <v>135</v>
      </c>
      <c r="N349" s="1">
        <v>3</v>
      </c>
      <c r="O349" s="1">
        <v>22.89</v>
      </c>
      <c r="P349" s="1">
        <v>343350</v>
      </c>
      <c r="Q349" s="1">
        <v>-7.26</v>
      </c>
      <c r="R349" s="1" t="s">
        <v>83</v>
      </c>
      <c r="T349" s="50">
        <f>IF(ISNUMBER(VLOOKUP(U349,Blotter!B:C,2,0)),VLOOKUP(U349,Blotter!B:C,2,0),"")</f>
        <v>6</v>
      </c>
      <c r="U349" s="49" t="str">
        <f t="shared" si="428"/>
        <v>SIU3</v>
      </c>
      <c r="V349" s="49">
        <f t="shared" si="429"/>
        <v>3</v>
      </c>
      <c r="W349" s="49">
        <f t="shared" si="430"/>
        <v>22.89</v>
      </c>
      <c r="X349" s="49">
        <f t="shared" si="431"/>
        <v>-7.26</v>
      </c>
    </row>
    <row r="350" spans="1:24" x14ac:dyDescent="0.4">
      <c r="A350" s="1" t="s">
        <v>138</v>
      </c>
      <c r="B350" s="1" t="s">
        <v>83</v>
      </c>
      <c r="C350" s="1" t="s">
        <v>82</v>
      </c>
      <c r="D350" s="1" t="s">
        <v>235</v>
      </c>
      <c r="E350" s="1" t="s">
        <v>236</v>
      </c>
      <c r="F350" s="1" t="s">
        <v>126</v>
      </c>
      <c r="G350" s="1" t="s">
        <v>27</v>
      </c>
      <c r="H350" s="1">
        <v>5000</v>
      </c>
      <c r="J350" s="51">
        <v>45196</v>
      </c>
      <c r="L350" s="51">
        <v>45155</v>
      </c>
      <c r="M350" s="1" t="s">
        <v>135</v>
      </c>
      <c r="N350" s="1">
        <v>1</v>
      </c>
      <c r="O350" s="1">
        <v>22.89</v>
      </c>
      <c r="P350" s="1">
        <v>114450</v>
      </c>
      <c r="Q350" s="1">
        <v>-2.42</v>
      </c>
      <c r="R350" s="1" t="s">
        <v>83</v>
      </c>
      <c r="T350" s="50">
        <f>IF(ISNUMBER(VLOOKUP(U350,Blotter!B:C,2,0)),VLOOKUP(U350,Blotter!B:C,2,0),"")</f>
        <v>6</v>
      </c>
      <c r="U350" s="49" t="str">
        <f t="shared" si="428"/>
        <v>SIU3</v>
      </c>
      <c r="V350" s="49">
        <f t="shared" si="429"/>
        <v>1</v>
      </c>
      <c r="W350" s="49">
        <f t="shared" si="430"/>
        <v>22.89</v>
      </c>
      <c r="X350" s="49">
        <f t="shared" si="431"/>
        <v>-2.42</v>
      </c>
    </row>
    <row r="351" spans="1:24" x14ac:dyDescent="0.4">
      <c r="A351" s="1" t="s">
        <v>138</v>
      </c>
      <c r="B351" s="1" t="s">
        <v>83</v>
      </c>
      <c r="C351" s="1" t="s">
        <v>82</v>
      </c>
      <c r="D351" s="1" t="s">
        <v>235</v>
      </c>
      <c r="E351" s="1" t="s">
        <v>236</v>
      </c>
      <c r="F351" s="1" t="s">
        <v>126</v>
      </c>
      <c r="G351" s="1" t="s">
        <v>27</v>
      </c>
      <c r="H351" s="1">
        <v>5000</v>
      </c>
      <c r="J351" s="51">
        <v>45196</v>
      </c>
      <c r="L351" s="51">
        <v>45155</v>
      </c>
      <c r="M351" s="1" t="s">
        <v>135</v>
      </c>
      <c r="N351" s="1">
        <v>1</v>
      </c>
      <c r="O351" s="1">
        <v>22.89</v>
      </c>
      <c r="P351" s="1">
        <v>114450</v>
      </c>
      <c r="Q351" s="1">
        <v>-2.42</v>
      </c>
      <c r="R351" s="1" t="s">
        <v>83</v>
      </c>
      <c r="T351" s="50">
        <f>IF(ISNUMBER(VLOOKUP(U351,Blotter!B:C,2,0)),VLOOKUP(U351,Blotter!B:C,2,0),"")</f>
        <v>6</v>
      </c>
      <c r="U351" s="49" t="str">
        <f t="shared" si="428"/>
        <v>SIU3</v>
      </c>
      <c r="V351" s="49">
        <f t="shared" si="429"/>
        <v>1</v>
      </c>
      <c r="W351" s="49">
        <f t="shared" si="430"/>
        <v>22.89</v>
      </c>
      <c r="X351" s="49">
        <f t="shared" si="431"/>
        <v>-2.42</v>
      </c>
    </row>
    <row r="352" spans="1:24" x14ac:dyDescent="0.4">
      <c r="A352" s="1" t="s">
        <v>138</v>
      </c>
      <c r="B352" s="1" t="s">
        <v>83</v>
      </c>
      <c r="C352" s="1" t="s">
        <v>82</v>
      </c>
      <c r="D352" s="1" t="s">
        <v>235</v>
      </c>
      <c r="E352" s="1" t="s">
        <v>236</v>
      </c>
      <c r="F352" s="1" t="s">
        <v>126</v>
      </c>
      <c r="G352" s="1" t="s">
        <v>27</v>
      </c>
      <c r="H352" s="1">
        <v>5000</v>
      </c>
      <c r="J352" s="51">
        <v>45196</v>
      </c>
      <c r="L352" s="51">
        <v>45155</v>
      </c>
      <c r="M352" s="1" t="s">
        <v>135</v>
      </c>
      <c r="N352" s="1">
        <v>4</v>
      </c>
      <c r="O352" s="1">
        <v>22.89</v>
      </c>
      <c r="P352" s="1">
        <v>457800</v>
      </c>
      <c r="Q352" s="1">
        <v>-9.68</v>
      </c>
      <c r="R352" s="1" t="s">
        <v>83</v>
      </c>
      <c r="T352" s="50">
        <f>IF(ISNUMBER(VLOOKUP(U352,Blotter!B:C,2,0)),VLOOKUP(U352,Blotter!B:C,2,0),"")</f>
        <v>6</v>
      </c>
      <c r="U352" s="49" t="str">
        <f t="shared" si="428"/>
        <v>SIU3</v>
      </c>
      <c r="V352" s="49">
        <f t="shared" si="429"/>
        <v>4</v>
      </c>
      <c r="W352" s="49">
        <f t="shared" si="430"/>
        <v>22.89</v>
      </c>
      <c r="X352" s="49">
        <f t="shared" si="431"/>
        <v>-9.68</v>
      </c>
    </row>
    <row r="353" spans="1:24" x14ac:dyDescent="0.4">
      <c r="A353" s="1" t="s">
        <v>138</v>
      </c>
      <c r="B353" s="1" t="s">
        <v>83</v>
      </c>
      <c r="C353" s="1" t="s">
        <v>82</v>
      </c>
      <c r="D353" s="1" t="s">
        <v>235</v>
      </c>
      <c r="E353" s="1" t="s">
        <v>236</v>
      </c>
      <c r="F353" s="1" t="s">
        <v>126</v>
      </c>
      <c r="G353" s="1" t="s">
        <v>27</v>
      </c>
      <c r="H353" s="1">
        <v>5000</v>
      </c>
      <c r="J353" s="51">
        <v>45196</v>
      </c>
      <c r="L353" s="51">
        <v>45155</v>
      </c>
      <c r="M353" s="1" t="s">
        <v>139</v>
      </c>
      <c r="N353" s="1">
        <v>-5</v>
      </c>
      <c r="O353" s="1">
        <v>22.6</v>
      </c>
      <c r="P353" s="1">
        <v>-565000</v>
      </c>
      <c r="Q353" s="1">
        <v>-12.1</v>
      </c>
      <c r="R353" s="1" t="s">
        <v>83</v>
      </c>
      <c r="T353" s="50">
        <f>IF(ISNUMBER(VLOOKUP(U353,Blotter!B:C,2,0)),VLOOKUP(U353,Blotter!B:C,2,0),"")</f>
        <v>6</v>
      </c>
      <c r="U353" s="49" t="str">
        <f t="shared" si="428"/>
        <v>SIU3</v>
      </c>
      <c r="V353" s="49">
        <f t="shared" si="429"/>
        <v>-5</v>
      </c>
      <c r="W353" s="49">
        <f t="shared" si="430"/>
        <v>22.6</v>
      </c>
      <c r="X353" s="49">
        <f t="shared" si="431"/>
        <v>-12.1</v>
      </c>
    </row>
    <row r="354" spans="1:24" x14ac:dyDescent="0.4">
      <c r="A354" s="1" t="s">
        <v>138</v>
      </c>
      <c r="B354" s="1" t="s">
        <v>83</v>
      </c>
      <c r="C354" s="1" t="s">
        <v>82</v>
      </c>
      <c r="D354" s="1" t="s">
        <v>235</v>
      </c>
      <c r="E354" s="1" t="s">
        <v>236</v>
      </c>
      <c r="F354" s="1" t="s">
        <v>126</v>
      </c>
      <c r="G354" s="1" t="s">
        <v>27</v>
      </c>
      <c r="H354" s="1">
        <v>5000</v>
      </c>
      <c r="J354" s="51">
        <v>45196</v>
      </c>
      <c r="L354" s="51">
        <v>45155</v>
      </c>
      <c r="M354" s="1" t="s">
        <v>139</v>
      </c>
      <c r="N354" s="1">
        <v>-5</v>
      </c>
      <c r="O354" s="1">
        <v>22.75</v>
      </c>
      <c r="P354" s="1">
        <v>-568750</v>
      </c>
      <c r="Q354" s="1">
        <v>-12.1</v>
      </c>
      <c r="R354" s="1" t="s">
        <v>83</v>
      </c>
      <c r="T354" s="50">
        <f>IF(ISNUMBER(VLOOKUP(U354,Blotter!B:C,2,0)),VLOOKUP(U354,Blotter!B:C,2,0),"")</f>
        <v>6</v>
      </c>
      <c r="U354" s="49" t="str">
        <f t="shared" si="428"/>
        <v>SIU3</v>
      </c>
      <c r="V354" s="49">
        <f t="shared" si="429"/>
        <v>-5</v>
      </c>
      <c r="W354" s="49">
        <f t="shared" si="430"/>
        <v>22.75</v>
      </c>
      <c r="X354" s="49">
        <f t="shared" si="431"/>
        <v>-12.1</v>
      </c>
    </row>
    <row r="355" spans="1:24" x14ac:dyDescent="0.4">
      <c r="A355" s="1" t="s">
        <v>138</v>
      </c>
      <c r="B355" s="1" t="s">
        <v>83</v>
      </c>
      <c r="C355" s="1" t="s">
        <v>82</v>
      </c>
      <c r="D355" s="1" t="s">
        <v>235</v>
      </c>
      <c r="E355" s="1" t="s">
        <v>236</v>
      </c>
      <c r="F355" s="1" t="s">
        <v>126</v>
      </c>
      <c r="G355" s="1" t="s">
        <v>27</v>
      </c>
      <c r="H355" s="1">
        <v>5000</v>
      </c>
      <c r="J355" s="51">
        <v>45196</v>
      </c>
      <c r="L355" s="51">
        <v>45155</v>
      </c>
      <c r="M355" s="1" t="s">
        <v>139</v>
      </c>
      <c r="N355" s="1">
        <v>-4</v>
      </c>
      <c r="O355" s="1">
        <v>22.85</v>
      </c>
      <c r="P355" s="1">
        <v>-457000</v>
      </c>
      <c r="Q355" s="1">
        <v>-9.68</v>
      </c>
      <c r="R355" s="1" t="s">
        <v>83</v>
      </c>
      <c r="T355" s="50">
        <f>IF(ISNUMBER(VLOOKUP(U355,Blotter!B:C,2,0)),VLOOKUP(U355,Blotter!B:C,2,0),"")</f>
        <v>6</v>
      </c>
      <c r="U355" s="49" t="str">
        <f t="shared" si="428"/>
        <v>SIU3</v>
      </c>
      <c r="V355" s="49">
        <f t="shared" si="429"/>
        <v>-4</v>
      </c>
      <c r="W355" s="49">
        <f t="shared" si="430"/>
        <v>22.85</v>
      </c>
      <c r="X355" s="49">
        <f t="shared" si="431"/>
        <v>-9.68</v>
      </c>
    </row>
    <row r="356" spans="1:24" x14ac:dyDescent="0.4">
      <c r="A356" s="1" t="s">
        <v>138</v>
      </c>
      <c r="B356" s="1" t="s">
        <v>83</v>
      </c>
      <c r="C356" s="1" t="s">
        <v>82</v>
      </c>
      <c r="D356" s="1" t="s">
        <v>235</v>
      </c>
      <c r="E356" s="1" t="s">
        <v>236</v>
      </c>
      <c r="F356" s="1" t="s">
        <v>126</v>
      </c>
      <c r="G356" s="1" t="s">
        <v>27</v>
      </c>
      <c r="H356" s="1">
        <v>5000</v>
      </c>
      <c r="J356" s="51">
        <v>45196</v>
      </c>
      <c r="L356" s="51">
        <v>45155</v>
      </c>
      <c r="M356" s="1" t="s">
        <v>139</v>
      </c>
      <c r="N356" s="1">
        <v>-1</v>
      </c>
      <c r="O356" s="1">
        <v>22.85</v>
      </c>
      <c r="P356" s="1">
        <v>-114250</v>
      </c>
      <c r="Q356" s="1">
        <v>-2.42</v>
      </c>
      <c r="R356" s="1" t="s">
        <v>83</v>
      </c>
      <c r="T356" s="50">
        <f>IF(ISNUMBER(VLOOKUP(U356,Blotter!B:C,2,0)),VLOOKUP(U356,Blotter!B:C,2,0),"")</f>
        <v>6</v>
      </c>
      <c r="U356" s="49" t="str">
        <f t="shared" si="428"/>
        <v>SIU3</v>
      </c>
      <c r="V356" s="49">
        <f t="shared" si="429"/>
        <v>-1</v>
      </c>
      <c r="W356" s="49">
        <f t="shared" si="430"/>
        <v>22.85</v>
      </c>
      <c r="X356" s="49">
        <f t="shared" si="431"/>
        <v>-2.42</v>
      </c>
    </row>
    <row r="357" spans="1:24" x14ac:dyDescent="0.4">
      <c r="A357" s="1" t="s">
        <v>138</v>
      </c>
      <c r="B357" s="1" t="s">
        <v>83</v>
      </c>
      <c r="C357" s="1" t="s">
        <v>82</v>
      </c>
      <c r="D357" s="1" t="s">
        <v>235</v>
      </c>
      <c r="E357" s="1" t="s">
        <v>236</v>
      </c>
      <c r="F357" s="1" t="s">
        <v>126</v>
      </c>
      <c r="G357" s="1" t="s">
        <v>27</v>
      </c>
      <c r="H357" s="1">
        <v>5000</v>
      </c>
      <c r="J357" s="51">
        <v>45196</v>
      </c>
      <c r="L357" s="51">
        <v>45155</v>
      </c>
      <c r="M357" s="1" t="s">
        <v>139</v>
      </c>
      <c r="N357" s="1">
        <v>-5</v>
      </c>
      <c r="O357" s="1">
        <v>22.91</v>
      </c>
      <c r="P357" s="1">
        <v>-572750</v>
      </c>
      <c r="Q357" s="1">
        <v>-12.1</v>
      </c>
      <c r="R357" s="1" t="s">
        <v>83</v>
      </c>
      <c r="T357" s="50">
        <f>IF(ISNUMBER(VLOOKUP(U357,Blotter!B:C,2,0)),VLOOKUP(U357,Blotter!B:C,2,0),"")</f>
        <v>6</v>
      </c>
      <c r="U357" s="49" t="str">
        <f t="shared" si="428"/>
        <v>SIU3</v>
      </c>
      <c r="V357" s="49">
        <f t="shared" si="429"/>
        <v>-5</v>
      </c>
      <c r="W357" s="49">
        <f t="shared" si="430"/>
        <v>22.91</v>
      </c>
      <c r="X357" s="49">
        <f t="shared" si="431"/>
        <v>-12.1</v>
      </c>
    </row>
    <row r="358" spans="1:24" x14ac:dyDescent="0.4">
      <c r="A358" s="1" t="s">
        <v>138</v>
      </c>
      <c r="B358" s="1" t="s">
        <v>83</v>
      </c>
      <c r="C358" s="1" t="s">
        <v>82</v>
      </c>
      <c r="D358" s="1" t="s">
        <v>235</v>
      </c>
      <c r="E358" s="1" t="s">
        <v>236</v>
      </c>
      <c r="F358" s="1" t="s">
        <v>126</v>
      </c>
      <c r="G358" s="1" t="s">
        <v>27</v>
      </c>
      <c r="H358" s="1">
        <v>5000</v>
      </c>
      <c r="J358" s="51">
        <v>45196</v>
      </c>
      <c r="L358" s="51">
        <v>45156</v>
      </c>
      <c r="M358" s="1" t="s">
        <v>135</v>
      </c>
      <c r="N358" s="1">
        <v>10</v>
      </c>
      <c r="O358" s="1">
        <v>22.81</v>
      </c>
      <c r="P358" s="1">
        <v>1140500</v>
      </c>
      <c r="Q358" s="1">
        <v>-24.2</v>
      </c>
      <c r="R358" s="1" t="s">
        <v>83</v>
      </c>
      <c r="T358" s="50">
        <f>IF(ISNUMBER(VLOOKUP(U358,Blotter!B:C,2,0)),VLOOKUP(U358,Blotter!B:C,2,0),"")</f>
        <v>6</v>
      </c>
      <c r="U358" s="49" t="str">
        <f t="shared" ref="U358" si="432">D358</f>
        <v>SIU3</v>
      </c>
      <c r="V358" s="49">
        <f t="shared" ref="V358" si="433">N358</f>
        <v>10</v>
      </c>
      <c r="W358" s="49">
        <f t="shared" ref="W358" si="434">O358</f>
        <v>22.81</v>
      </c>
      <c r="X358" s="49">
        <f t="shared" ref="X358" si="435">Q358</f>
        <v>-24.2</v>
      </c>
    </row>
    <row r="359" spans="1:24" x14ac:dyDescent="0.4">
      <c r="A359" s="1" t="s">
        <v>138</v>
      </c>
      <c r="B359" s="1" t="s">
        <v>83</v>
      </c>
      <c r="C359" s="1" t="s">
        <v>82</v>
      </c>
      <c r="D359" s="1" t="s">
        <v>235</v>
      </c>
      <c r="E359" s="1" t="s">
        <v>236</v>
      </c>
      <c r="F359" s="1" t="s">
        <v>126</v>
      </c>
      <c r="G359" s="1" t="s">
        <v>27</v>
      </c>
      <c r="H359" s="1">
        <v>5000</v>
      </c>
      <c r="J359" s="51">
        <v>45196</v>
      </c>
      <c r="L359" s="51">
        <v>45156</v>
      </c>
      <c r="M359" s="1" t="s">
        <v>135</v>
      </c>
      <c r="N359" s="1">
        <v>5</v>
      </c>
      <c r="O359" s="1">
        <v>22.75</v>
      </c>
      <c r="P359" s="1">
        <v>568750</v>
      </c>
      <c r="Q359" s="1">
        <v>-12.1</v>
      </c>
      <c r="R359" s="1" t="s">
        <v>83</v>
      </c>
      <c r="T359" s="50">
        <f>IF(ISNUMBER(VLOOKUP(U359,Blotter!B:C,2,0)),VLOOKUP(U359,Blotter!B:C,2,0),"")</f>
        <v>6</v>
      </c>
      <c r="U359" s="49" t="str">
        <f t="shared" ref="U359:U361" si="436">D359</f>
        <v>SIU3</v>
      </c>
      <c r="V359" s="49">
        <f t="shared" ref="V359:V361" si="437">N359</f>
        <v>5</v>
      </c>
      <c r="W359" s="49">
        <f t="shared" ref="W359:W361" si="438">O359</f>
        <v>22.75</v>
      </c>
      <c r="X359" s="49">
        <f t="shared" ref="X359:X361" si="439">Q359</f>
        <v>-12.1</v>
      </c>
    </row>
    <row r="360" spans="1:24" x14ac:dyDescent="0.4">
      <c r="A360" s="1" t="s">
        <v>138</v>
      </c>
      <c r="B360" s="1" t="s">
        <v>83</v>
      </c>
      <c r="C360" s="1" t="s">
        <v>82</v>
      </c>
      <c r="D360" s="1" t="s">
        <v>235</v>
      </c>
      <c r="E360" s="1" t="s">
        <v>236</v>
      </c>
      <c r="F360" s="1" t="s">
        <v>126</v>
      </c>
      <c r="G360" s="1" t="s">
        <v>27</v>
      </c>
      <c r="H360" s="1">
        <v>5000</v>
      </c>
      <c r="J360" s="51">
        <v>45196</v>
      </c>
      <c r="L360" s="51">
        <v>45156</v>
      </c>
      <c r="M360" s="1" t="s">
        <v>139</v>
      </c>
      <c r="N360" s="1">
        <v>-3</v>
      </c>
      <c r="O360" s="1">
        <v>22.9</v>
      </c>
      <c r="P360" s="1">
        <v>-343500</v>
      </c>
      <c r="Q360" s="1">
        <v>-7.26</v>
      </c>
      <c r="R360" s="1" t="s">
        <v>83</v>
      </c>
      <c r="T360" s="50">
        <f>IF(ISNUMBER(VLOOKUP(U360,Blotter!B:C,2,0)),VLOOKUP(U360,Blotter!B:C,2,0),"")</f>
        <v>6</v>
      </c>
      <c r="U360" s="49" t="str">
        <f t="shared" si="436"/>
        <v>SIU3</v>
      </c>
      <c r="V360" s="49">
        <f t="shared" si="437"/>
        <v>-3</v>
      </c>
      <c r="W360" s="49">
        <f t="shared" si="438"/>
        <v>22.9</v>
      </c>
      <c r="X360" s="49">
        <f t="shared" si="439"/>
        <v>-7.26</v>
      </c>
    </row>
    <row r="361" spans="1:24" x14ac:dyDescent="0.4">
      <c r="A361" s="1" t="s">
        <v>138</v>
      </c>
      <c r="B361" s="1" t="s">
        <v>83</v>
      </c>
      <c r="C361" s="1" t="s">
        <v>82</v>
      </c>
      <c r="D361" s="1" t="s">
        <v>235</v>
      </c>
      <c r="E361" s="1" t="s">
        <v>236</v>
      </c>
      <c r="F361" s="1" t="s">
        <v>126</v>
      </c>
      <c r="G361" s="1" t="s">
        <v>27</v>
      </c>
      <c r="H361" s="1">
        <v>5000</v>
      </c>
      <c r="J361" s="51">
        <v>45196</v>
      </c>
      <c r="L361" s="51">
        <v>45156</v>
      </c>
      <c r="M361" s="1" t="s">
        <v>139</v>
      </c>
      <c r="N361" s="1">
        <v>-3</v>
      </c>
      <c r="O361" s="1">
        <v>22.9</v>
      </c>
      <c r="P361" s="1">
        <v>-343500</v>
      </c>
      <c r="Q361" s="1">
        <v>-7.26</v>
      </c>
      <c r="R361" s="1" t="s">
        <v>83</v>
      </c>
      <c r="T361" s="50">
        <f>IF(ISNUMBER(VLOOKUP(U361,Blotter!B:C,2,0)),VLOOKUP(U361,Blotter!B:C,2,0),"")</f>
        <v>6</v>
      </c>
      <c r="U361" s="49" t="str">
        <f t="shared" si="436"/>
        <v>SIU3</v>
      </c>
      <c r="V361" s="49">
        <f t="shared" si="437"/>
        <v>-3</v>
      </c>
      <c r="W361" s="49">
        <f t="shared" si="438"/>
        <v>22.9</v>
      </c>
      <c r="X361" s="49">
        <f t="shared" si="439"/>
        <v>-7.26</v>
      </c>
    </row>
    <row r="362" spans="1:24" x14ac:dyDescent="0.4">
      <c r="A362" s="1" t="s">
        <v>138</v>
      </c>
      <c r="B362" s="1" t="s">
        <v>83</v>
      </c>
      <c r="C362" s="1" t="s">
        <v>82</v>
      </c>
      <c r="D362" s="1" t="s">
        <v>235</v>
      </c>
      <c r="E362" s="1" t="s">
        <v>236</v>
      </c>
      <c r="F362" s="1" t="s">
        <v>126</v>
      </c>
      <c r="G362" s="1" t="s">
        <v>27</v>
      </c>
      <c r="H362" s="1">
        <v>5000</v>
      </c>
      <c r="J362" s="51">
        <v>45196</v>
      </c>
      <c r="L362" s="51">
        <v>45156</v>
      </c>
      <c r="M362" s="1" t="s">
        <v>139</v>
      </c>
      <c r="N362" s="1">
        <v>-1</v>
      </c>
      <c r="O362" s="1">
        <v>22.9</v>
      </c>
      <c r="P362" s="1">
        <v>-114500</v>
      </c>
      <c r="Q362" s="1">
        <v>-2.42</v>
      </c>
      <c r="R362" s="1" t="s">
        <v>83</v>
      </c>
      <c r="T362" s="50">
        <f>IF(ISNUMBER(VLOOKUP(U362,Blotter!B:C,2,0)),VLOOKUP(U362,Blotter!B:C,2,0),"")</f>
        <v>6</v>
      </c>
      <c r="U362" s="49" t="str">
        <f t="shared" ref="U362:U367" si="440">D362</f>
        <v>SIU3</v>
      </c>
      <c r="V362" s="49">
        <f t="shared" ref="V362:V367" si="441">N362</f>
        <v>-1</v>
      </c>
      <c r="W362" s="49">
        <f t="shared" ref="W362:W367" si="442">O362</f>
        <v>22.9</v>
      </c>
      <c r="X362" s="49">
        <f t="shared" ref="X362:X367" si="443">Q362</f>
        <v>-2.42</v>
      </c>
    </row>
    <row r="363" spans="1:24" x14ac:dyDescent="0.4">
      <c r="A363" s="1" t="s">
        <v>138</v>
      </c>
      <c r="B363" s="1" t="s">
        <v>83</v>
      </c>
      <c r="C363" s="1" t="s">
        <v>82</v>
      </c>
      <c r="D363" s="1" t="s">
        <v>235</v>
      </c>
      <c r="E363" s="1" t="s">
        <v>236</v>
      </c>
      <c r="F363" s="1" t="s">
        <v>126</v>
      </c>
      <c r="G363" s="1" t="s">
        <v>27</v>
      </c>
      <c r="H363" s="1">
        <v>5000</v>
      </c>
      <c r="J363" s="51">
        <v>45196</v>
      </c>
      <c r="L363" s="51">
        <v>45156</v>
      </c>
      <c r="M363" s="1" t="s">
        <v>139</v>
      </c>
      <c r="N363" s="1">
        <v>-1</v>
      </c>
      <c r="O363" s="1">
        <v>22.9</v>
      </c>
      <c r="P363" s="1">
        <v>-114500</v>
      </c>
      <c r="Q363" s="1">
        <v>-2.42</v>
      </c>
      <c r="R363" s="1" t="s">
        <v>83</v>
      </c>
      <c r="T363" s="50">
        <f>IF(ISNUMBER(VLOOKUP(U363,Blotter!B:C,2,0)),VLOOKUP(U363,Blotter!B:C,2,0),"")</f>
        <v>6</v>
      </c>
      <c r="U363" s="49" t="str">
        <f t="shared" si="440"/>
        <v>SIU3</v>
      </c>
      <c r="V363" s="49">
        <f t="shared" si="441"/>
        <v>-1</v>
      </c>
      <c r="W363" s="49">
        <f t="shared" si="442"/>
        <v>22.9</v>
      </c>
      <c r="X363" s="49">
        <f t="shared" si="443"/>
        <v>-2.42</v>
      </c>
    </row>
    <row r="364" spans="1:24" x14ac:dyDescent="0.4">
      <c r="A364" s="1" t="s">
        <v>138</v>
      </c>
      <c r="B364" s="1" t="s">
        <v>83</v>
      </c>
      <c r="C364" s="1" t="s">
        <v>82</v>
      </c>
      <c r="D364" s="1" t="s">
        <v>235</v>
      </c>
      <c r="E364" s="1" t="s">
        <v>236</v>
      </c>
      <c r="F364" s="1" t="s">
        <v>126</v>
      </c>
      <c r="G364" s="1" t="s">
        <v>27</v>
      </c>
      <c r="H364" s="1">
        <v>5000</v>
      </c>
      <c r="J364" s="51">
        <v>45196</v>
      </c>
      <c r="L364" s="51">
        <v>45156</v>
      </c>
      <c r="M364" s="1" t="s">
        <v>139</v>
      </c>
      <c r="N364" s="1">
        <v>-2</v>
      </c>
      <c r="O364" s="1">
        <v>22.9</v>
      </c>
      <c r="P364" s="1">
        <v>-229000</v>
      </c>
      <c r="Q364" s="1">
        <v>-4.84</v>
      </c>
      <c r="R364" s="1" t="s">
        <v>83</v>
      </c>
      <c r="T364" s="50">
        <f>IF(ISNUMBER(VLOOKUP(U364,Blotter!B:C,2,0)),VLOOKUP(U364,Blotter!B:C,2,0),"")</f>
        <v>6</v>
      </c>
      <c r="U364" s="49" t="str">
        <f t="shared" si="440"/>
        <v>SIU3</v>
      </c>
      <c r="V364" s="49">
        <f t="shared" si="441"/>
        <v>-2</v>
      </c>
      <c r="W364" s="49">
        <f t="shared" si="442"/>
        <v>22.9</v>
      </c>
      <c r="X364" s="49">
        <f t="shared" si="443"/>
        <v>-4.84</v>
      </c>
    </row>
    <row r="365" spans="1:24" x14ac:dyDescent="0.4">
      <c r="A365" s="1" t="s">
        <v>138</v>
      </c>
      <c r="B365" s="1" t="s">
        <v>83</v>
      </c>
      <c r="C365" s="1" t="s">
        <v>82</v>
      </c>
      <c r="D365" s="1" t="s">
        <v>235</v>
      </c>
      <c r="E365" s="1" t="s">
        <v>236</v>
      </c>
      <c r="F365" s="1" t="s">
        <v>126</v>
      </c>
      <c r="G365" s="1" t="s">
        <v>27</v>
      </c>
      <c r="H365" s="1">
        <v>5000</v>
      </c>
      <c r="J365" s="51">
        <v>45196</v>
      </c>
      <c r="L365" s="51">
        <v>45156</v>
      </c>
      <c r="M365" s="1" t="s">
        <v>139</v>
      </c>
      <c r="N365" s="1">
        <v>-5</v>
      </c>
      <c r="O365" s="1">
        <v>22.86</v>
      </c>
      <c r="P365" s="1">
        <v>-571500</v>
      </c>
      <c r="Q365" s="1">
        <v>-12.1</v>
      </c>
      <c r="R365" s="1" t="s">
        <v>83</v>
      </c>
      <c r="T365" s="50">
        <f>IF(ISNUMBER(VLOOKUP(U365,Blotter!B:C,2,0)),VLOOKUP(U365,Blotter!B:C,2,0),"")</f>
        <v>6</v>
      </c>
      <c r="U365" s="49" t="str">
        <f t="shared" si="440"/>
        <v>SIU3</v>
      </c>
      <c r="V365" s="49">
        <f t="shared" si="441"/>
        <v>-5</v>
      </c>
      <c r="W365" s="49">
        <f t="shared" si="442"/>
        <v>22.86</v>
      </c>
      <c r="X365" s="49">
        <f t="shared" si="443"/>
        <v>-12.1</v>
      </c>
    </row>
    <row r="366" spans="1:24" x14ac:dyDescent="0.4">
      <c r="A366" s="1" t="s">
        <v>138</v>
      </c>
      <c r="B366" s="1" t="s">
        <v>83</v>
      </c>
      <c r="C366" s="1" t="s">
        <v>82</v>
      </c>
      <c r="D366" s="1" t="s">
        <v>235</v>
      </c>
      <c r="E366" s="1" t="s">
        <v>236</v>
      </c>
      <c r="F366" s="1" t="s">
        <v>126</v>
      </c>
      <c r="G366" s="1" t="s">
        <v>27</v>
      </c>
      <c r="H366" s="1">
        <v>5000</v>
      </c>
      <c r="J366" s="51">
        <v>45196</v>
      </c>
      <c r="L366" s="51">
        <v>45156</v>
      </c>
      <c r="M366" s="1" t="s">
        <v>139</v>
      </c>
      <c r="N366" s="1">
        <v>-5</v>
      </c>
      <c r="O366" s="1">
        <v>22.82</v>
      </c>
      <c r="P366" s="1">
        <v>-570500</v>
      </c>
      <c r="Q366" s="1">
        <v>-12.1</v>
      </c>
      <c r="R366" s="1" t="s">
        <v>83</v>
      </c>
      <c r="T366" s="50">
        <f>IF(ISNUMBER(VLOOKUP(U366,Blotter!B:C,2,0)),VLOOKUP(U366,Blotter!B:C,2,0),"")</f>
        <v>6</v>
      </c>
      <c r="U366" s="49" t="str">
        <f t="shared" si="440"/>
        <v>SIU3</v>
      </c>
      <c r="V366" s="49">
        <f t="shared" si="441"/>
        <v>-5</v>
      </c>
      <c r="W366" s="49">
        <f t="shared" si="442"/>
        <v>22.82</v>
      </c>
      <c r="X366" s="49">
        <f t="shared" si="443"/>
        <v>-12.1</v>
      </c>
    </row>
    <row r="367" spans="1:24" x14ac:dyDescent="0.4">
      <c r="A367" s="1" t="s">
        <v>138</v>
      </c>
      <c r="B367" s="1" t="s">
        <v>83</v>
      </c>
      <c r="C367" s="1" t="s">
        <v>82</v>
      </c>
      <c r="D367" s="1" t="s">
        <v>235</v>
      </c>
      <c r="E367" s="1" t="s">
        <v>236</v>
      </c>
      <c r="F367" s="1" t="s">
        <v>126</v>
      </c>
      <c r="G367" s="1" t="s">
        <v>27</v>
      </c>
      <c r="H367" s="1">
        <v>5000</v>
      </c>
      <c r="J367" s="51">
        <v>45196</v>
      </c>
      <c r="L367" s="51">
        <v>45156</v>
      </c>
      <c r="M367" s="1" t="s">
        <v>139</v>
      </c>
      <c r="N367" s="1">
        <v>-15</v>
      </c>
      <c r="O367" s="1">
        <v>22.79</v>
      </c>
      <c r="P367" s="1">
        <v>-1709250</v>
      </c>
      <c r="Q367" s="1">
        <v>-36.299999999999997</v>
      </c>
      <c r="R367" s="1" t="s">
        <v>83</v>
      </c>
      <c r="T367" s="50">
        <f>IF(ISNUMBER(VLOOKUP(U367,Blotter!B:C,2,0)),VLOOKUP(U367,Blotter!B:C,2,0),"")</f>
        <v>6</v>
      </c>
      <c r="U367" s="49" t="str">
        <f t="shared" si="440"/>
        <v>SIU3</v>
      </c>
      <c r="V367" s="49">
        <f t="shared" si="441"/>
        <v>-15</v>
      </c>
      <c r="W367" s="49">
        <f t="shared" si="442"/>
        <v>22.79</v>
      </c>
      <c r="X367" s="49">
        <f t="shared" si="443"/>
        <v>-36.299999999999997</v>
      </c>
    </row>
    <row r="368" spans="1:24" x14ac:dyDescent="0.4">
      <c r="A368" s="1" t="s">
        <v>138</v>
      </c>
      <c r="B368" s="1" t="s">
        <v>83</v>
      </c>
      <c r="C368" s="1" t="s">
        <v>87</v>
      </c>
      <c r="D368" s="1" t="s">
        <v>272</v>
      </c>
      <c r="E368" s="1" t="s">
        <v>273</v>
      </c>
      <c r="F368" s="1" t="s">
        <v>129</v>
      </c>
      <c r="G368" s="1" t="s">
        <v>4</v>
      </c>
      <c r="H368" s="1">
        <v>100</v>
      </c>
      <c r="I368" s="1">
        <v>4300</v>
      </c>
      <c r="J368" s="51">
        <v>45219</v>
      </c>
      <c r="K368" s="1" t="s">
        <v>89</v>
      </c>
      <c r="L368" s="51">
        <v>45159</v>
      </c>
      <c r="M368" s="1" t="s">
        <v>135</v>
      </c>
      <c r="N368" s="1">
        <v>5</v>
      </c>
      <c r="O368" s="1">
        <v>61</v>
      </c>
      <c r="P368" s="1">
        <v>30500</v>
      </c>
      <c r="Q368" s="1">
        <v>-6.8127500000000003</v>
      </c>
      <c r="R368" s="1" t="s">
        <v>83</v>
      </c>
      <c r="T368" s="50">
        <f>IF(ISNUMBER(VLOOKUP(U368,Blotter!B:C,2,0)),VLOOKUP(U368,Blotter!B:C,2,0),"")</f>
        <v>17</v>
      </c>
      <c r="U368" s="49" t="str">
        <f t="shared" ref="U368:U373" si="444">D368</f>
        <v>SPX   231020P04300000</v>
      </c>
      <c r="V368" s="49">
        <f t="shared" ref="V368:V373" si="445">N368</f>
        <v>5</v>
      </c>
      <c r="W368" s="49">
        <f t="shared" ref="W368:W373" si="446">O368</f>
        <v>61</v>
      </c>
      <c r="X368" s="49">
        <f t="shared" ref="X368:X373" si="447">Q368</f>
        <v>-6.8127500000000003</v>
      </c>
    </row>
    <row r="369" spans="1:24" x14ac:dyDescent="0.4">
      <c r="A369" s="1" t="s">
        <v>138</v>
      </c>
      <c r="B369" s="1" t="s">
        <v>83</v>
      </c>
      <c r="C369" s="1" t="s">
        <v>82</v>
      </c>
      <c r="D369" s="1" t="s">
        <v>235</v>
      </c>
      <c r="E369" s="1" t="s">
        <v>236</v>
      </c>
      <c r="F369" s="1" t="s">
        <v>126</v>
      </c>
      <c r="G369" s="1" t="s">
        <v>27</v>
      </c>
      <c r="H369" s="1">
        <v>5000</v>
      </c>
      <c r="J369" s="51">
        <v>45196</v>
      </c>
      <c r="L369" s="51">
        <v>45159</v>
      </c>
      <c r="M369" s="1" t="s">
        <v>135</v>
      </c>
      <c r="N369" s="1">
        <v>15</v>
      </c>
      <c r="O369" s="1">
        <v>22.75</v>
      </c>
      <c r="P369" s="1">
        <v>1706250</v>
      </c>
      <c r="Q369" s="1">
        <v>-36.299999999999997</v>
      </c>
      <c r="R369" s="1" t="s">
        <v>83</v>
      </c>
      <c r="T369" s="50">
        <f>IF(ISNUMBER(VLOOKUP(U369,Blotter!B:C,2,0)),VLOOKUP(U369,Blotter!B:C,2,0),"")</f>
        <v>6</v>
      </c>
      <c r="U369" s="49" t="str">
        <f t="shared" si="444"/>
        <v>SIU3</v>
      </c>
      <c r="V369" s="49">
        <f t="shared" si="445"/>
        <v>15</v>
      </c>
      <c r="W369" s="49">
        <f t="shared" si="446"/>
        <v>22.75</v>
      </c>
      <c r="X369" s="49">
        <f t="shared" si="447"/>
        <v>-36.299999999999997</v>
      </c>
    </row>
    <row r="370" spans="1:24" x14ac:dyDescent="0.4">
      <c r="A370" s="1" t="s">
        <v>138</v>
      </c>
      <c r="B370" s="1" t="s">
        <v>83</v>
      </c>
      <c r="C370" s="1" t="s">
        <v>82</v>
      </c>
      <c r="D370" s="1" t="s">
        <v>235</v>
      </c>
      <c r="E370" s="1" t="s">
        <v>236</v>
      </c>
      <c r="F370" s="1" t="s">
        <v>126</v>
      </c>
      <c r="G370" s="1" t="s">
        <v>27</v>
      </c>
      <c r="H370" s="1">
        <v>5000</v>
      </c>
      <c r="J370" s="51">
        <v>45196</v>
      </c>
      <c r="L370" s="51">
        <v>45159</v>
      </c>
      <c r="M370" s="1" t="s">
        <v>135</v>
      </c>
      <c r="N370" s="1">
        <v>10</v>
      </c>
      <c r="O370" s="1">
        <v>23.15</v>
      </c>
      <c r="P370" s="1">
        <v>1157500</v>
      </c>
      <c r="Q370" s="1">
        <v>-24.2</v>
      </c>
      <c r="R370" s="1" t="s">
        <v>83</v>
      </c>
      <c r="T370" s="50">
        <f>IF(ISNUMBER(VLOOKUP(U370,Blotter!B:C,2,0)),VLOOKUP(U370,Blotter!B:C,2,0),"")</f>
        <v>6</v>
      </c>
      <c r="U370" s="49" t="str">
        <f t="shared" si="444"/>
        <v>SIU3</v>
      </c>
      <c r="V370" s="49">
        <f t="shared" si="445"/>
        <v>10</v>
      </c>
      <c r="W370" s="49">
        <f t="shared" si="446"/>
        <v>23.15</v>
      </c>
      <c r="X370" s="49">
        <f t="shared" si="447"/>
        <v>-24.2</v>
      </c>
    </row>
    <row r="371" spans="1:24" x14ac:dyDescent="0.4">
      <c r="A371" s="1" t="s">
        <v>138</v>
      </c>
      <c r="B371" s="1" t="s">
        <v>83</v>
      </c>
      <c r="C371" s="1" t="s">
        <v>82</v>
      </c>
      <c r="D371" s="1" t="s">
        <v>235</v>
      </c>
      <c r="E371" s="1" t="s">
        <v>236</v>
      </c>
      <c r="F371" s="1" t="s">
        <v>126</v>
      </c>
      <c r="G371" s="1" t="s">
        <v>27</v>
      </c>
      <c r="H371" s="1">
        <v>5000</v>
      </c>
      <c r="J371" s="51">
        <v>45196</v>
      </c>
      <c r="L371" s="51">
        <v>45159</v>
      </c>
      <c r="M371" s="1" t="s">
        <v>135</v>
      </c>
      <c r="N371" s="1">
        <v>5</v>
      </c>
      <c r="O371" s="1">
        <v>23.1</v>
      </c>
      <c r="P371" s="1">
        <v>577500</v>
      </c>
      <c r="Q371" s="1">
        <v>-12.1</v>
      </c>
      <c r="R371" s="1" t="s">
        <v>83</v>
      </c>
      <c r="T371" s="50">
        <f>IF(ISNUMBER(VLOOKUP(U371,Blotter!B:C,2,0)),VLOOKUP(U371,Blotter!B:C,2,0),"")</f>
        <v>6</v>
      </c>
      <c r="U371" s="49" t="str">
        <f t="shared" si="444"/>
        <v>SIU3</v>
      </c>
      <c r="V371" s="49">
        <f t="shared" si="445"/>
        <v>5</v>
      </c>
      <c r="W371" s="49">
        <f t="shared" si="446"/>
        <v>23.1</v>
      </c>
      <c r="X371" s="49">
        <f t="shared" si="447"/>
        <v>-12.1</v>
      </c>
    </row>
    <row r="372" spans="1:24" x14ac:dyDescent="0.4">
      <c r="A372" s="1" t="s">
        <v>138</v>
      </c>
      <c r="B372" s="1" t="s">
        <v>83</v>
      </c>
      <c r="C372" s="1" t="s">
        <v>82</v>
      </c>
      <c r="D372" s="1" t="s">
        <v>235</v>
      </c>
      <c r="E372" s="1" t="s">
        <v>236</v>
      </c>
      <c r="F372" s="1" t="s">
        <v>126</v>
      </c>
      <c r="G372" s="1" t="s">
        <v>27</v>
      </c>
      <c r="H372" s="1">
        <v>5000</v>
      </c>
      <c r="J372" s="51">
        <v>45196</v>
      </c>
      <c r="L372" s="51">
        <v>45159</v>
      </c>
      <c r="M372" s="1" t="s">
        <v>139</v>
      </c>
      <c r="N372" s="1">
        <v>-5</v>
      </c>
      <c r="O372" s="1">
        <v>23.1</v>
      </c>
      <c r="P372" s="1">
        <v>-577500</v>
      </c>
      <c r="Q372" s="1">
        <v>-12.1</v>
      </c>
      <c r="R372" s="1" t="s">
        <v>83</v>
      </c>
      <c r="T372" s="50">
        <f>IF(ISNUMBER(VLOOKUP(U372,Blotter!B:C,2,0)),VLOOKUP(U372,Blotter!B:C,2,0),"")</f>
        <v>6</v>
      </c>
      <c r="U372" s="49" t="str">
        <f t="shared" si="444"/>
        <v>SIU3</v>
      </c>
      <c r="V372" s="49">
        <f t="shared" si="445"/>
        <v>-5</v>
      </c>
      <c r="W372" s="49">
        <f t="shared" si="446"/>
        <v>23.1</v>
      </c>
      <c r="X372" s="49">
        <f t="shared" si="447"/>
        <v>-12.1</v>
      </c>
    </row>
    <row r="373" spans="1:24" x14ac:dyDescent="0.4">
      <c r="A373" s="1" t="s">
        <v>138</v>
      </c>
      <c r="B373" s="1" t="s">
        <v>83</v>
      </c>
      <c r="C373" s="1" t="s">
        <v>82</v>
      </c>
      <c r="D373" s="1" t="s">
        <v>235</v>
      </c>
      <c r="E373" s="1" t="s">
        <v>236</v>
      </c>
      <c r="F373" s="1" t="s">
        <v>126</v>
      </c>
      <c r="G373" s="1" t="s">
        <v>27</v>
      </c>
      <c r="H373" s="1">
        <v>5000</v>
      </c>
      <c r="J373" s="51">
        <v>45196</v>
      </c>
      <c r="L373" s="51">
        <v>45159</v>
      </c>
      <c r="M373" s="1" t="s">
        <v>139</v>
      </c>
      <c r="N373" s="1">
        <v>-5</v>
      </c>
      <c r="O373" s="1">
        <v>23.15</v>
      </c>
      <c r="P373" s="1">
        <v>-578750</v>
      </c>
      <c r="Q373" s="1">
        <v>-12.1</v>
      </c>
      <c r="R373" s="1" t="s">
        <v>83</v>
      </c>
      <c r="T373" s="50">
        <f>IF(ISNUMBER(VLOOKUP(U373,Blotter!B:C,2,0)),VLOOKUP(U373,Blotter!B:C,2,0),"")</f>
        <v>6</v>
      </c>
      <c r="U373" s="49" t="str">
        <f t="shared" si="444"/>
        <v>SIU3</v>
      </c>
      <c r="V373" s="49">
        <f t="shared" si="445"/>
        <v>-5</v>
      </c>
      <c r="W373" s="49">
        <f t="shared" si="446"/>
        <v>23.15</v>
      </c>
      <c r="X373" s="49">
        <f t="shared" si="447"/>
        <v>-12.1</v>
      </c>
    </row>
    <row r="374" spans="1:24" x14ac:dyDescent="0.4">
      <c r="A374" s="1" t="s">
        <v>138</v>
      </c>
      <c r="B374" s="1" t="s">
        <v>83</v>
      </c>
      <c r="C374" s="1" t="s">
        <v>82</v>
      </c>
      <c r="D374" s="1" t="s">
        <v>235</v>
      </c>
      <c r="E374" s="1" t="s">
        <v>236</v>
      </c>
      <c r="F374" s="1" t="s">
        <v>126</v>
      </c>
      <c r="G374" s="1" t="s">
        <v>27</v>
      </c>
      <c r="H374" s="1">
        <v>5000</v>
      </c>
      <c r="J374" s="51">
        <v>45196</v>
      </c>
      <c r="L374" s="51">
        <v>45159</v>
      </c>
      <c r="M374" s="1" t="s">
        <v>139</v>
      </c>
      <c r="N374" s="1">
        <v>-5</v>
      </c>
      <c r="O374" s="1">
        <v>23.28</v>
      </c>
      <c r="P374" s="1">
        <v>-582000</v>
      </c>
      <c r="Q374" s="1">
        <v>-12.1</v>
      </c>
      <c r="R374" s="1" t="s">
        <v>83</v>
      </c>
      <c r="T374" s="50">
        <f>IF(ISNUMBER(VLOOKUP(U374,Blotter!B:C,2,0)),VLOOKUP(U374,Blotter!B:C,2,0),"")</f>
        <v>6</v>
      </c>
      <c r="U374" s="49" t="str">
        <f t="shared" ref="U374" si="448">D374</f>
        <v>SIU3</v>
      </c>
      <c r="V374" s="49">
        <f t="shared" ref="V374" si="449">N374</f>
        <v>-5</v>
      </c>
      <c r="W374" s="49">
        <f t="shared" ref="W374" si="450">O374</f>
        <v>23.28</v>
      </c>
      <c r="X374" s="49">
        <f t="shared" ref="X374" si="451">Q374</f>
        <v>-12.1</v>
      </c>
    </row>
    <row r="375" spans="1:24" x14ac:dyDescent="0.4">
      <c r="A375" s="1" t="s">
        <v>138</v>
      </c>
      <c r="B375" s="1" t="s">
        <v>83</v>
      </c>
      <c r="C375" s="1" t="s">
        <v>82</v>
      </c>
      <c r="D375" s="1" t="s">
        <v>235</v>
      </c>
      <c r="E375" s="1" t="s">
        <v>236</v>
      </c>
      <c r="F375" s="1" t="s">
        <v>126</v>
      </c>
      <c r="G375" s="1" t="s">
        <v>27</v>
      </c>
      <c r="H375" s="1">
        <v>5000</v>
      </c>
      <c r="J375" s="51">
        <v>45196</v>
      </c>
      <c r="L375" s="51">
        <v>45159</v>
      </c>
      <c r="M375" s="1" t="s">
        <v>139</v>
      </c>
      <c r="N375" s="1">
        <v>-5</v>
      </c>
      <c r="O375" s="1">
        <v>23.25</v>
      </c>
      <c r="P375" s="1">
        <v>-581250</v>
      </c>
      <c r="Q375" s="1">
        <v>-12.1</v>
      </c>
      <c r="R375" s="1" t="s">
        <v>83</v>
      </c>
      <c r="T375" s="50">
        <f>IF(ISNUMBER(VLOOKUP(U375,Blotter!B:C,2,0)),VLOOKUP(U375,Blotter!B:C,2,0),"")</f>
        <v>6</v>
      </c>
      <c r="U375" s="49" t="str">
        <f t="shared" ref="U375" si="452">D375</f>
        <v>SIU3</v>
      </c>
      <c r="V375" s="49">
        <f t="shared" ref="V375" si="453">N375</f>
        <v>-5</v>
      </c>
      <c r="W375" s="49">
        <f t="shared" ref="W375" si="454">O375</f>
        <v>23.25</v>
      </c>
      <c r="X375" s="49">
        <f t="shared" ref="X375" si="455">Q375</f>
        <v>-12.1</v>
      </c>
    </row>
    <row r="376" spans="1:24" x14ac:dyDescent="0.4">
      <c r="A376" s="1" t="s">
        <v>138</v>
      </c>
      <c r="B376" s="1" t="s">
        <v>83</v>
      </c>
      <c r="C376" s="1" t="s">
        <v>82</v>
      </c>
      <c r="D376" s="1" t="s">
        <v>235</v>
      </c>
      <c r="E376" s="1" t="s">
        <v>236</v>
      </c>
      <c r="F376" s="1" t="s">
        <v>126</v>
      </c>
      <c r="G376" s="1" t="s">
        <v>27</v>
      </c>
      <c r="H376" s="1">
        <v>5000</v>
      </c>
      <c r="J376" s="51">
        <v>45196</v>
      </c>
      <c r="L376" s="51">
        <v>45159</v>
      </c>
      <c r="M376" s="1" t="s">
        <v>139</v>
      </c>
      <c r="N376" s="1">
        <v>-5</v>
      </c>
      <c r="O376" s="1">
        <v>23.35</v>
      </c>
      <c r="P376" s="1">
        <v>-583750</v>
      </c>
      <c r="Q376" s="1">
        <v>-12.1</v>
      </c>
      <c r="R376" s="1" t="s">
        <v>83</v>
      </c>
      <c r="T376" s="50">
        <f>IF(ISNUMBER(VLOOKUP(U376,Blotter!B:C,2,0)),VLOOKUP(U376,Blotter!B:C,2,0),"")</f>
        <v>6</v>
      </c>
      <c r="U376" s="49" t="str">
        <f t="shared" ref="U376" si="456">D376</f>
        <v>SIU3</v>
      </c>
      <c r="V376" s="49">
        <f t="shared" ref="V376" si="457">N376</f>
        <v>-5</v>
      </c>
      <c r="W376" s="49">
        <f t="shared" ref="W376" si="458">O376</f>
        <v>23.35</v>
      </c>
      <c r="X376" s="49">
        <f t="shared" ref="X376" si="459">Q376</f>
        <v>-12.1</v>
      </c>
    </row>
    <row r="377" spans="1:24" x14ac:dyDescent="0.4">
      <c r="A377" s="1" t="s">
        <v>138</v>
      </c>
      <c r="B377" s="1" t="s">
        <v>83</v>
      </c>
      <c r="C377" s="1" t="s">
        <v>87</v>
      </c>
      <c r="D377" s="1" t="s">
        <v>272</v>
      </c>
      <c r="E377" s="1" t="s">
        <v>273</v>
      </c>
      <c r="F377" s="1" t="s">
        <v>129</v>
      </c>
      <c r="G377" s="1" t="s">
        <v>4</v>
      </c>
      <c r="H377" s="1">
        <v>100</v>
      </c>
      <c r="I377" s="1">
        <v>4300</v>
      </c>
      <c r="J377" s="51">
        <v>45219</v>
      </c>
      <c r="K377" s="1" t="s">
        <v>89</v>
      </c>
      <c r="L377" s="51">
        <v>45160</v>
      </c>
      <c r="M377" s="1" t="s">
        <v>135</v>
      </c>
      <c r="N377" s="1">
        <v>5</v>
      </c>
      <c r="O377" s="1">
        <v>56.5</v>
      </c>
      <c r="P377" s="1">
        <v>28250</v>
      </c>
      <c r="Q377" s="1">
        <v>-6.8127500000000003</v>
      </c>
      <c r="R377" s="1" t="s">
        <v>83</v>
      </c>
      <c r="T377" s="50">
        <f>IF(ISNUMBER(VLOOKUP(U377,Blotter!B:C,2,0)),VLOOKUP(U377,Blotter!B:C,2,0),"")</f>
        <v>17</v>
      </c>
      <c r="U377" s="49" t="str">
        <f t="shared" ref="U377" si="460">D377</f>
        <v>SPX   231020P04300000</v>
      </c>
      <c r="V377" s="49">
        <f t="shared" ref="V377" si="461">N377</f>
        <v>5</v>
      </c>
      <c r="W377" s="49">
        <f t="shared" ref="W377" si="462">O377</f>
        <v>56.5</v>
      </c>
      <c r="X377" s="49">
        <f t="shared" ref="X377" si="463">Q377</f>
        <v>-6.8127500000000003</v>
      </c>
    </row>
    <row r="378" spans="1:24" x14ac:dyDescent="0.4">
      <c r="A378" s="1" t="s">
        <v>138</v>
      </c>
      <c r="B378" s="1" t="s">
        <v>83</v>
      </c>
      <c r="C378" s="1" t="s">
        <v>87</v>
      </c>
      <c r="D378" s="1" t="s">
        <v>270</v>
      </c>
      <c r="E378" s="1" t="s">
        <v>271</v>
      </c>
      <c r="F378" s="1" t="s">
        <v>129</v>
      </c>
      <c r="G378" s="1" t="s">
        <v>4</v>
      </c>
      <c r="H378" s="1">
        <v>100</v>
      </c>
      <c r="I378" s="1">
        <v>4390</v>
      </c>
      <c r="J378" s="51">
        <v>45219</v>
      </c>
      <c r="K378" s="1" t="s">
        <v>89</v>
      </c>
      <c r="L378" s="51">
        <v>45160</v>
      </c>
      <c r="M378" s="1" t="s">
        <v>135</v>
      </c>
      <c r="N378" s="1">
        <v>10</v>
      </c>
      <c r="O378" s="1">
        <v>77</v>
      </c>
      <c r="P378" s="1">
        <v>77000</v>
      </c>
      <c r="Q378" s="1">
        <v>-13.625500000000001</v>
      </c>
      <c r="R378" s="1" t="s">
        <v>83</v>
      </c>
      <c r="T378" s="50">
        <f>IF(ISNUMBER(VLOOKUP(U378,Blotter!B:C,2,0)),VLOOKUP(U378,Blotter!B:C,2,0),"")</f>
        <v>17</v>
      </c>
      <c r="U378" s="49" t="str">
        <f t="shared" ref="U378:U379" si="464">D378</f>
        <v>SPX   231020P04390000</v>
      </c>
      <c r="V378" s="49">
        <f t="shared" ref="V378:V379" si="465">N378</f>
        <v>10</v>
      </c>
      <c r="W378" s="49">
        <f t="shared" ref="W378:W379" si="466">O378</f>
        <v>77</v>
      </c>
      <c r="X378" s="49">
        <f t="shared" ref="X378:X379" si="467">Q378</f>
        <v>-13.625500000000001</v>
      </c>
    </row>
    <row r="379" spans="1:24" x14ac:dyDescent="0.4">
      <c r="A379" s="1" t="s">
        <v>138</v>
      </c>
      <c r="B379" s="1" t="s">
        <v>83</v>
      </c>
      <c r="C379" s="1" t="s">
        <v>87</v>
      </c>
      <c r="D379" s="1" t="s">
        <v>270</v>
      </c>
      <c r="E379" s="1" t="s">
        <v>271</v>
      </c>
      <c r="F379" s="1" t="s">
        <v>129</v>
      </c>
      <c r="G379" s="1" t="s">
        <v>4</v>
      </c>
      <c r="H379" s="1">
        <v>100</v>
      </c>
      <c r="I379" s="1">
        <v>4390</v>
      </c>
      <c r="J379" s="51">
        <v>45219</v>
      </c>
      <c r="K379" s="1" t="s">
        <v>89</v>
      </c>
      <c r="L379" s="51">
        <v>45160</v>
      </c>
      <c r="M379" s="1" t="s">
        <v>139</v>
      </c>
      <c r="N379" s="1">
        <v>-5</v>
      </c>
      <c r="O379" s="1">
        <v>85</v>
      </c>
      <c r="P379" s="1">
        <v>-42500</v>
      </c>
      <c r="Q379" s="1">
        <v>-6.8127500000000003</v>
      </c>
      <c r="R379" s="1" t="s">
        <v>83</v>
      </c>
      <c r="T379" s="50">
        <f>IF(ISNUMBER(VLOOKUP(U379,Blotter!B:C,2,0)),VLOOKUP(U379,Blotter!B:C,2,0),"")</f>
        <v>17</v>
      </c>
      <c r="U379" s="49" t="str">
        <f t="shared" si="464"/>
        <v>SPX   231020P04390000</v>
      </c>
      <c r="V379" s="49">
        <f t="shared" si="465"/>
        <v>-5</v>
      </c>
      <c r="W379" s="49">
        <f t="shared" si="466"/>
        <v>85</v>
      </c>
      <c r="X379" s="49">
        <f t="shared" si="467"/>
        <v>-6.8127500000000003</v>
      </c>
    </row>
    <row r="380" spans="1:24" x14ac:dyDescent="0.4">
      <c r="A380" s="1" t="s">
        <v>138</v>
      </c>
      <c r="B380" s="1" t="s">
        <v>83</v>
      </c>
      <c r="C380" s="1" t="s">
        <v>87</v>
      </c>
      <c r="D380" s="1" t="s">
        <v>270</v>
      </c>
      <c r="E380" s="1" t="s">
        <v>271</v>
      </c>
      <c r="F380" s="1" t="s">
        <v>129</v>
      </c>
      <c r="G380" s="1" t="s">
        <v>4</v>
      </c>
      <c r="H380" s="1">
        <v>100</v>
      </c>
      <c r="I380" s="1">
        <v>4390</v>
      </c>
      <c r="J380" s="51">
        <v>45219</v>
      </c>
      <c r="K380" s="1" t="s">
        <v>89</v>
      </c>
      <c r="L380" s="51">
        <v>45160</v>
      </c>
      <c r="M380" s="1" t="s">
        <v>139</v>
      </c>
      <c r="N380" s="1">
        <v>-5</v>
      </c>
      <c r="O380" s="1">
        <v>87</v>
      </c>
      <c r="P380" s="1">
        <v>-43500</v>
      </c>
      <c r="Q380" s="1">
        <v>-6.8127500000000003</v>
      </c>
      <c r="R380" s="1" t="s">
        <v>83</v>
      </c>
      <c r="T380" s="50">
        <f>IF(ISNUMBER(VLOOKUP(U380,Blotter!B:C,2,0)),VLOOKUP(U380,Blotter!B:C,2,0),"")</f>
        <v>17</v>
      </c>
      <c r="U380" s="49" t="str">
        <f t="shared" ref="U380:U381" si="468">D380</f>
        <v>SPX   231020P04390000</v>
      </c>
      <c r="V380" s="49">
        <f t="shared" ref="V380:V381" si="469">N380</f>
        <v>-5</v>
      </c>
      <c r="W380" s="49">
        <f t="shared" ref="W380:W381" si="470">O380</f>
        <v>87</v>
      </c>
      <c r="X380" s="49">
        <f t="shared" ref="X380:X381" si="471">Q380</f>
        <v>-6.8127500000000003</v>
      </c>
    </row>
    <row r="381" spans="1:24" x14ac:dyDescent="0.4">
      <c r="A381" s="1" t="s">
        <v>138</v>
      </c>
      <c r="B381" s="1" t="s">
        <v>83</v>
      </c>
      <c r="C381" s="1" t="s">
        <v>82</v>
      </c>
      <c r="D381" s="1" t="s">
        <v>235</v>
      </c>
      <c r="E381" s="1" t="s">
        <v>236</v>
      </c>
      <c r="F381" s="1" t="s">
        <v>126</v>
      </c>
      <c r="G381" s="1" t="s">
        <v>27</v>
      </c>
      <c r="H381" s="1">
        <v>5000</v>
      </c>
      <c r="J381" s="51">
        <v>45196</v>
      </c>
      <c r="L381" s="51">
        <v>45160</v>
      </c>
      <c r="M381" s="1" t="s">
        <v>135</v>
      </c>
      <c r="N381" s="1">
        <v>5</v>
      </c>
      <c r="O381" s="1">
        <v>23.35</v>
      </c>
      <c r="P381" s="1">
        <v>583750</v>
      </c>
      <c r="Q381" s="1">
        <v>-12.1</v>
      </c>
      <c r="R381" s="1" t="s">
        <v>83</v>
      </c>
      <c r="T381" s="50">
        <f>IF(ISNUMBER(VLOOKUP(U381,Blotter!B:C,2,0)),VLOOKUP(U381,Blotter!B:C,2,0),"")</f>
        <v>6</v>
      </c>
      <c r="U381" s="49" t="str">
        <f t="shared" si="468"/>
        <v>SIU3</v>
      </c>
      <c r="V381" s="49">
        <f t="shared" si="469"/>
        <v>5</v>
      </c>
      <c r="W381" s="49">
        <f t="shared" si="470"/>
        <v>23.35</v>
      </c>
      <c r="X381" s="49">
        <f t="shared" si="471"/>
        <v>-12.1</v>
      </c>
    </row>
    <row r="382" spans="1:24" x14ac:dyDescent="0.4">
      <c r="A382" s="1" t="s">
        <v>138</v>
      </c>
      <c r="B382" s="1" t="s">
        <v>83</v>
      </c>
      <c r="C382" s="1" t="s">
        <v>82</v>
      </c>
      <c r="D382" s="1" t="s">
        <v>235</v>
      </c>
      <c r="E382" s="1" t="s">
        <v>236</v>
      </c>
      <c r="F382" s="1" t="s">
        <v>126</v>
      </c>
      <c r="G382" s="1" t="s">
        <v>27</v>
      </c>
      <c r="H382" s="1">
        <v>5000</v>
      </c>
      <c r="J382" s="51">
        <v>45196</v>
      </c>
      <c r="L382" s="51">
        <v>45160</v>
      </c>
      <c r="M382" s="1" t="s">
        <v>135</v>
      </c>
      <c r="N382" s="1">
        <v>5</v>
      </c>
      <c r="O382" s="1">
        <v>23.3</v>
      </c>
      <c r="P382" s="1">
        <v>582500</v>
      </c>
      <c r="Q382" s="1">
        <v>-12.1</v>
      </c>
      <c r="R382" s="1" t="s">
        <v>83</v>
      </c>
      <c r="T382" s="50">
        <f>IF(ISNUMBER(VLOOKUP(U382,Blotter!B:C,2,0)),VLOOKUP(U382,Blotter!B:C,2,0),"")</f>
        <v>6</v>
      </c>
      <c r="U382" s="49" t="str">
        <f t="shared" ref="U382:U383" si="472">D382</f>
        <v>SIU3</v>
      </c>
      <c r="V382" s="49">
        <f t="shared" ref="V382:V383" si="473">N382</f>
        <v>5</v>
      </c>
      <c r="W382" s="49">
        <f t="shared" ref="W382:W383" si="474">O382</f>
        <v>23.3</v>
      </c>
      <c r="X382" s="49">
        <f t="shared" ref="X382:X383" si="475">Q382</f>
        <v>-12.1</v>
      </c>
    </row>
    <row r="383" spans="1:24" x14ac:dyDescent="0.4">
      <c r="A383" s="1" t="s">
        <v>138</v>
      </c>
      <c r="B383" s="1" t="s">
        <v>83</v>
      </c>
      <c r="C383" s="1" t="s">
        <v>82</v>
      </c>
      <c r="D383" s="1" t="s">
        <v>235</v>
      </c>
      <c r="E383" s="1" t="s">
        <v>236</v>
      </c>
      <c r="F383" s="1" t="s">
        <v>126</v>
      </c>
      <c r="G383" s="1" t="s">
        <v>27</v>
      </c>
      <c r="H383" s="1">
        <v>5000</v>
      </c>
      <c r="J383" s="51">
        <v>45196</v>
      </c>
      <c r="L383" s="51">
        <v>45160</v>
      </c>
      <c r="M383" s="1" t="s">
        <v>139</v>
      </c>
      <c r="N383" s="1">
        <v>-5</v>
      </c>
      <c r="O383" s="1">
        <v>23.46</v>
      </c>
      <c r="P383" s="1">
        <v>-586500</v>
      </c>
      <c r="Q383" s="1">
        <v>-12.1</v>
      </c>
      <c r="R383" s="1" t="s">
        <v>83</v>
      </c>
      <c r="T383" s="50">
        <f>IF(ISNUMBER(VLOOKUP(U383,Blotter!B:C,2,0)),VLOOKUP(U383,Blotter!B:C,2,0),"")</f>
        <v>6</v>
      </c>
      <c r="U383" s="49" t="str">
        <f t="shared" si="472"/>
        <v>SIU3</v>
      </c>
      <c r="V383" s="49">
        <f t="shared" si="473"/>
        <v>-5</v>
      </c>
      <c r="W383" s="49">
        <f t="shared" si="474"/>
        <v>23.46</v>
      </c>
      <c r="X383" s="49">
        <f t="shared" si="475"/>
        <v>-12.1</v>
      </c>
    </row>
    <row r="384" spans="1:24" x14ac:dyDescent="0.4">
      <c r="A384" s="1" t="s">
        <v>138</v>
      </c>
      <c r="B384" s="1" t="s">
        <v>83</v>
      </c>
      <c r="C384" s="1" t="s">
        <v>82</v>
      </c>
      <c r="D384" s="1" t="s">
        <v>235</v>
      </c>
      <c r="E384" s="1" t="s">
        <v>236</v>
      </c>
      <c r="F384" s="1" t="s">
        <v>126</v>
      </c>
      <c r="G384" s="1" t="s">
        <v>27</v>
      </c>
      <c r="H384" s="1">
        <v>5000</v>
      </c>
      <c r="J384" s="51">
        <v>45196</v>
      </c>
      <c r="L384" s="51">
        <v>45160</v>
      </c>
      <c r="M384" s="1" t="s">
        <v>139</v>
      </c>
      <c r="N384" s="1">
        <v>-5</v>
      </c>
      <c r="O384" s="1">
        <v>23.4</v>
      </c>
      <c r="P384" s="1">
        <v>-585000</v>
      </c>
      <c r="Q384" s="1">
        <v>-12.1</v>
      </c>
      <c r="R384" s="1" t="s">
        <v>83</v>
      </c>
      <c r="T384" s="50">
        <f>IF(ISNUMBER(VLOOKUP(U384,Blotter!B:C,2,0)),VLOOKUP(U384,Blotter!B:C,2,0),"")</f>
        <v>6</v>
      </c>
      <c r="U384" s="49" t="str">
        <f t="shared" ref="U384" si="476">D384</f>
        <v>SIU3</v>
      </c>
      <c r="V384" s="49">
        <f t="shared" ref="V384" si="477">N384</f>
        <v>-5</v>
      </c>
      <c r="W384" s="49">
        <f t="shared" ref="W384" si="478">O384</f>
        <v>23.4</v>
      </c>
      <c r="X384" s="49">
        <f t="shared" ref="X384" si="479">Q384</f>
        <v>-12.1</v>
      </c>
    </row>
    <row r="385" spans="1:24" x14ac:dyDescent="0.4">
      <c r="A385" s="1" t="s">
        <v>138</v>
      </c>
      <c r="B385" s="1" t="s">
        <v>83</v>
      </c>
      <c r="C385" s="1" t="s">
        <v>87</v>
      </c>
      <c r="D385" s="1" t="s">
        <v>270</v>
      </c>
      <c r="E385" s="1" t="s">
        <v>271</v>
      </c>
      <c r="F385" s="1" t="s">
        <v>129</v>
      </c>
      <c r="G385" s="1" t="s">
        <v>4</v>
      </c>
      <c r="H385" s="1">
        <v>100</v>
      </c>
      <c r="I385" s="1">
        <v>4390</v>
      </c>
      <c r="J385" s="51">
        <v>45219</v>
      </c>
      <c r="K385" s="1" t="s">
        <v>89</v>
      </c>
      <c r="L385" s="51">
        <v>45161</v>
      </c>
      <c r="M385" s="1" t="s">
        <v>135</v>
      </c>
      <c r="N385" s="1">
        <v>10</v>
      </c>
      <c r="O385" s="1">
        <v>62</v>
      </c>
      <c r="P385" s="1">
        <v>62000</v>
      </c>
      <c r="Q385" s="1">
        <v>-13.625500000000001</v>
      </c>
      <c r="R385" s="1" t="s">
        <v>83</v>
      </c>
      <c r="T385" s="50">
        <f>IF(ISNUMBER(VLOOKUP(U385,Blotter!B:C,2,0)),VLOOKUP(U385,Blotter!B:C,2,0),"")</f>
        <v>17</v>
      </c>
      <c r="U385" s="49" t="str">
        <f t="shared" ref="U385:U403" si="480">D385</f>
        <v>SPX   231020P04390000</v>
      </c>
      <c r="V385" s="49">
        <f t="shared" ref="V385:V403" si="481">N385</f>
        <v>10</v>
      </c>
      <c r="W385" s="49">
        <f t="shared" ref="W385:W403" si="482">O385</f>
        <v>62</v>
      </c>
      <c r="X385" s="49">
        <f t="shared" ref="X385:X403" si="483">Q385</f>
        <v>-13.625500000000001</v>
      </c>
    </row>
    <row r="386" spans="1:24" x14ac:dyDescent="0.4">
      <c r="A386" s="1" t="s">
        <v>138</v>
      </c>
      <c r="B386" s="1" t="s">
        <v>83</v>
      </c>
      <c r="C386" s="1" t="s">
        <v>82</v>
      </c>
      <c r="D386" s="1" t="s">
        <v>257</v>
      </c>
      <c r="E386" s="1" t="s">
        <v>260</v>
      </c>
      <c r="F386" s="1" t="s">
        <v>100</v>
      </c>
      <c r="G386" s="1" t="s">
        <v>32</v>
      </c>
      <c r="H386" s="1">
        <v>112000</v>
      </c>
      <c r="J386" s="51">
        <v>45198</v>
      </c>
      <c r="L386" s="51">
        <v>45161</v>
      </c>
      <c r="M386" s="1" t="s">
        <v>139</v>
      </c>
      <c r="N386" s="1">
        <v>-7</v>
      </c>
      <c r="O386" s="59">
        <v>24.2</v>
      </c>
      <c r="P386" s="1">
        <v>-189728</v>
      </c>
      <c r="Q386" s="1">
        <v>-20.79</v>
      </c>
      <c r="R386" s="1" t="s">
        <v>83</v>
      </c>
      <c r="T386" s="50">
        <f>IF(ISNUMBER(VLOOKUP(U386,Blotter!B:C,2,0)),VLOOKUP(U386,Blotter!B:C,2,0),"")</f>
        <v>14</v>
      </c>
      <c r="U386" s="49" t="str">
        <f t="shared" si="480"/>
        <v>SBV3</v>
      </c>
      <c r="V386" s="49">
        <f t="shared" si="481"/>
        <v>-7</v>
      </c>
      <c r="W386" s="49">
        <f t="shared" si="482"/>
        <v>24.2</v>
      </c>
      <c r="X386" s="49">
        <f t="shared" si="483"/>
        <v>-20.79</v>
      </c>
    </row>
    <row r="387" spans="1:24" x14ac:dyDescent="0.4">
      <c r="A387" s="1" t="s">
        <v>138</v>
      </c>
      <c r="B387" s="1" t="s">
        <v>83</v>
      </c>
      <c r="C387" s="1" t="s">
        <v>82</v>
      </c>
      <c r="D387" s="1" t="s">
        <v>235</v>
      </c>
      <c r="E387" s="1" t="s">
        <v>236</v>
      </c>
      <c r="F387" s="1" t="s">
        <v>126</v>
      </c>
      <c r="G387" s="1" t="s">
        <v>27</v>
      </c>
      <c r="H387" s="1">
        <v>5000</v>
      </c>
      <c r="J387" s="51">
        <v>45196</v>
      </c>
      <c r="L387" s="51">
        <v>45161</v>
      </c>
      <c r="M387" s="1" t="s">
        <v>135</v>
      </c>
      <c r="N387" s="1">
        <v>30</v>
      </c>
      <c r="O387" s="1">
        <v>24.33</v>
      </c>
      <c r="P387" s="1">
        <v>3649500</v>
      </c>
      <c r="Q387" s="1">
        <v>-72.599999999999994</v>
      </c>
      <c r="R387" s="1" t="s">
        <v>83</v>
      </c>
      <c r="T387" s="50">
        <f>IF(ISNUMBER(VLOOKUP(U387,Blotter!B:C,2,0)),VLOOKUP(U387,Blotter!B:C,2,0),"")</f>
        <v>6</v>
      </c>
      <c r="U387" s="49" t="str">
        <f t="shared" si="480"/>
        <v>SIU3</v>
      </c>
      <c r="V387" s="49">
        <f t="shared" si="481"/>
        <v>30</v>
      </c>
      <c r="W387" s="49">
        <f t="shared" si="482"/>
        <v>24.33</v>
      </c>
      <c r="X387" s="49">
        <f t="shared" si="483"/>
        <v>-72.599999999999994</v>
      </c>
    </row>
    <row r="388" spans="1:24" x14ac:dyDescent="0.4">
      <c r="A388" s="1" t="s">
        <v>138</v>
      </c>
      <c r="B388" s="1" t="s">
        <v>83</v>
      </c>
      <c r="C388" s="1" t="s">
        <v>82</v>
      </c>
      <c r="D388" s="1" t="s">
        <v>235</v>
      </c>
      <c r="E388" s="1" t="s">
        <v>236</v>
      </c>
      <c r="F388" s="1" t="s">
        <v>126</v>
      </c>
      <c r="G388" s="1" t="s">
        <v>27</v>
      </c>
      <c r="H388" s="1">
        <v>5000</v>
      </c>
      <c r="J388" s="51">
        <v>45196</v>
      </c>
      <c r="L388" s="51">
        <v>45161</v>
      </c>
      <c r="M388" s="1" t="s">
        <v>139</v>
      </c>
      <c r="N388" s="1">
        <v>-5</v>
      </c>
      <c r="O388" s="1">
        <v>23.684999999999999</v>
      </c>
      <c r="P388" s="1">
        <v>-592125</v>
      </c>
      <c r="Q388" s="1">
        <v>-12.1</v>
      </c>
      <c r="R388" s="1" t="s">
        <v>83</v>
      </c>
      <c r="T388" s="50">
        <f>IF(ISNUMBER(VLOOKUP(U388,Blotter!B:C,2,0)),VLOOKUP(U388,Blotter!B:C,2,0),"")</f>
        <v>6</v>
      </c>
      <c r="U388" s="49" t="str">
        <f t="shared" si="480"/>
        <v>SIU3</v>
      </c>
      <c r="V388" s="49">
        <f t="shared" si="481"/>
        <v>-5</v>
      </c>
      <c r="W388" s="49">
        <f t="shared" si="482"/>
        <v>23.684999999999999</v>
      </c>
      <c r="X388" s="49">
        <f t="shared" si="483"/>
        <v>-12.1</v>
      </c>
    </row>
    <row r="389" spans="1:24" x14ac:dyDescent="0.4">
      <c r="A389" s="1" t="s">
        <v>138</v>
      </c>
      <c r="B389" s="1" t="s">
        <v>83</v>
      </c>
      <c r="C389" s="1" t="s">
        <v>82</v>
      </c>
      <c r="D389" s="1" t="s">
        <v>235</v>
      </c>
      <c r="E389" s="1" t="s">
        <v>236</v>
      </c>
      <c r="F389" s="1" t="s">
        <v>126</v>
      </c>
      <c r="G389" s="1" t="s">
        <v>27</v>
      </c>
      <c r="H389" s="1">
        <v>5000</v>
      </c>
      <c r="J389" s="51">
        <v>45196</v>
      </c>
      <c r="L389" s="51">
        <v>45161</v>
      </c>
      <c r="M389" s="1" t="s">
        <v>139</v>
      </c>
      <c r="N389" s="1">
        <v>-5</v>
      </c>
      <c r="O389" s="1">
        <v>23.78</v>
      </c>
      <c r="P389" s="1">
        <v>-594500</v>
      </c>
      <c r="Q389" s="1">
        <v>-12.1</v>
      </c>
      <c r="R389" s="1" t="s">
        <v>83</v>
      </c>
      <c r="T389" s="50">
        <f>IF(ISNUMBER(VLOOKUP(U389,Blotter!B:C,2,0)),VLOOKUP(U389,Blotter!B:C,2,0),"")</f>
        <v>6</v>
      </c>
      <c r="U389" s="49" t="str">
        <f t="shared" si="480"/>
        <v>SIU3</v>
      </c>
      <c r="V389" s="49">
        <f t="shared" si="481"/>
        <v>-5</v>
      </c>
      <c r="W389" s="49">
        <f t="shared" si="482"/>
        <v>23.78</v>
      </c>
      <c r="X389" s="49">
        <f t="shared" si="483"/>
        <v>-12.1</v>
      </c>
    </row>
    <row r="390" spans="1:24" x14ac:dyDescent="0.4">
      <c r="A390" s="1" t="s">
        <v>138</v>
      </c>
      <c r="B390" s="1" t="s">
        <v>83</v>
      </c>
      <c r="C390" s="1" t="s">
        <v>82</v>
      </c>
      <c r="D390" s="1" t="s">
        <v>235</v>
      </c>
      <c r="E390" s="1" t="s">
        <v>236</v>
      </c>
      <c r="F390" s="1" t="s">
        <v>126</v>
      </c>
      <c r="G390" s="1" t="s">
        <v>27</v>
      </c>
      <c r="H390" s="1">
        <v>5000</v>
      </c>
      <c r="J390" s="51">
        <v>45196</v>
      </c>
      <c r="L390" s="51">
        <v>45161</v>
      </c>
      <c r="M390" s="1" t="s">
        <v>139</v>
      </c>
      <c r="N390" s="1">
        <v>-30</v>
      </c>
      <c r="O390" s="1">
        <v>24.335000000000001</v>
      </c>
      <c r="P390" s="1">
        <v>-3650250</v>
      </c>
      <c r="Q390" s="1">
        <v>-72.599999999999994</v>
      </c>
      <c r="R390" s="1" t="s">
        <v>83</v>
      </c>
      <c r="T390" s="50">
        <f>IF(ISNUMBER(VLOOKUP(U390,Blotter!B:C,2,0)),VLOOKUP(U390,Blotter!B:C,2,0),"")</f>
        <v>6</v>
      </c>
      <c r="U390" s="49" t="str">
        <f t="shared" si="480"/>
        <v>SIU3</v>
      </c>
      <c r="V390" s="49">
        <f t="shared" si="481"/>
        <v>-30</v>
      </c>
      <c r="W390" s="49">
        <f t="shared" si="482"/>
        <v>24.335000000000001</v>
      </c>
      <c r="X390" s="49">
        <f t="shared" si="483"/>
        <v>-72.599999999999994</v>
      </c>
    </row>
    <row r="391" spans="1:24" x14ac:dyDescent="0.4">
      <c r="A391" s="1" t="s">
        <v>138</v>
      </c>
      <c r="B391" s="1" t="s">
        <v>83</v>
      </c>
      <c r="C391" s="1" t="s">
        <v>87</v>
      </c>
      <c r="D391" s="1" t="s">
        <v>272</v>
      </c>
      <c r="E391" s="1" t="s">
        <v>273</v>
      </c>
      <c r="F391" s="1" t="s">
        <v>129</v>
      </c>
      <c r="G391" s="1" t="s">
        <v>4</v>
      </c>
      <c r="H391" s="1">
        <v>100</v>
      </c>
      <c r="I391" s="1">
        <v>4300</v>
      </c>
      <c r="J391" s="51">
        <v>45219</v>
      </c>
      <c r="K391" s="1" t="s">
        <v>89</v>
      </c>
      <c r="L391" s="51">
        <v>45162</v>
      </c>
      <c r="M391" s="1" t="s">
        <v>139</v>
      </c>
      <c r="N391" s="1">
        <v>-10</v>
      </c>
      <c r="O391" s="1">
        <v>58.2</v>
      </c>
      <c r="P391" s="1">
        <v>-58200</v>
      </c>
      <c r="Q391" s="1">
        <v>-13.625500000000001</v>
      </c>
      <c r="R391" s="1" t="s">
        <v>83</v>
      </c>
      <c r="T391" s="50">
        <f>IF(ISNUMBER(VLOOKUP(U391,Blotter!B:C,2,0)),VLOOKUP(U391,Blotter!B:C,2,0),"")</f>
        <v>17</v>
      </c>
      <c r="U391" s="49" t="str">
        <f t="shared" si="480"/>
        <v>SPX   231020P04300000</v>
      </c>
      <c r="V391" s="49">
        <f t="shared" si="481"/>
        <v>-10</v>
      </c>
      <c r="W391" s="49">
        <f t="shared" si="482"/>
        <v>58.2</v>
      </c>
      <c r="X391" s="49">
        <f t="shared" si="483"/>
        <v>-13.625500000000001</v>
      </c>
    </row>
    <row r="392" spans="1:24" x14ac:dyDescent="0.4">
      <c r="A392" s="1" t="s">
        <v>138</v>
      </c>
      <c r="B392" s="1" t="s">
        <v>83</v>
      </c>
      <c r="C392" s="1" t="s">
        <v>87</v>
      </c>
      <c r="D392" s="1" t="s">
        <v>270</v>
      </c>
      <c r="E392" s="1" t="s">
        <v>271</v>
      </c>
      <c r="F392" s="1" t="s">
        <v>129</v>
      </c>
      <c r="G392" s="1" t="s">
        <v>4</v>
      </c>
      <c r="H392" s="1">
        <v>100</v>
      </c>
      <c r="I392" s="1">
        <v>4390</v>
      </c>
      <c r="J392" s="51">
        <v>45219</v>
      </c>
      <c r="K392" s="1" t="s">
        <v>89</v>
      </c>
      <c r="L392" s="51">
        <v>45162</v>
      </c>
      <c r="M392" s="1" t="s">
        <v>139</v>
      </c>
      <c r="N392" s="1">
        <v>-10</v>
      </c>
      <c r="O392" s="1">
        <v>67</v>
      </c>
      <c r="P392" s="1">
        <v>-67000</v>
      </c>
      <c r="Q392" s="1">
        <v>-13.625500000000001</v>
      </c>
      <c r="R392" s="1" t="s">
        <v>83</v>
      </c>
      <c r="T392" s="50">
        <f>IF(ISNUMBER(VLOOKUP(U392,Blotter!B:C,2,0)),VLOOKUP(U392,Blotter!B:C,2,0),"")</f>
        <v>17</v>
      </c>
      <c r="U392" s="49" t="str">
        <f t="shared" si="480"/>
        <v>SPX   231020P04390000</v>
      </c>
      <c r="V392" s="49">
        <f t="shared" si="481"/>
        <v>-10</v>
      </c>
      <c r="W392" s="49">
        <f t="shared" si="482"/>
        <v>67</v>
      </c>
      <c r="X392" s="49">
        <f t="shared" si="483"/>
        <v>-13.625500000000001</v>
      </c>
    </row>
    <row r="393" spans="1:24" x14ac:dyDescent="0.4">
      <c r="A393" s="1" t="s">
        <v>138</v>
      </c>
      <c r="B393" s="1" t="s">
        <v>83</v>
      </c>
      <c r="C393" s="1" t="s">
        <v>82</v>
      </c>
      <c r="D393" s="1" t="s">
        <v>257</v>
      </c>
      <c r="E393" s="1" t="s">
        <v>260</v>
      </c>
      <c r="F393" s="1" t="s">
        <v>100</v>
      </c>
      <c r="G393" s="1" t="s">
        <v>32</v>
      </c>
      <c r="H393" s="1">
        <v>112000</v>
      </c>
      <c r="J393" s="51">
        <v>45198</v>
      </c>
      <c r="L393" s="51">
        <v>45162</v>
      </c>
      <c r="M393" s="1" t="s">
        <v>139</v>
      </c>
      <c r="N393" s="1">
        <v>-7</v>
      </c>
      <c r="O393" s="59">
        <v>24.3</v>
      </c>
      <c r="P393" s="1">
        <v>-190512</v>
      </c>
      <c r="Q393" s="1">
        <v>-20.79</v>
      </c>
      <c r="R393" s="1" t="s">
        <v>83</v>
      </c>
      <c r="T393" s="50">
        <f>IF(ISNUMBER(VLOOKUP(U393,Blotter!B:C,2,0)),VLOOKUP(U393,Blotter!B:C,2,0),"")</f>
        <v>14</v>
      </c>
      <c r="U393" s="49" t="str">
        <f t="shared" si="480"/>
        <v>SBV3</v>
      </c>
      <c r="V393" s="49">
        <f t="shared" si="481"/>
        <v>-7</v>
      </c>
      <c r="W393" s="49">
        <f t="shared" si="482"/>
        <v>24.3</v>
      </c>
      <c r="X393" s="49">
        <f t="shared" si="483"/>
        <v>-20.79</v>
      </c>
    </row>
    <row r="394" spans="1:24" x14ac:dyDescent="0.4">
      <c r="A394" s="1" t="s">
        <v>138</v>
      </c>
      <c r="B394" s="1" t="s">
        <v>83</v>
      </c>
      <c r="C394" s="1" t="s">
        <v>82</v>
      </c>
      <c r="D394" s="1" t="s">
        <v>235</v>
      </c>
      <c r="E394" s="1" t="s">
        <v>236</v>
      </c>
      <c r="F394" s="1" t="s">
        <v>126</v>
      </c>
      <c r="G394" s="1" t="s">
        <v>27</v>
      </c>
      <c r="H394" s="1">
        <v>5000</v>
      </c>
      <c r="J394" s="51">
        <v>45196</v>
      </c>
      <c r="L394" s="51">
        <v>45162</v>
      </c>
      <c r="M394" s="1" t="s">
        <v>135</v>
      </c>
      <c r="N394" s="1">
        <v>5</v>
      </c>
      <c r="O394" s="1">
        <v>24.2</v>
      </c>
      <c r="P394" s="1">
        <v>605000</v>
      </c>
      <c r="Q394" s="1">
        <v>-12.1</v>
      </c>
      <c r="R394" s="1" t="s">
        <v>83</v>
      </c>
      <c r="T394" s="50">
        <f>IF(ISNUMBER(VLOOKUP(U394,Blotter!B:C,2,0)),VLOOKUP(U394,Blotter!B:C,2,0),"")</f>
        <v>6</v>
      </c>
      <c r="U394" s="49" t="str">
        <f t="shared" si="480"/>
        <v>SIU3</v>
      </c>
      <c r="V394" s="49">
        <f t="shared" si="481"/>
        <v>5</v>
      </c>
      <c r="W394" s="49">
        <f t="shared" si="482"/>
        <v>24.2</v>
      </c>
      <c r="X394" s="49">
        <f t="shared" si="483"/>
        <v>-12.1</v>
      </c>
    </row>
    <row r="395" spans="1:24" x14ac:dyDescent="0.4">
      <c r="A395" s="1" t="s">
        <v>138</v>
      </c>
      <c r="B395" s="1" t="s">
        <v>83</v>
      </c>
      <c r="C395" s="1" t="s">
        <v>82</v>
      </c>
      <c r="D395" s="1" t="s">
        <v>235</v>
      </c>
      <c r="E395" s="1" t="s">
        <v>236</v>
      </c>
      <c r="F395" s="1" t="s">
        <v>126</v>
      </c>
      <c r="G395" s="1" t="s">
        <v>27</v>
      </c>
      <c r="H395" s="1">
        <v>5000</v>
      </c>
      <c r="J395" s="51">
        <v>45196</v>
      </c>
      <c r="L395" s="51">
        <v>45162</v>
      </c>
      <c r="M395" s="1" t="s">
        <v>135</v>
      </c>
      <c r="N395" s="1">
        <v>5</v>
      </c>
      <c r="O395" s="1">
        <v>24.22</v>
      </c>
      <c r="P395" s="1">
        <v>605500</v>
      </c>
      <c r="Q395" s="1">
        <v>-12.1</v>
      </c>
      <c r="R395" s="1" t="s">
        <v>83</v>
      </c>
      <c r="T395" s="50">
        <f>IF(ISNUMBER(VLOOKUP(U395,Blotter!B:C,2,0)),VLOOKUP(U395,Blotter!B:C,2,0),"")</f>
        <v>6</v>
      </c>
      <c r="U395" s="49" t="str">
        <f t="shared" si="480"/>
        <v>SIU3</v>
      </c>
      <c r="V395" s="49">
        <f t="shared" si="481"/>
        <v>5</v>
      </c>
      <c r="W395" s="49">
        <f t="shared" si="482"/>
        <v>24.22</v>
      </c>
      <c r="X395" s="49">
        <f t="shared" si="483"/>
        <v>-12.1</v>
      </c>
    </row>
    <row r="396" spans="1:24" x14ac:dyDescent="0.4">
      <c r="A396" s="1" t="s">
        <v>138</v>
      </c>
      <c r="B396" s="1" t="s">
        <v>83</v>
      </c>
      <c r="C396" s="1" t="s">
        <v>82</v>
      </c>
      <c r="D396" s="1" t="s">
        <v>235</v>
      </c>
      <c r="E396" s="1" t="s">
        <v>236</v>
      </c>
      <c r="F396" s="1" t="s">
        <v>126</v>
      </c>
      <c r="G396" s="1" t="s">
        <v>27</v>
      </c>
      <c r="H396" s="1">
        <v>5000</v>
      </c>
      <c r="J396" s="51">
        <v>45196</v>
      </c>
      <c r="L396" s="51">
        <v>45162</v>
      </c>
      <c r="M396" s="1" t="s">
        <v>135</v>
      </c>
      <c r="N396" s="1">
        <v>20</v>
      </c>
      <c r="O396" s="1">
        <v>24.22</v>
      </c>
      <c r="P396" s="1">
        <v>2422000</v>
      </c>
      <c r="Q396" s="1">
        <v>-48.4</v>
      </c>
      <c r="R396" s="1" t="s">
        <v>83</v>
      </c>
      <c r="T396" s="50">
        <f>IF(ISNUMBER(VLOOKUP(U396,Blotter!B:C,2,0)),VLOOKUP(U396,Blotter!B:C,2,0),"")</f>
        <v>6</v>
      </c>
      <c r="U396" s="49" t="str">
        <f t="shared" si="480"/>
        <v>SIU3</v>
      </c>
      <c r="V396" s="49">
        <f t="shared" si="481"/>
        <v>20</v>
      </c>
      <c r="W396" s="49">
        <f t="shared" si="482"/>
        <v>24.22</v>
      </c>
      <c r="X396" s="49">
        <f t="shared" si="483"/>
        <v>-48.4</v>
      </c>
    </row>
    <row r="397" spans="1:24" x14ac:dyDescent="0.4">
      <c r="A397" s="1" t="s">
        <v>138</v>
      </c>
      <c r="B397" s="1" t="s">
        <v>83</v>
      </c>
      <c r="C397" s="1" t="s">
        <v>82</v>
      </c>
      <c r="D397" s="1" t="s">
        <v>235</v>
      </c>
      <c r="E397" s="1" t="s">
        <v>236</v>
      </c>
      <c r="F397" s="1" t="s">
        <v>126</v>
      </c>
      <c r="G397" s="1" t="s">
        <v>27</v>
      </c>
      <c r="H397" s="1">
        <v>5000</v>
      </c>
      <c r="J397" s="51">
        <v>45196</v>
      </c>
      <c r="L397" s="51">
        <v>45162</v>
      </c>
      <c r="M397" s="1" t="s">
        <v>135</v>
      </c>
      <c r="N397" s="1">
        <v>5</v>
      </c>
      <c r="O397" s="1">
        <v>24.32</v>
      </c>
      <c r="P397" s="1">
        <v>608000</v>
      </c>
      <c r="Q397" s="1">
        <v>-12.1</v>
      </c>
      <c r="R397" s="1" t="s">
        <v>83</v>
      </c>
      <c r="T397" s="50">
        <f>IF(ISNUMBER(VLOOKUP(U397,Blotter!B:C,2,0)),VLOOKUP(U397,Blotter!B:C,2,0),"")</f>
        <v>6</v>
      </c>
      <c r="U397" s="49" t="str">
        <f t="shared" si="480"/>
        <v>SIU3</v>
      </c>
      <c r="V397" s="49">
        <f t="shared" si="481"/>
        <v>5</v>
      </c>
      <c r="W397" s="49">
        <f t="shared" si="482"/>
        <v>24.32</v>
      </c>
      <c r="X397" s="49">
        <f t="shared" si="483"/>
        <v>-12.1</v>
      </c>
    </row>
    <row r="398" spans="1:24" x14ac:dyDescent="0.4">
      <c r="A398" s="1" t="s">
        <v>138</v>
      </c>
      <c r="B398" s="1" t="s">
        <v>83</v>
      </c>
      <c r="C398" s="1" t="s">
        <v>82</v>
      </c>
      <c r="D398" s="1" t="s">
        <v>235</v>
      </c>
      <c r="E398" s="1" t="s">
        <v>236</v>
      </c>
      <c r="F398" s="1" t="s">
        <v>126</v>
      </c>
      <c r="G398" s="1" t="s">
        <v>27</v>
      </c>
      <c r="H398" s="1">
        <v>5000</v>
      </c>
      <c r="J398" s="51">
        <v>45196</v>
      </c>
      <c r="L398" s="51">
        <v>45162</v>
      </c>
      <c r="M398" s="1" t="s">
        <v>135</v>
      </c>
      <c r="N398" s="1">
        <v>20</v>
      </c>
      <c r="O398" s="1">
        <v>24.18</v>
      </c>
      <c r="P398" s="1">
        <v>2418000</v>
      </c>
      <c r="Q398" s="1">
        <v>-48.4</v>
      </c>
      <c r="R398" s="1" t="s">
        <v>83</v>
      </c>
      <c r="T398" s="50">
        <f>IF(ISNUMBER(VLOOKUP(U398,Blotter!B:C,2,0)),VLOOKUP(U398,Blotter!B:C,2,0),"")</f>
        <v>6</v>
      </c>
      <c r="U398" s="49" t="str">
        <f t="shared" si="480"/>
        <v>SIU3</v>
      </c>
      <c r="V398" s="49">
        <f t="shared" si="481"/>
        <v>20</v>
      </c>
      <c r="W398" s="49">
        <f t="shared" si="482"/>
        <v>24.18</v>
      </c>
      <c r="X398" s="49">
        <f t="shared" si="483"/>
        <v>-48.4</v>
      </c>
    </row>
    <row r="399" spans="1:24" x14ac:dyDescent="0.4">
      <c r="A399" s="1" t="s">
        <v>138</v>
      </c>
      <c r="B399" s="1" t="s">
        <v>83</v>
      </c>
      <c r="C399" s="1" t="s">
        <v>82</v>
      </c>
      <c r="D399" s="1" t="s">
        <v>235</v>
      </c>
      <c r="E399" s="1" t="s">
        <v>236</v>
      </c>
      <c r="F399" s="1" t="s">
        <v>126</v>
      </c>
      <c r="G399" s="1" t="s">
        <v>27</v>
      </c>
      <c r="H399" s="1">
        <v>5000</v>
      </c>
      <c r="J399" s="51">
        <v>45196</v>
      </c>
      <c r="L399" s="51">
        <v>45162</v>
      </c>
      <c r="M399" s="1" t="s">
        <v>139</v>
      </c>
      <c r="N399" s="1">
        <v>-5</v>
      </c>
      <c r="O399" s="1">
        <v>24.225000000000001</v>
      </c>
      <c r="P399" s="1">
        <v>-605625</v>
      </c>
      <c r="Q399" s="1">
        <v>-12.1</v>
      </c>
      <c r="R399" s="1" t="s">
        <v>83</v>
      </c>
      <c r="T399" s="50">
        <f>IF(ISNUMBER(VLOOKUP(U399,Blotter!B:C,2,0)),VLOOKUP(U399,Blotter!B:C,2,0),"")</f>
        <v>6</v>
      </c>
      <c r="U399" s="49" t="str">
        <f t="shared" si="480"/>
        <v>SIU3</v>
      </c>
      <c r="V399" s="49">
        <f t="shared" si="481"/>
        <v>-5</v>
      </c>
      <c r="W399" s="49">
        <f t="shared" si="482"/>
        <v>24.225000000000001</v>
      </c>
      <c r="X399" s="49">
        <f t="shared" si="483"/>
        <v>-12.1</v>
      </c>
    </row>
    <row r="400" spans="1:24" x14ac:dyDescent="0.4">
      <c r="A400" s="1" t="s">
        <v>138</v>
      </c>
      <c r="B400" s="1" t="s">
        <v>83</v>
      </c>
      <c r="C400" s="1" t="s">
        <v>82</v>
      </c>
      <c r="D400" s="1" t="s">
        <v>235</v>
      </c>
      <c r="E400" s="1" t="s">
        <v>236</v>
      </c>
      <c r="F400" s="1" t="s">
        <v>126</v>
      </c>
      <c r="G400" s="1" t="s">
        <v>27</v>
      </c>
      <c r="H400" s="1">
        <v>5000</v>
      </c>
      <c r="J400" s="51">
        <v>45196</v>
      </c>
      <c r="L400" s="51">
        <v>45162</v>
      </c>
      <c r="M400" s="1" t="s">
        <v>139</v>
      </c>
      <c r="N400" s="1">
        <v>-5</v>
      </c>
      <c r="O400" s="1">
        <v>24.32</v>
      </c>
      <c r="P400" s="1">
        <v>-608000</v>
      </c>
      <c r="Q400" s="1">
        <v>-12.1</v>
      </c>
      <c r="R400" s="1" t="s">
        <v>83</v>
      </c>
      <c r="T400" s="50">
        <f>IF(ISNUMBER(VLOOKUP(U400,Blotter!B:C,2,0)),VLOOKUP(U400,Blotter!B:C,2,0),"")</f>
        <v>6</v>
      </c>
      <c r="U400" s="49" t="str">
        <f t="shared" si="480"/>
        <v>SIU3</v>
      </c>
      <c r="V400" s="49">
        <f t="shared" si="481"/>
        <v>-5</v>
      </c>
      <c r="W400" s="49">
        <f t="shared" si="482"/>
        <v>24.32</v>
      </c>
      <c r="X400" s="49">
        <f t="shared" si="483"/>
        <v>-12.1</v>
      </c>
    </row>
    <row r="401" spans="1:24" x14ac:dyDescent="0.4">
      <c r="A401" s="1" t="s">
        <v>138</v>
      </c>
      <c r="B401" s="1" t="s">
        <v>83</v>
      </c>
      <c r="C401" s="1" t="s">
        <v>82</v>
      </c>
      <c r="D401" s="1" t="s">
        <v>235</v>
      </c>
      <c r="E401" s="1" t="s">
        <v>236</v>
      </c>
      <c r="F401" s="1" t="s">
        <v>126</v>
      </c>
      <c r="G401" s="1" t="s">
        <v>27</v>
      </c>
      <c r="H401" s="1">
        <v>5000</v>
      </c>
      <c r="J401" s="51">
        <v>45196</v>
      </c>
      <c r="L401" s="51">
        <v>45162</v>
      </c>
      <c r="M401" s="1" t="s">
        <v>139</v>
      </c>
      <c r="N401" s="1">
        <v>-8</v>
      </c>
      <c r="O401" s="1">
        <v>24.32</v>
      </c>
      <c r="P401" s="1">
        <v>-972800</v>
      </c>
      <c r="Q401" s="1">
        <v>-19.36</v>
      </c>
      <c r="R401" s="1" t="s">
        <v>83</v>
      </c>
      <c r="T401" s="50">
        <f>IF(ISNUMBER(VLOOKUP(U401,Blotter!B:C,2,0)),VLOOKUP(U401,Blotter!B:C,2,0),"")</f>
        <v>6</v>
      </c>
      <c r="U401" s="49" t="str">
        <f t="shared" si="480"/>
        <v>SIU3</v>
      </c>
      <c r="V401" s="49">
        <f t="shared" si="481"/>
        <v>-8</v>
      </c>
      <c r="W401" s="49">
        <f t="shared" si="482"/>
        <v>24.32</v>
      </c>
      <c r="X401" s="49">
        <f t="shared" si="483"/>
        <v>-19.36</v>
      </c>
    </row>
    <row r="402" spans="1:24" x14ac:dyDescent="0.4">
      <c r="A402" s="1" t="s">
        <v>138</v>
      </c>
      <c r="B402" s="1" t="s">
        <v>83</v>
      </c>
      <c r="C402" s="1" t="s">
        <v>82</v>
      </c>
      <c r="D402" s="1" t="s">
        <v>235</v>
      </c>
      <c r="E402" s="1" t="s">
        <v>236</v>
      </c>
      <c r="F402" s="1" t="s">
        <v>126</v>
      </c>
      <c r="G402" s="1" t="s">
        <v>27</v>
      </c>
      <c r="H402" s="1">
        <v>5000</v>
      </c>
      <c r="J402" s="51">
        <v>45196</v>
      </c>
      <c r="L402" s="51">
        <v>45162</v>
      </c>
      <c r="M402" s="1" t="s">
        <v>139</v>
      </c>
      <c r="N402" s="1">
        <v>-7</v>
      </c>
      <c r="O402" s="1">
        <v>24.32</v>
      </c>
      <c r="P402" s="1">
        <v>-851200</v>
      </c>
      <c r="Q402" s="1">
        <v>-16.940000000000001</v>
      </c>
      <c r="R402" s="1" t="s">
        <v>83</v>
      </c>
      <c r="T402" s="50">
        <f>IF(ISNUMBER(VLOOKUP(U402,Blotter!B:C,2,0)),VLOOKUP(U402,Blotter!B:C,2,0),"")</f>
        <v>6</v>
      </c>
      <c r="U402" s="49" t="str">
        <f t="shared" si="480"/>
        <v>SIU3</v>
      </c>
      <c r="V402" s="49">
        <f t="shared" si="481"/>
        <v>-7</v>
      </c>
      <c r="W402" s="49">
        <f t="shared" si="482"/>
        <v>24.32</v>
      </c>
      <c r="X402" s="49">
        <f t="shared" si="483"/>
        <v>-16.940000000000001</v>
      </c>
    </row>
    <row r="403" spans="1:24" x14ac:dyDescent="0.4">
      <c r="A403" s="1" t="s">
        <v>138</v>
      </c>
      <c r="B403" s="1" t="s">
        <v>83</v>
      </c>
      <c r="C403" s="1" t="s">
        <v>82</v>
      </c>
      <c r="D403" s="1" t="s">
        <v>235</v>
      </c>
      <c r="E403" s="1" t="s">
        <v>236</v>
      </c>
      <c r="F403" s="1" t="s">
        <v>126</v>
      </c>
      <c r="G403" s="1" t="s">
        <v>27</v>
      </c>
      <c r="H403" s="1">
        <v>5000</v>
      </c>
      <c r="J403" s="51">
        <v>45196</v>
      </c>
      <c r="L403" s="51">
        <v>45162</v>
      </c>
      <c r="M403" s="1" t="s">
        <v>139</v>
      </c>
      <c r="N403" s="1">
        <v>-5</v>
      </c>
      <c r="O403" s="1">
        <v>24.38</v>
      </c>
      <c r="P403" s="1">
        <v>-609500</v>
      </c>
      <c r="Q403" s="1">
        <v>-12.1</v>
      </c>
      <c r="R403" s="1" t="s">
        <v>83</v>
      </c>
      <c r="T403" s="50">
        <f>IF(ISNUMBER(VLOOKUP(U403,Blotter!B:C,2,0)),VLOOKUP(U403,Blotter!B:C,2,0),"")</f>
        <v>6</v>
      </c>
      <c r="U403" s="49" t="str">
        <f t="shared" si="480"/>
        <v>SIU3</v>
      </c>
      <c r="V403" s="49">
        <f t="shared" si="481"/>
        <v>-5</v>
      </c>
      <c r="W403" s="49">
        <f t="shared" si="482"/>
        <v>24.38</v>
      </c>
      <c r="X403" s="49">
        <f t="shared" si="483"/>
        <v>-12.1</v>
      </c>
    </row>
    <row r="404" spans="1:24" x14ac:dyDescent="0.4">
      <c r="A404" s="1" t="s">
        <v>138</v>
      </c>
      <c r="B404" s="1" t="s">
        <v>83</v>
      </c>
      <c r="C404" s="1" t="s">
        <v>87</v>
      </c>
      <c r="D404" s="1" t="s">
        <v>272</v>
      </c>
      <c r="E404" s="1" t="s">
        <v>273</v>
      </c>
      <c r="F404" s="1" t="s">
        <v>129</v>
      </c>
      <c r="G404" s="1" t="s">
        <v>4</v>
      </c>
      <c r="H404" s="1">
        <v>100</v>
      </c>
      <c r="I404" s="1">
        <v>4300</v>
      </c>
      <c r="J404" s="51">
        <v>45219</v>
      </c>
      <c r="K404" s="1" t="s">
        <v>89</v>
      </c>
      <c r="L404" s="51">
        <v>45163</v>
      </c>
      <c r="M404" s="1" t="s">
        <v>135</v>
      </c>
      <c r="N404" s="1">
        <v>10</v>
      </c>
      <c r="O404" s="1">
        <v>65</v>
      </c>
      <c r="P404" s="1">
        <v>65000</v>
      </c>
      <c r="Q404" s="1">
        <v>-13.625500000000001</v>
      </c>
      <c r="R404" s="1" t="s">
        <v>83</v>
      </c>
      <c r="T404" s="50">
        <f>IF(ISNUMBER(VLOOKUP(U404,Blotter!B:C,2,0)),VLOOKUP(U404,Blotter!B:C,2,0),"")</f>
        <v>17</v>
      </c>
      <c r="U404" s="49" t="str">
        <f t="shared" ref="U404:U411" si="484">D404</f>
        <v>SPX   231020P04300000</v>
      </c>
      <c r="V404" s="49">
        <f t="shared" ref="V404:V411" si="485">N404</f>
        <v>10</v>
      </c>
      <c r="W404" s="49">
        <f t="shared" ref="W404:W411" si="486">O404</f>
        <v>65</v>
      </c>
      <c r="X404" s="49">
        <f t="shared" ref="X404:X411" si="487">Q404</f>
        <v>-13.625500000000001</v>
      </c>
    </row>
    <row r="405" spans="1:24" x14ac:dyDescent="0.4">
      <c r="A405" s="1" t="s">
        <v>138</v>
      </c>
      <c r="B405" s="1" t="s">
        <v>83</v>
      </c>
      <c r="C405" s="1" t="s">
        <v>87</v>
      </c>
      <c r="D405" s="1" t="s">
        <v>270</v>
      </c>
      <c r="E405" s="1" t="s">
        <v>271</v>
      </c>
      <c r="F405" s="1" t="s">
        <v>129</v>
      </c>
      <c r="G405" s="1" t="s">
        <v>4</v>
      </c>
      <c r="H405" s="1">
        <v>100</v>
      </c>
      <c r="I405" s="1">
        <v>4390</v>
      </c>
      <c r="J405" s="51">
        <v>45219</v>
      </c>
      <c r="K405" s="1" t="s">
        <v>89</v>
      </c>
      <c r="L405" s="51">
        <v>45163</v>
      </c>
      <c r="M405" s="1" t="s">
        <v>135</v>
      </c>
      <c r="N405" s="1">
        <v>10</v>
      </c>
      <c r="O405" s="1">
        <v>86</v>
      </c>
      <c r="P405" s="1">
        <v>86000</v>
      </c>
      <c r="Q405" s="1">
        <v>-13.625500000000001</v>
      </c>
      <c r="R405" s="1" t="s">
        <v>83</v>
      </c>
      <c r="T405" s="50">
        <f>IF(ISNUMBER(VLOOKUP(U405,Blotter!B:C,2,0)),VLOOKUP(U405,Blotter!B:C,2,0),"")</f>
        <v>17</v>
      </c>
      <c r="U405" s="49" t="str">
        <f t="shared" si="484"/>
        <v>SPX   231020P04390000</v>
      </c>
      <c r="V405" s="49">
        <f t="shared" si="485"/>
        <v>10</v>
      </c>
      <c r="W405" s="49">
        <f t="shared" si="486"/>
        <v>86</v>
      </c>
      <c r="X405" s="49">
        <f t="shared" si="487"/>
        <v>-13.625500000000001</v>
      </c>
    </row>
    <row r="406" spans="1:24" x14ac:dyDescent="0.4">
      <c r="A406" s="1" t="s">
        <v>138</v>
      </c>
      <c r="B406" s="1" t="s">
        <v>83</v>
      </c>
      <c r="C406" s="1" t="s">
        <v>87</v>
      </c>
      <c r="D406" s="1" t="s">
        <v>270</v>
      </c>
      <c r="E406" s="1" t="s">
        <v>271</v>
      </c>
      <c r="F406" s="1" t="s">
        <v>129</v>
      </c>
      <c r="G406" s="1" t="s">
        <v>4</v>
      </c>
      <c r="H406" s="1">
        <v>100</v>
      </c>
      <c r="I406" s="1">
        <v>4390</v>
      </c>
      <c r="J406" s="51">
        <v>45219</v>
      </c>
      <c r="K406" s="1" t="s">
        <v>89</v>
      </c>
      <c r="L406" s="51">
        <v>45163</v>
      </c>
      <c r="M406" s="1" t="s">
        <v>139</v>
      </c>
      <c r="N406" s="1">
        <v>-10</v>
      </c>
      <c r="O406" s="1">
        <v>96</v>
      </c>
      <c r="P406" s="1">
        <v>-96000</v>
      </c>
      <c r="Q406" s="1">
        <v>-13.625500000000001</v>
      </c>
      <c r="R406" s="1" t="s">
        <v>83</v>
      </c>
      <c r="T406" s="50">
        <f>IF(ISNUMBER(VLOOKUP(U406,Blotter!B:C,2,0)),VLOOKUP(U406,Blotter!B:C,2,0),"")</f>
        <v>17</v>
      </c>
      <c r="U406" s="49" t="str">
        <f t="shared" si="484"/>
        <v>SPX   231020P04390000</v>
      </c>
      <c r="V406" s="49">
        <f t="shared" si="485"/>
        <v>-10</v>
      </c>
      <c r="W406" s="49">
        <f t="shared" si="486"/>
        <v>96</v>
      </c>
      <c r="X406" s="49">
        <f t="shared" si="487"/>
        <v>-13.625500000000001</v>
      </c>
    </row>
    <row r="407" spans="1:24" x14ac:dyDescent="0.4">
      <c r="A407" s="1" t="s">
        <v>138</v>
      </c>
      <c r="B407" s="1" t="s">
        <v>83</v>
      </c>
      <c r="C407" s="1" t="s">
        <v>82</v>
      </c>
      <c r="D407" s="1" t="s">
        <v>235</v>
      </c>
      <c r="E407" s="1" t="s">
        <v>236</v>
      </c>
      <c r="F407" s="1" t="s">
        <v>126</v>
      </c>
      <c r="G407" s="1" t="s">
        <v>27</v>
      </c>
      <c r="H407" s="1">
        <v>5000</v>
      </c>
      <c r="J407" s="51">
        <v>45196</v>
      </c>
      <c r="L407" s="51">
        <v>45163</v>
      </c>
      <c r="M407" s="1" t="s">
        <v>135</v>
      </c>
      <c r="N407" s="1">
        <v>1</v>
      </c>
      <c r="O407" s="1">
        <v>24.16</v>
      </c>
      <c r="P407" s="1">
        <v>120800</v>
      </c>
      <c r="Q407" s="1">
        <v>-2.42</v>
      </c>
      <c r="R407" s="1" t="s">
        <v>83</v>
      </c>
      <c r="T407" s="50">
        <f>IF(ISNUMBER(VLOOKUP(U407,Blotter!B:C,2,0)),VLOOKUP(U407,Blotter!B:C,2,0),"")</f>
        <v>6</v>
      </c>
      <c r="U407" s="49" t="str">
        <f t="shared" si="484"/>
        <v>SIU3</v>
      </c>
      <c r="V407" s="49">
        <f t="shared" si="485"/>
        <v>1</v>
      </c>
      <c r="W407" s="49">
        <f t="shared" si="486"/>
        <v>24.16</v>
      </c>
      <c r="X407" s="49">
        <f t="shared" si="487"/>
        <v>-2.42</v>
      </c>
    </row>
    <row r="408" spans="1:24" x14ac:dyDescent="0.4">
      <c r="A408" s="1" t="s">
        <v>138</v>
      </c>
      <c r="B408" s="1" t="s">
        <v>83</v>
      </c>
      <c r="C408" s="1" t="s">
        <v>82</v>
      </c>
      <c r="D408" s="1" t="s">
        <v>235</v>
      </c>
      <c r="E408" s="1" t="s">
        <v>236</v>
      </c>
      <c r="F408" s="1" t="s">
        <v>126</v>
      </c>
      <c r="G408" s="1" t="s">
        <v>27</v>
      </c>
      <c r="H408" s="1">
        <v>5000</v>
      </c>
      <c r="J408" s="51">
        <v>45196</v>
      </c>
      <c r="L408" s="51">
        <v>45163</v>
      </c>
      <c r="M408" s="1" t="s">
        <v>135</v>
      </c>
      <c r="N408" s="1">
        <v>1</v>
      </c>
      <c r="O408" s="1">
        <v>24.16</v>
      </c>
      <c r="P408" s="1">
        <v>120800</v>
      </c>
      <c r="Q408" s="1">
        <v>-2.42</v>
      </c>
      <c r="R408" s="1" t="s">
        <v>83</v>
      </c>
      <c r="T408" s="50">
        <f>IF(ISNUMBER(VLOOKUP(U408,Blotter!B:C,2,0)),VLOOKUP(U408,Blotter!B:C,2,0),"")</f>
        <v>6</v>
      </c>
      <c r="U408" s="49" t="str">
        <f t="shared" si="484"/>
        <v>SIU3</v>
      </c>
      <c r="V408" s="49">
        <f t="shared" si="485"/>
        <v>1</v>
      </c>
      <c r="W408" s="49">
        <f t="shared" si="486"/>
        <v>24.16</v>
      </c>
      <c r="X408" s="49">
        <f t="shared" si="487"/>
        <v>-2.42</v>
      </c>
    </row>
    <row r="409" spans="1:24" x14ac:dyDescent="0.4">
      <c r="A409" s="1" t="s">
        <v>138</v>
      </c>
      <c r="B409" s="1" t="s">
        <v>83</v>
      </c>
      <c r="C409" s="1" t="s">
        <v>82</v>
      </c>
      <c r="D409" s="1" t="s">
        <v>235</v>
      </c>
      <c r="E409" s="1" t="s">
        <v>236</v>
      </c>
      <c r="F409" s="1" t="s">
        <v>126</v>
      </c>
      <c r="G409" s="1" t="s">
        <v>27</v>
      </c>
      <c r="H409" s="1">
        <v>5000</v>
      </c>
      <c r="J409" s="51">
        <v>45196</v>
      </c>
      <c r="L409" s="51">
        <v>45163</v>
      </c>
      <c r="M409" s="1" t="s">
        <v>135</v>
      </c>
      <c r="N409" s="1">
        <v>1</v>
      </c>
      <c r="O409" s="1">
        <v>24.16</v>
      </c>
      <c r="P409" s="1">
        <v>120800</v>
      </c>
      <c r="Q409" s="1">
        <v>-2.42</v>
      </c>
      <c r="R409" s="1" t="s">
        <v>83</v>
      </c>
      <c r="T409" s="50">
        <f>IF(ISNUMBER(VLOOKUP(U409,Blotter!B:C,2,0)),VLOOKUP(U409,Blotter!B:C,2,0),"")</f>
        <v>6</v>
      </c>
      <c r="U409" s="49" t="str">
        <f t="shared" si="484"/>
        <v>SIU3</v>
      </c>
      <c r="V409" s="49">
        <f t="shared" si="485"/>
        <v>1</v>
      </c>
      <c r="W409" s="49">
        <f t="shared" si="486"/>
        <v>24.16</v>
      </c>
      <c r="X409" s="49">
        <f t="shared" si="487"/>
        <v>-2.42</v>
      </c>
    </row>
    <row r="410" spans="1:24" x14ac:dyDescent="0.4">
      <c r="A410" s="1" t="s">
        <v>138</v>
      </c>
      <c r="B410" s="1" t="s">
        <v>83</v>
      </c>
      <c r="C410" s="1" t="s">
        <v>82</v>
      </c>
      <c r="D410" s="1" t="s">
        <v>235</v>
      </c>
      <c r="E410" s="1" t="s">
        <v>236</v>
      </c>
      <c r="F410" s="1" t="s">
        <v>126</v>
      </c>
      <c r="G410" s="1" t="s">
        <v>27</v>
      </c>
      <c r="H410" s="1">
        <v>5000</v>
      </c>
      <c r="J410" s="51">
        <v>45196</v>
      </c>
      <c r="L410" s="51">
        <v>45163</v>
      </c>
      <c r="M410" s="1" t="s">
        <v>135</v>
      </c>
      <c r="N410" s="1">
        <v>7</v>
      </c>
      <c r="O410" s="1">
        <v>24.16</v>
      </c>
      <c r="P410" s="1">
        <v>845600</v>
      </c>
      <c r="Q410" s="1">
        <v>-16.940000000000001</v>
      </c>
      <c r="R410" s="1" t="s">
        <v>83</v>
      </c>
      <c r="T410" s="50">
        <f>IF(ISNUMBER(VLOOKUP(U410,Blotter!B:C,2,0)),VLOOKUP(U410,Blotter!B:C,2,0),"")</f>
        <v>6</v>
      </c>
      <c r="U410" s="49" t="str">
        <f t="shared" si="484"/>
        <v>SIU3</v>
      </c>
      <c r="V410" s="49">
        <f t="shared" si="485"/>
        <v>7</v>
      </c>
      <c r="W410" s="49">
        <f t="shared" si="486"/>
        <v>24.16</v>
      </c>
      <c r="X410" s="49">
        <f t="shared" si="487"/>
        <v>-16.940000000000001</v>
      </c>
    </row>
    <row r="411" spans="1:24" x14ac:dyDescent="0.4">
      <c r="A411" s="1" t="s">
        <v>138</v>
      </c>
      <c r="B411" s="1" t="s">
        <v>83</v>
      </c>
      <c r="C411" s="1" t="s">
        <v>82</v>
      </c>
      <c r="D411" s="1" t="s">
        <v>235</v>
      </c>
      <c r="E411" s="1" t="s">
        <v>236</v>
      </c>
      <c r="F411" s="1" t="s">
        <v>126</v>
      </c>
      <c r="G411" s="1" t="s">
        <v>27</v>
      </c>
      <c r="H411" s="1">
        <v>5000</v>
      </c>
      <c r="J411" s="51">
        <v>45196</v>
      </c>
      <c r="L411" s="51">
        <v>45163</v>
      </c>
      <c r="M411" s="1" t="s">
        <v>135</v>
      </c>
      <c r="N411" s="1">
        <v>1</v>
      </c>
      <c r="O411" s="1">
        <v>24.3</v>
      </c>
      <c r="P411" s="1">
        <v>121500</v>
      </c>
      <c r="Q411" s="1">
        <v>-2.42</v>
      </c>
      <c r="R411" s="1" t="s">
        <v>83</v>
      </c>
      <c r="T411" s="50">
        <f>IF(ISNUMBER(VLOOKUP(U411,Blotter!B:C,2,0)),VLOOKUP(U411,Blotter!B:C,2,0),"")</f>
        <v>6</v>
      </c>
      <c r="U411" s="49" t="str">
        <f t="shared" si="484"/>
        <v>SIU3</v>
      </c>
      <c r="V411" s="49">
        <f t="shared" si="485"/>
        <v>1</v>
      </c>
      <c r="W411" s="49">
        <f t="shared" si="486"/>
        <v>24.3</v>
      </c>
      <c r="X411" s="49">
        <f t="shared" si="487"/>
        <v>-2.42</v>
      </c>
    </row>
    <row r="412" spans="1:24" x14ac:dyDescent="0.4">
      <c r="A412" s="1" t="s">
        <v>138</v>
      </c>
      <c r="B412" s="1" t="s">
        <v>83</v>
      </c>
      <c r="C412" s="1" t="s">
        <v>82</v>
      </c>
      <c r="D412" s="1" t="s">
        <v>235</v>
      </c>
      <c r="E412" s="1" t="s">
        <v>236</v>
      </c>
      <c r="F412" s="1" t="s">
        <v>126</v>
      </c>
      <c r="G412" s="1" t="s">
        <v>27</v>
      </c>
      <c r="H412" s="1">
        <v>5000</v>
      </c>
      <c r="J412" s="51">
        <v>45196</v>
      </c>
      <c r="L412" s="51">
        <v>45163</v>
      </c>
      <c r="M412" s="1" t="s">
        <v>135</v>
      </c>
      <c r="N412" s="1">
        <v>3</v>
      </c>
      <c r="O412" s="1">
        <v>24.3</v>
      </c>
      <c r="P412" s="1">
        <v>364500</v>
      </c>
      <c r="Q412" s="1">
        <v>-7.26</v>
      </c>
      <c r="R412" s="1" t="s">
        <v>83</v>
      </c>
      <c r="T412" s="50">
        <f>IF(ISNUMBER(VLOOKUP(U412,Blotter!B:C,2,0)),VLOOKUP(U412,Blotter!B:C,2,0),"")</f>
        <v>6</v>
      </c>
      <c r="U412" s="49" t="str">
        <f t="shared" ref="U412:U414" si="488">D412</f>
        <v>SIU3</v>
      </c>
      <c r="V412" s="49">
        <f t="shared" ref="V412:V414" si="489">N412</f>
        <v>3</v>
      </c>
      <c r="W412" s="49">
        <f t="shared" ref="W412:W414" si="490">O412</f>
        <v>24.3</v>
      </c>
      <c r="X412" s="49">
        <f t="shared" ref="X412:X414" si="491">Q412</f>
        <v>-7.26</v>
      </c>
    </row>
    <row r="413" spans="1:24" x14ac:dyDescent="0.4">
      <c r="A413" s="1" t="s">
        <v>138</v>
      </c>
      <c r="B413" s="1" t="s">
        <v>83</v>
      </c>
      <c r="C413" s="1" t="s">
        <v>82</v>
      </c>
      <c r="D413" s="1" t="s">
        <v>235</v>
      </c>
      <c r="E413" s="1" t="s">
        <v>236</v>
      </c>
      <c r="F413" s="1" t="s">
        <v>126</v>
      </c>
      <c r="G413" s="1" t="s">
        <v>27</v>
      </c>
      <c r="H413" s="1">
        <v>5000</v>
      </c>
      <c r="J413" s="51">
        <v>45196</v>
      </c>
      <c r="L413" s="51">
        <v>45163</v>
      </c>
      <c r="M413" s="1" t="s">
        <v>135</v>
      </c>
      <c r="N413" s="1">
        <v>1</v>
      </c>
      <c r="O413" s="1">
        <v>24.3</v>
      </c>
      <c r="P413" s="1">
        <v>121500</v>
      </c>
      <c r="Q413" s="1">
        <v>-2.42</v>
      </c>
      <c r="R413" s="1" t="s">
        <v>83</v>
      </c>
      <c r="T413" s="50">
        <f>IF(ISNUMBER(VLOOKUP(U413,Blotter!B:C,2,0)),VLOOKUP(U413,Blotter!B:C,2,0),"")</f>
        <v>6</v>
      </c>
      <c r="U413" s="49" t="str">
        <f t="shared" si="488"/>
        <v>SIU3</v>
      </c>
      <c r="V413" s="49">
        <f t="shared" si="489"/>
        <v>1</v>
      </c>
      <c r="W413" s="49">
        <f t="shared" si="490"/>
        <v>24.3</v>
      </c>
      <c r="X413" s="49">
        <f t="shared" si="491"/>
        <v>-2.42</v>
      </c>
    </row>
    <row r="414" spans="1:24" x14ac:dyDescent="0.4">
      <c r="A414" s="1" t="s">
        <v>138</v>
      </c>
      <c r="B414" s="1" t="s">
        <v>83</v>
      </c>
      <c r="C414" s="1" t="s">
        <v>82</v>
      </c>
      <c r="D414" s="1" t="s">
        <v>235</v>
      </c>
      <c r="E414" s="1" t="s">
        <v>236</v>
      </c>
      <c r="F414" s="1" t="s">
        <v>126</v>
      </c>
      <c r="G414" s="1" t="s">
        <v>27</v>
      </c>
      <c r="H414" s="1">
        <v>5000</v>
      </c>
      <c r="J414" s="51">
        <v>45196</v>
      </c>
      <c r="L414" s="51">
        <v>45163</v>
      </c>
      <c r="M414" s="1" t="s">
        <v>135</v>
      </c>
      <c r="N414" s="1">
        <v>5</v>
      </c>
      <c r="O414" s="1">
        <v>24.1</v>
      </c>
      <c r="P414" s="1">
        <v>602500</v>
      </c>
      <c r="Q414" s="1">
        <v>-12.1</v>
      </c>
      <c r="R414" s="1" t="s">
        <v>83</v>
      </c>
      <c r="T414" s="50">
        <f>IF(ISNUMBER(VLOOKUP(U414,Blotter!B:C,2,0)),VLOOKUP(U414,Blotter!B:C,2,0),"")</f>
        <v>6</v>
      </c>
      <c r="U414" s="49" t="str">
        <f t="shared" si="488"/>
        <v>SIU3</v>
      </c>
      <c r="V414" s="49">
        <f t="shared" si="489"/>
        <v>5</v>
      </c>
      <c r="W414" s="49">
        <f t="shared" si="490"/>
        <v>24.1</v>
      </c>
      <c r="X414" s="49">
        <f t="shared" si="491"/>
        <v>-12.1</v>
      </c>
    </row>
    <row r="415" spans="1:24" x14ac:dyDescent="0.4">
      <c r="A415" s="1" t="s">
        <v>138</v>
      </c>
      <c r="B415" s="1" t="s">
        <v>83</v>
      </c>
      <c r="C415" s="1" t="s">
        <v>82</v>
      </c>
      <c r="D415" s="1" t="s">
        <v>235</v>
      </c>
      <c r="E415" s="1" t="s">
        <v>236</v>
      </c>
      <c r="F415" s="1" t="s">
        <v>126</v>
      </c>
      <c r="G415" s="1" t="s">
        <v>27</v>
      </c>
      <c r="H415" s="1">
        <v>5000</v>
      </c>
      <c r="J415" s="51">
        <v>45196</v>
      </c>
      <c r="L415" s="51">
        <v>45163</v>
      </c>
      <c r="M415" s="1" t="s">
        <v>135</v>
      </c>
      <c r="N415" s="1">
        <v>5</v>
      </c>
      <c r="O415" s="1">
        <v>24.03</v>
      </c>
      <c r="P415" s="1">
        <v>600750</v>
      </c>
      <c r="Q415" s="1">
        <v>-12.1</v>
      </c>
      <c r="R415" s="1" t="s">
        <v>83</v>
      </c>
      <c r="T415" s="50">
        <f>IF(ISNUMBER(VLOOKUP(U415,Blotter!B:C,2,0)),VLOOKUP(U415,Blotter!B:C,2,0),"")</f>
        <v>6</v>
      </c>
      <c r="U415" s="49" t="str">
        <f t="shared" ref="U415:U432" si="492">D415</f>
        <v>SIU3</v>
      </c>
      <c r="V415" s="49">
        <f t="shared" ref="V415:V432" si="493">N415</f>
        <v>5</v>
      </c>
      <c r="W415" s="49">
        <f t="shared" ref="W415:W432" si="494">O415</f>
        <v>24.03</v>
      </c>
      <c r="X415" s="49">
        <f t="shared" ref="X415:X432" si="495">Q415</f>
        <v>-12.1</v>
      </c>
    </row>
    <row r="416" spans="1:24" x14ac:dyDescent="0.4">
      <c r="A416" s="1" t="s">
        <v>138</v>
      </c>
      <c r="B416" s="1" t="s">
        <v>83</v>
      </c>
      <c r="C416" s="1" t="s">
        <v>82</v>
      </c>
      <c r="D416" s="1" t="s">
        <v>235</v>
      </c>
      <c r="E416" s="1" t="s">
        <v>236</v>
      </c>
      <c r="F416" s="1" t="s">
        <v>126</v>
      </c>
      <c r="G416" s="1" t="s">
        <v>27</v>
      </c>
      <c r="H416" s="1">
        <v>5000</v>
      </c>
      <c r="J416" s="51">
        <v>45196</v>
      </c>
      <c r="L416" s="51">
        <v>45163</v>
      </c>
      <c r="M416" s="1" t="s">
        <v>135</v>
      </c>
      <c r="N416" s="1">
        <v>2</v>
      </c>
      <c r="O416" s="1">
        <v>24.03</v>
      </c>
      <c r="P416" s="1">
        <v>240300</v>
      </c>
      <c r="Q416" s="1">
        <v>-4.84</v>
      </c>
      <c r="R416" s="1" t="s">
        <v>83</v>
      </c>
      <c r="T416" s="50">
        <f>IF(ISNUMBER(VLOOKUP(U416,Blotter!B:C,2,0)),VLOOKUP(U416,Blotter!B:C,2,0),"")</f>
        <v>6</v>
      </c>
      <c r="U416" s="49" t="str">
        <f t="shared" si="492"/>
        <v>SIU3</v>
      </c>
      <c r="V416" s="49">
        <f t="shared" si="493"/>
        <v>2</v>
      </c>
      <c r="W416" s="49">
        <f t="shared" si="494"/>
        <v>24.03</v>
      </c>
      <c r="X416" s="49">
        <f t="shared" si="495"/>
        <v>-4.84</v>
      </c>
    </row>
    <row r="417" spans="1:24" x14ac:dyDescent="0.4">
      <c r="A417" s="1" t="s">
        <v>138</v>
      </c>
      <c r="B417" s="1" t="s">
        <v>83</v>
      </c>
      <c r="C417" s="1" t="s">
        <v>82</v>
      </c>
      <c r="D417" s="1" t="s">
        <v>235</v>
      </c>
      <c r="E417" s="1" t="s">
        <v>236</v>
      </c>
      <c r="F417" s="1" t="s">
        <v>126</v>
      </c>
      <c r="G417" s="1" t="s">
        <v>27</v>
      </c>
      <c r="H417" s="1">
        <v>5000</v>
      </c>
      <c r="J417" s="51">
        <v>45196</v>
      </c>
      <c r="L417" s="51">
        <v>45163</v>
      </c>
      <c r="M417" s="1" t="s">
        <v>135</v>
      </c>
      <c r="N417" s="1">
        <v>3</v>
      </c>
      <c r="O417" s="1">
        <v>24.03</v>
      </c>
      <c r="P417" s="1">
        <v>360450</v>
      </c>
      <c r="Q417" s="1">
        <v>-7.26</v>
      </c>
      <c r="R417" s="1" t="s">
        <v>83</v>
      </c>
      <c r="T417" s="50">
        <f>IF(ISNUMBER(VLOOKUP(U417,Blotter!B:C,2,0)),VLOOKUP(U417,Blotter!B:C,2,0),"")</f>
        <v>6</v>
      </c>
      <c r="U417" s="49" t="str">
        <f t="shared" si="492"/>
        <v>SIU3</v>
      </c>
      <c r="V417" s="49">
        <f t="shared" si="493"/>
        <v>3</v>
      </c>
      <c r="W417" s="49">
        <f t="shared" si="494"/>
        <v>24.03</v>
      </c>
      <c r="X417" s="49">
        <f t="shared" si="495"/>
        <v>-7.26</v>
      </c>
    </row>
    <row r="418" spans="1:24" x14ac:dyDescent="0.4">
      <c r="A418" s="1" t="s">
        <v>138</v>
      </c>
      <c r="B418" s="1" t="s">
        <v>83</v>
      </c>
      <c r="C418" s="1" t="s">
        <v>82</v>
      </c>
      <c r="D418" s="1" t="s">
        <v>235</v>
      </c>
      <c r="E418" s="1" t="s">
        <v>236</v>
      </c>
      <c r="F418" s="1" t="s">
        <v>126</v>
      </c>
      <c r="G418" s="1" t="s">
        <v>27</v>
      </c>
      <c r="H418" s="1">
        <v>5000</v>
      </c>
      <c r="J418" s="51">
        <v>45196</v>
      </c>
      <c r="L418" s="51">
        <v>45163</v>
      </c>
      <c r="M418" s="1" t="s">
        <v>139</v>
      </c>
      <c r="N418" s="1">
        <v>-2</v>
      </c>
      <c r="O418" s="1">
        <v>24.15</v>
      </c>
      <c r="P418" s="1">
        <v>-241500</v>
      </c>
      <c r="Q418" s="1">
        <v>-4.84</v>
      </c>
      <c r="R418" s="1" t="s">
        <v>83</v>
      </c>
      <c r="T418" s="50">
        <f>IF(ISNUMBER(VLOOKUP(U418,Blotter!B:C,2,0)),VLOOKUP(U418,Blotter!B:C,2,0),"")</f>
        <v>6</v>
      </c>
      <c r="U418" s="49" t="str">
        <f t="shared" si="492"/>
        <v>SIU3</v>
      </c>
      <c r="V418" s="49">
        <f t="shared" si="493"/>
        <v>-2</v>
      </c>
      <c r="W418" s="49">
        <f t="shared" si="494"/>
        <v>24.15</v>
      </c>
      <c r="X418" s="49">
        <f t="shared" si="495"/>
        <v>-4.84</v>
      </c>
    </row>
    <row r="419" spans="1:24" x14ac:dyDescent="0.4">
      <c r="A419" s="1" t="s">
        <v>138</v>
      </c>
      <c r="B419" s="1" t="s">
        <v>83</v>
      </c>
      <c r="C419" s="1" t="s">
        <v>82</v>
      </c>
      <c r="D419" s="1" t="s">
        <v>235</v>
      </c>
      <c r="E419" s="1" t="s">
        <v>236</v>
      </c>
      <c r="F419" s="1" t="s">
        <v>126</v>
      </c>
      <c r="G419" s="1" t="s">
        <v>27</v>
      </c>
      <c r="H419" s="1">
        <v>5000</v>
      </c>
      <c r="J419" s="51">
        <v>45196</v>
      </c>
      <c r="L419" s="51">
        <v>45163</v>
      </c>
      <c r="M419" s="1" t="s">
        <v>139</v>
      </c>
      <c r="N419" s="1">
        <v>-3</v>
      </c>
      <c r="O419" s="1">
        <v>24.15</v>
      </c>
      <c r="P419" s="1">
        <v>-362250</v>
      </c>
      <c r="Q419" s="1">
        <v>-7.26</v>
      </c>
      <c r="R419" s="1" t="s">
        <v>83</v>
      </c>
      <c r="T419" s="50">
        <f>IF(ISNUMBER(VLOOKUP(U419,Blotter!B:C,2,0)),VLOOKUP(U419,Blotter!B:C,2,0),"")</f>
        <v>6</v>
      </c>
      <c r="U419" s="49" t="str">
        <f t="shared" si="492"/>
        <v>SIU3</v>
      </c>
      <c r="V419" s="49">
        <f t="shared" si="493"/>
        <v>-3</v>
      </c>
      <c r="W419" s="49">
        <f t="shared" si="494"/>
        <v>24.15</v>
      </c>
      <c r="X419" s="49">
        <f t="shared" si="495"/>
        <v>-7.26</v>
      </c>
    </row>
    <row r="420" spans="1:24" x14ac:dyDescent="0.4">
      <c r="A420" s="1" t="s">
        <v>138</v>
      </c>
      <c r="B420" s="1" t="s">
        <v>83</v>
      </c>
      <c r="C420" s="1" t="s">
        <v>82</v>
      </c>
      <c r="D420" s="1" t="s">
        <v>235</v>
      </c>
      <c r="E420" s="1" t="s">
        <v>236</v>
      </c>
      <c r="F420" s="1" t="s">
        <v>126</v>
      </c>
      <c r="G420" s="1" t="s">
        <v>27</v>
      </c>
      <c r="H420" s="1">
        <v>5000</v>
      </c>
      <c r="J420" s="51">
        <v>45196</v>
      </c>
      <c r="L420" s="51">
        <v>45163</v>
      </c>
      <c r="M420" s="1" t="s">
        <v>139</v>
      </c>
      <c r="N420" s="1">
        <v>-5</v>
      </c>
      <c r="O420" s="1">
        <v>24.15</v>
      </c>
      <c r="P420" s="1">
        <v>-603750</v>
      </c>
      <c r="Q420" s="1">
        <v>-12.1</v>
      </c>
      <c r="R420" s="1" t="s">
        <v>83</v>
      </c>
      <c r="T420" s="50">
        <f>IF(ISNUMBER(VLOOKUP(U420,Blotter!B:C,2,0)),VLOOKUP(U420,Blotter!B:C,2,0),"")</f>
        <v>6</v>
      </c>
      <c r="U420" s="49" t="str">
        <f t="shared" si="492"/>
        <v>SIU3</v>
      </c>
      <c r="V420" s="49">
        <f t="shared" si="493"/>
        <v>-5</v>
      </c>
      <c r="W420" s="49">
        <f t="shared" si="494"/>
        <v>24.15</v>
      </c>
      <c r="X420" s="49">
        <f t="shared" si="495"/>
        <v>-12.1</v>
      </c>
    </row>
    <row r="421" spans="1:24" x14ac:dyDescent="0.4">
      <c r="A421" s="1" t="s">
        <v>138</v>
      </c>
      <c r="B421" s="1" t="s">
        <v>83</v>
      </c>
      <c r="C421" s="1" t="s">
        <v>82</v>
      </c>
      <c r="D421" s="1" t="s">
        <v>235</v>
      </c>
      <c r="E421" s="1" t="s">
        <v>236</v>
      </c>
      <c r="F421" s="1" t="s">
        <v>126</v>
      </c>
      <c r="G421" s="1" t="s">
        <v>27</v>
      </c>
      <c r="H421" s="1">
        <v>5000</v>
      </c>
      <c r="J421" s="51">
        <v>45196</v>
      </c>
      <c r="L421" s="51">
        <v>45163</v>
      </c>
      <c r="M421" s="1" t="s">
        <v>139</v>
      </c>
      <c r="N421" s="1">
        <v>-1</v>
      </c>
      <c r="O421" s="1">
        <v>24.15</v>
      </c>
      <c r="P421" s="1">
        <v>-120750</v>
      </c>
      <c r="Q421" s="1">
        <v>-2.42</v>
      </c>
      <c r="R421" s="1" t="s">
        <v>83</v>
      </c>
      <c r="T421" s="50">
        <f>IF(ISNUMBER(VLOOKUP(U421,Blotter!B:C,2,0)),VLOOKUP(U421,Blotter!B:C,2,0),"")</f>
        <v>6</v>
      </c>
      <c r="U421" s="49" t="str">
        <f t="shared" si="492"/>
        <v>SIU3</v>
      </c>
      <c r="V421" s="49">
        <f t="shared" si="493"/>
        <v>-1</v>
      </c>
      <c r="W421" s="49">
        <f t="shared" si="494"/>
        <v>24.15</v>
      </c>
      <c r="X421" s="49">
        <f t="shared" si="495"/>
        <v>-2.42</v>
      </c>
    </row>
    <row r="422" spans="1:24" x14ac:dyDescent="0.4">
      <c r="A422" s="1" t="s">
        <v>138</v>
      </c>
      <c r="B422" s="1" t="s">
        <v>83</v>
      </c>
      <c r="C422" s="1" t="s">
        <v>82</v>
      </c>
      <c r="D422" s="1" t="s">
        <v>235</v>
      </c>
      <c r="E422" s="1" t="s">
        <v>236</v>
      </c>
      <c r="F422" s="1" t="s">
        <v>126</v>
      </c>
      <c r="G422" s="1" t="s">
        <v>27</v>
      </c>
      <c r="H422" s="1">
        <v>5000</v>
      </c>
      <c r="J422" s="51">
        <v>45196</v>
      </c>
      <c r="L422" s="51">
        <v>45163</v>
      </c>
      <c r="M422" s="1" t="s">
        <v>139</v>
      </c>
      <c r="N422" s="1">
        <v>-5</v>
      </c>
      <c r="O422" s="1">
        <v>24.15</v>
      </c>
      <c r="P422" s="1">
        <v>-603750</v>
      </c>
      <c r="Q422" s="1">
        <v>-12.1</v>
      </c>
      <c r="R422" s="1" t="s">
        <v>83</v>
      </c>
      <c r="T422" s="50">
        <f>IF(ISNUMBER(VLOOKUP(U422,Blotter!B:C,2,0)),VLOOKUP(U422,Blotter!B:C,2,0),"")</f>
        <v>6</v>
      </c>
      <c r="U422" s="49" t="str">
        <f t="shared" si="492"/>
        <v>SIU3</v>
      </c>
      <c r="V422" s="49">
        <f t="shared" si="493"/>
        <v>-5</v>
      </c>
      <c r="W422" s="49">
        <f t="shared" si="494"/>
        <v>24.15</v>
      </c>
      <c r="X422" s="49">
        <f t="shared" si="495"/>
        <v>-12.1</v>
      </c>
    </row>
    <row r="423" spans="1:24" x14ac:dyDescent="0.4">
      <c r="A423" s="1" t="s">
        <v>138</v>
      </c>
      <c r="B423" s="1" t="s">
        <v>83</v>
      </c>
      <c r="C423" s="1" t="s">
        <v>82</v>
      </c>
      <c r="D423" s="1" t="s">
        <v>235</v>
      </c>
      <c r="E423" s="1" t="s">
        <v>236</v>
      </c>
      <c r="F423" s="1" t="s">
        <v>126</v>
      </c>
      <c r="G423" s="1" t="s">
        <v>27</v>
      </c>
      <c r="H423" s="1">
        <v>5000</v>
      </c>
      <c r="J423" s="51">
        <v>45196</v>
      </c>
      <c r="L423" s="51">
        <v>45163</v>
      </c>
      <c r="M423" s="1" t="s">
        <v>139</v>
      </c>
      <c r="N423" s="1">
        <v>-4</v>
      </c>
      <c r="O423" s="1">
        <v>24.15</v>
      </c>
      <c r="P423" s="1">
        <v>-483000</v>
      </c>
      <c r="Q423" s="1">
        <v>-9.68</v>
      </c>
      <c r="R423" s="1" t="s">
        <v>83</v>
      </c>
      <c r="T423" s="50">
        <f>IF(ISNUMBER(VLOOKUP(U423,Blotter!B:C,2,0)),VLOOKUP(U423,Blotter!B:C,2,0),"")</f>
        <v>6</v>
      </c>
      <c r="U423" s="49" t="str">
        <f t="shared" si="492"/>
        <v>SIU3</v>
      </c>
      <c r="V423" s="49">
        <f t="shared" si="493"/>
        <v>-4</v>
      </c>
      <c r="W423" s="49">
        <f t="shared" si="494"/>
        <v>24.15</v>
      </c>
      <c r="X423" s="49">
        <f t="shared" si="495"/>
        <v>-9.68</v>
      </c>
    </row>
    <row r="424" spans="1:24" x14ac:dyDescent="0.4">
      <c r="A424" s="1" t="s">
        <v>138</v>
      </c>
      <c r="B424" s="1" t="s">
        <v>83</v>
      </c>
      <c r="C424" s="1" t="s">
        <v>82</v>
      </c>
      <c r="D424" s="1" t="s">
        <v>235</v>
      </c>
      <c r="E424" s="1" t="s">
        <v>236</v>
      </c>
      <c r="F424" s="1" t="s">
        <v>126</v>
      </c>
      <c r="G424" s="1" t="s">
        <v>27</v>
      </c>
      <c r="H424" s="1">
        <v>5000</v>
      </c>
      <c r="J424" s="51">
        <v>45196</v>
      </c>
      <c r="L424" s="51">
        <v>45163</v>
      </c>
      <c r="M424" s="1" t="s">
        <v>139</v>
      </c>
      <c r="N424" s="1">
        <v>-1</v>
      </c>
      <c r="O424" s="1">
        <v>24.19</v>
      </c>
      <c r="P424" s="1">
        <v>-120950</v>
      </c>
      <c r="Q424" s="1">
        <v>-2.42</v>
      </c>
      <c r="R424" s="1" t="s">
        <v>83</v>
      </c>
      <c r="T424" s="50">
        <f>IF(ISNUMBER(VLOOKUP(U424,Blotter!B:C,2,0)),VLOOKUP(U424,Blotter!B:C,2,0),"")</f>
        <v>6</v>
      </c>
      <c r="U424" s="49" t="str">
        <f t="shared" si="492"/>
        <v>SIU3</v>
      </c>
      <c r="V424" s="49">
        <f t="shared" si="493"/>
        <v>-1</v>
      </c>
      <c r="W424" s="49">
        <f t="shared" si="494"/>
        <v>24.19</v>
      </c>
      <c r="X424" s="49">
        <f t="shared" si="495"/>
        <v>-2.42</v>
      </c>
    </row>
    <row r="425" spans="1:24" x14ac:dyDescent="0.4">
      <c r="A425" s="1" t="s">
        <v>138</v>
      </c>
      <c r="B425" s="1" t="s">
        <v>83</v>
      </c>
      <c r="C425" s="1" t="s">
        <v>82</v>
      </c>
      <c r="D425" s="1" t="s">
        <v>235</v>
      </c>
      <c r="E425" s="1" t="s">
        <v>236</v>
      </c>
      <c r="F425" s="1" t="s">
        <v>126</v>
      </c>
      <c r="G425" s="1" t="s">
        <v>27</v>
      </c>
      <c r="H425" s="1">
        <v>5000</v>
      </c>
      <c r="J425" s="51">
        <v>45196</v>
      </c>
      <c r="L425" s="51">
        <v>45163</v>
      </c>
      <c r="M425" s="1" t="s">
        <v>139</v>
      </c>
      <c r="N425" s="1">
        <v>-4</v>
      </c>
      <c r="O425" s="1">
        <v>24.19</v>
      </c>
      <c r="P425" s="1">
        <v>-483800</v>
      </c>
      <c r="Q425" s="1">
        <v>-9.68</v>
      </c>
      <c r="R425" s="1" t="s">
        <v>83</v>
      </c>
      <c r="T425" s="50">
        <f>IF(ISNUMBER(VLOOKUP(U425,Blotter!B:C,2,0)),VLOOKUP(U425,Blotter!B:C,2,0),"")</f>
        <v>6</v>
      </c>
      <c r="U425" s="49" t="str">
        <f t="shared" si="492"/>
        <v>SIU3</v>
      </c>
      <c r="V425" s="49">
        <f t="shared" si="493"/>
        <v>-4</v>
      </c>
      <c r="W425" s="49">
        <f t="shared" si="494"/>
        <v>24.19</v>
      </c>
      <c r="X425" s="49">
        <f t="shared" si="495"/>
        <v>-9.68</v>
      </c>
    </row>
    <row r="426" spans="1:24" x14ac:dyDescent="0.4">
      <c r="A426" s="1" t="s">
        <v>138</v>
      </c>
      <c r="B426" s="1" t="s">
        <v>83</v>
      </c>
      <c r="C426" s="1" t="s">
        <v>82</v>
      </c>
      <c r="D426" s="1" t="s">
        <v>235</v>
      </c>
      <c r="E426" s="1" t="s">
        <v>236</v>
      </c>
      <c r="F426" s="1" t="s">
        <v>126</v>
      </c>
      <c r="G426" s="1" t="s">
        <v>27</v>
      </c>
      <c r="H426" s="1">
        <v>5000</v>
      </c>
      <c r="J426" s="51">
        <v>45196</v>
      </c>
      <c r="L426" s="51">
        <v>45163</v>
      </c>
      <c r="M426" s="1" t="s">
        <v>139</v>
      </c>
      <c r="N426" s="1">
        <v>-5</v>
      </c>
      <c r="O426" s="1">
        <v>24.4</v>
      </c>
      <c r="P426" s="1">
        <v>-610000</v>
      </c>
      <c r="Q426" s="1">
        <v>-12.1</v>
      </c>
      <c r="R426" s="1" t="s">
        <v>83</v>
      </c>
      <c r="T426" s="50">
        <f>IF(ISNUMBER(VLOOKUP(U426,Blotter!B:C,2,0)),VLOOKUP(U426,Blotter!B:C,2,0),"")</f>
        <v>6</v>
      </c>
      <c r="U426" s="49" t="str">
        <f t="shared" si="492"/>
        <v>SIU3</v>
      </c>
      <c r="V426" s="49">
        <f t="shared" si="493"/>
        <v>-5</v>
      </c>
      <c r="W426" s="49">
        <f t="shared" si="494"/>
        <v>24.4</v>
      </c>
      <c r="X426" s="49">
        <f t="shared" si="495"/>
        <v>-12.1</v>
      </c>
    </row>
    <row r="427" spans="1:24" x14ac:dyDescent="0.4">
      <c r="A427" s="1" t="s">
        <v>138</v>
      </c>
      <c r="B427" s="1" t="s">
        <v>83</v>
      </c>
      <c r="C427" s="1" t="s">
        <v>82</v>
      </c>
      <c r="D427" s="1" t="s">
        <v>235</v>
      </c>
      <c r="E427" s="1" t="s">
        <v>236</v>
      </c>
      <c r="F427" s="1" t="s">
        <v>126</v>
      </c>
      <c r="G427" s="1" t="s">
        <v>27</v>
      </c>
      <c r="H427" s="1">
        <v>5000</v>
      </c>
      <c r="J427" s="51">
        <v>45196</v>
      </c>
      <c r="L427" s="51">
        <v>45163</v>
      </c>
      <c r="M427" s="1" t="s">
        <v>139</v>
      </c>
      <c r="N427" s="1">
        <v>-2</v>
      </c>
      <c r="O427" s="1">
        <v>24.13</v>
      </c>
      <c r="P427" s="1">
        <v>-241300</v>
      </c>
      <c r="Q427" s="1">
        <v>-4.84</v>
      </c>
      <c r="R427" s="1" t="s">
        <v>83</v>
      </c>
      <c r="T427" s="50">
        <f>IF(ISNUMBER(VLOOKUP(U427,Blotter!B:C,2,0)),VLOOKUP(U427,Blotter!B:C,2,0),"")</f>
        <v>6</v>
      </c>
      <c r="U427" s="49" t="str">
        <f t="shared" si="492"/>
        <v>SIU3</v>
      </c>
      <c r="V427" s="49">
        <f t="shared" si="493"/>
        <v>-2</v>
      </c>
      <c r="W427" s="49">
        <f t="shared" si="494"/>
        <v>24.13</v>
      </c>
      <c r="X427" s="49">
        <f t="shared" si="495"/>
        <v>-4.84</v>
      </c>
    </row>
    <row r="428" spans="1:24" x14ac:dyDescent="0.4">
      <c r="A428" s="1" t="s">
        <v>138</v>
      </c>
      <c r="B428" s="1" t="s">
        <v>83</v>
      </c>
      <c r="C428" s="1" t="s">
        <v>82</v>
      </c>
      <c r="D428" s="1" t="s">
        <v>235</v>
      </c>
      <c r="E428" s="1" t="s">
        <v>236</v>
      </c>
      <c r="F428" s="1" t="s">
        <v>126</v>
      </c>
      <c r="G428" s="1" t="s">
        <v>27</v>
      </c>
      <c r="H428" s="1">
        <v>5000</v>
      </c>
      <c r="J428" s="51">
        <v>45196</v>
      </c>
      <c r="L428" s="51">
        <v>45163</v>
      </c>
      <c r="M428" s="1" t="s">
        <v>139</v>
      </c>
      <c r="N428" s="1">
        <v>-1</v>
      </c>
      <c r="O428" s="1">
        <v>24.13</v>
      </c>
      <c r="P428" s="1">
        <v>-120650</v>
      </c>
      <c r="Q428" s="1">
        <v>-2.42</v>
      </c>
      <c r="R428" s="1" t="s">
        <v>83</v>
      </c>
      <c r="T428" s="50">
        <f>IF(ISNUMBER(VLOOKUP(U428,Blotter!B:C,2,0)),VLOOKUP(U428,Blotter!B:C,2,0),"")</f>
        <v>6</v>
      </c>
      <c r="U428" s="49" t="str">
        <f t="shared" si="492"/>
        <v>SIU3</v>
      </c>
      <c r="V428" s="49">
        <f t="shared" si="493"/>
        <v>-1</v>
      </c>
      <c r="W428" s="49">
        <f t="shared" si="494"/>
        <v>24.13</v>
      </c>
      <c r="X428" s="49">
        <f t="shared" si="495"/>
        <v>-2.42</v>
      </c>
    </row>
    <row r="429" spans="1:24" x14ac:dyDescent="0.4">
      <c r="A429" s="1" t="s">
        <v>138</v>
      </c>
      <c r="B429" s="1" t="s">
        <v>83</v>
      </c>
      <c r="C429" s="1" t="s">
        <v>82</v>
      </c>
      <c r="D429" s="1" t="s">
        <v>235</v>
      </c>
      <c r="E429" s="1" t="s">
        <v>236</v>
      </c>
      <c r="F429" s="1" t="s">
        <v>126</v>
      </c>
      <c r="G429" s="1" t="s">
        <v>27</v>
      </c>
      <c r="H429" s="1">
        <v>5000</v>
      </c>
      <c r="J429" s="51">
        <v>45196</v>
      </c>
      <c r="L429" s="51">
        <v>45163</v>
      </c>
      <c r="M429" s="1" t="s">
        <v>139</v>
      </c>
      <c r="N429" s="1">
        <v>-1</v>
      </c>
      <c r="O429" s="1">
        <v>24.13</v>
      </c>
      <c r="P429" s="1">
        <v>-120650</v>
      </c>
      <c r="Q429" s="1">
        <v>-2.42</v>
      </c>
      <c r="R429" s="1" t="s">
        <v>83</v>
      </c>
      <c r="T429" s="50">
        <f>IF(ISNUMBER(VLOOKUP(U429,Blotter!B:C,2,0)),VLOOKUP(U429,Blotter!B:C,2,0),"")</f>
        <v>6</v>
      </c>
      <c r="U429" s="49" t="str">
        <f t="shared" si="492"/>
        <v>SIU3</v>
      </c>
      <c r="V429" s="49">
        <f t="shared" si="493"/>
        <v>-1</v>
      </c>
      <c r="W429" s="49">
        <f t="shared" si="494"/>
        <v>24.13</v>
      </c>
      <c r="X429" s="49">
        <f t="shared" si="495"/>
        <v>-2.42</v>
      </c>
    </row>
    <row r="430" spans="1:24" x14ac:dyDescent="0.4">
      <c r="A430" s="1" t="s">
        <v>138</v>
      </c>
      <c r="B430" s="1" t="s">
        <v>83</v>
      </c>
      <c r="C430" s="1" t="s">
        <v>82</v>
      </c>
      <c r="D430" s="1" t="s">
        <v>235</v>
      </c>
      <c r="E430" s="1" t="s">
        <v>236</v>
      </c>
      <c r="F430" s="1" t="s">
        <v>126</v>
      </c>
      <c r="G430" s="1" t="s">
        <v>27</v>
      </c>
      <c r="H430" s="1">
        <v>5000</v>
      </c>
      <c r="J430" s="51">
        <v>45196</v>
      </c>
      <c r="L430" s="51">
        <v>45163</v>
      </c>
      <c r="M430" s="1" t="s">
        <v>139</v>
      </c>
      <c r="N430" s="1">
        <v>-4</v>
      </c>
      <c r="O430" s="1">
        <v>24.13</v>
      </c>
      <c r="P430" s="1">
        <v>-482600</v>
      </c>
      <c r="Q430" s="1">
        <v>-9.68</v>
      </c>
      <c r="R430" s="1" t="s">
        <v>83</v>
      </c>
      <c r="T430" s="50">
        <f>IF(ISNUMBER(VLOOKUP(U430,Blotter!B:C,2,0)),VLOOKUP(U430,Blotter!B:C,2,0),"")</f>
        <v>6</v>
      </c>
      <c r="U430" s="49" t="str">
        <f t="shared" si="492"/>
        <v>SIU3</v>
      </c>
      <c r="V430" s="49">
        <f t="shared" si="493"/>
        <v>-4</v>
      </c>
      <c r="W430" s="49">
        <f t="shared" si="494"/>
        <v>24.13</v>
      </c>
      <c r="X430" s="49">
        <f t="shared" si="495"/>
        <v>-9.68</v>
      </c>
    </row>
    <row r="431" spans="1:24" x14ac:dyDescent="0.4">
      <c r="A431" s="1" t="s">
        <v>138</v>
      </c>
      <c r="B431" s="1" t="s">
        <v>83</v>
      </c>
      <c r="C431" s="1" t="s">
        <v>82</v>
      </c>
      <c r="D431" s="1" t="s">
        <v>235</v>
      </c>
      <c r="E431" s="1" t="s">
        <v>236</v>
      </c>
      <c r="F431" s="1" t="s">
        <v>126</v>
      </c>
      <c r="G431" s="1" t="s">
        <v>27</v>
      </c>
      <c r="H431" s="1">
        <v>5000</v>
      </c>
      <c r="J431" s="51">
        <v>45196</v>
      </c>
      <c r="L431" s="51">
        <v>45163</v>
      </c>
      <c r="M431" s="1" t="s">
        <v>139</v>
      </c>
      <c r="N431" s="1">
        <v>-2</v>
      </c>
      <c r="O431" s="1">
        <v>24.13</v>
      </c>
      <c r="P431" s="1">
        <v>-241300</v>
      </c>
      <c r="Q431" s="1">
        <v>-4.84</v>
      </c>
      <c r="R431" s="1" t="s">
        <v>83</v>
      </c>
      <c r="T431" s="50">
        <f>IF(ISNUMBER(VLOOKUP(U431,Blotter!B:C,2,0)),VLOOKUP(U431,Blotter!B:C,2,0),"")</f>
        <v>6</v>
      </c>
      <c r="U431" s="49" t="str">
        <f t="shared" si="492"/>
        <v>SIU3</v>
      </c>
      <c r="V431" s="49">
        <f t="shared" si="493"/>
        <v>-2</v>
      </c>
      <c r="W431" s="49">
        <f t="shared" si="494"/>
        <v>24.13</v>
      </c>
      <c r="X431" s="49">
        <f t="shared" si="495"/>
        <v>-4.84</v>
      </c>
    </row>
    <row r="432" spans="1:24" x14ac:dyDescent="0.4">
      <c r="A432" s="1" t="s">
        <v>138</v>
      </c>
      <c r="B432" s="1" t="s">
        <v>83</v>
      </c>
      <c r="C432" s="1" t="s">
        <v>82</v>
      </c>
      <c r="D432" s="1" t="s">
        <v>278</v>
      </c>
      <c r="E432" s="1" t="s">
        <v>279</v>
      </c>
      <c r="F432" s="1" t="s">
        <v>126</v>
      </c>
      <c r="G432" s="1" t="s">
        <v>27</v>
      </c>
      <c r="H432" s="1">
        <v>5000</v>
      </c>
      <c r="J432" s="51">
        <v>45287</v>
      </c>
      <c r="L432" s="51">
        <v>45163</v>
      </c>
      <c r="M432" s="1" t="s">
        <v>139</v>
      </c>
      <c r="N432" s="1">
        <v>-5</v>
      </c>
      <c r="O432" s="1">
        <v>24.61</v>
      </c>
      <c r="P432" s="1">
        <v>-615250</v>
      </c>
      <c r="Q432" s="1">
        <v>-12.1</v>
      </c>
      <c r="R432" s="1" t="s">
        <v>83</v>
      </c>
      <c r="T432" s="50">
        <f>IF(ISNUMBER(VLOOKUP(U432,Blotter!B:C,2,0)),VLOOKUP(U432,Blotter!B:C,2,0),"")</f>
        <v>6</v>
      </c>
      <c r="U432" s="49" t="str">
        <f t="shared" si="492"/>
        <v>SIZ3</v>
      </c>
      <c r="V432" s="49">
        <f t="shared" si="493"/>
        <v>-5</v>
      </c>
      <c r="W432" s="49">
        <f t="shared" si="494"/>
        <v>24.61</v>
      </c>
      <c r="X432" s="49">
        <f t="shared" si="495"/>
        <v>-12.1</v>
      </c>
    </row>
    <row r="433" spans="1:24" x14ac:dyDescent="0.4">
      <c r="A433" s="1" t="s">
        <v>138</v>
      </c>
      <c r="B433" s="1" t="s">
        <v>83</v>
      </c>
      <c r="C433" s="1" t="s">
        <v>87</v>
      </c>
      <c r="D433" s="1" t="s">
        <v>272</v>
      </c>
      <c r="E433" s="1" t="s">
        <v>273</v>
      </c>
      <c r="F433" s="1" t="s">
        <v>129</v>
      </c>
      <c r="G433" s="1" t="s">
        <v>4</v>
      </c>
      <c r="H433" s="1">
        <v>100</v>
      </c>
      <c r="I433" s="1">
        <v>4300</v>
      </c>
      <c r="J433" s="51">
        <v>45219</v>
      </c>
      <c r="K433" s="1" t="s">
        <v>89</v>
      </c>
      <c r="L433" s="51">
        <v>45166</v>
      </c>
      <c r="M433" s="1" t="s">
        <v>135</v>
      </c>
      <c r="N433" s="1">
        <v>5</v>
      </c>
      <c r="O433" s="1">
        <v>49.4</v>
      </c>
      <c r="P433" s="1">
        <v>24700</v>
      </c>
      <c r="Q433" s="1">
        <v>-6.8127500000000003</v>
      </c>
      <c r="R433" s="1" t="s">
        <v>83</v>
      </c>
      <c r="T433" s="50">
        <f>IF(ISNUMBER(VLOOKUP(U433,Blotter!B:C,2,0)),VLOOKUP(U433,Blotter!B:C,2,0),"")</f>
        <v>17</v>
      </c>
      <c r="U433" s="49" t="str">
        <f t="shared" ref="U433:U434" si="496">D433</f>
        <v>SPX   231020P04300000</v>
      </c>
      <c r="V433" s="49">
        <f t="shared" ref="V433:V434" si="497">N433</f>
        <v>5</v>
      </c>
      <c r="W433" s="49">
        <f t="shared" ref="W433:W434" si="498">O433</f>
        <v>49.4</v>
      </c>
      <c r="X433" s="49">
        <f t="shared" ref="X433:X434" si="499">Q433</f>
        <v>-6.8127500000000003</v>
      </c>
    </row>
    <row r="434" spans="1:24" x14ac:dyDescent="0.4">
      <c r="A434" s="1" t="s">
        <v>138</v>
      </c>
      <c r="B434" s="1" t="s">
        <v>83</v>
      </c>
      <c r="C434" s="1" t="s">
        <v>87</v>
      </c>
      <c r="D434" s="1" t="s">
        <v>272</v>
      </c>
      <c r="E434" s="1" t="s">
        <v>273</v>
      </c>
      <c r="F434" s="1" t="s">
        <v>129</v>
      </c>
      <c r="G434" s="1" t="s">
        <v>4</v>
      </c>
      <c r="H434" s="1">
        <v>100</v>
      </c>
      <c r="I434" s="1">
        <v>4300</v>
      </c>
      <c r="J434" s="51">
        <v>45219</v>
      </c>
      <c r="K434" s="1" t="s">
        <v>89</v>
      </c>
      <c r="L434" s="51">
        <v>45166</v>
      </c>
      <c r="M434" s="1" t="s">
        <v>139</v>
      </c>
      <c r="N434" s="1">
        <v>-5</v>
      </c>
      <c r="O434" s="1">
        <v>51</v>
      </c>
      <c r="P434" s="1">
        <v>-25500</v>
      </c>
      <c r="Q434" s="1">
        <v>-6.8127500000000003</v>
      </c>
      <c r="R434" s="1" t="s">
        <v>83</v>
      </c>
      <c r="T434" s="50">
        <f>IF(ISNUMBER(VLOOKUP(U434,Blotter!B:C,2,0)),VLOOKUP(U434,Blotter!B:C,2,0),"")</f>
        <v>17</v>
      </c>
      <c r="U434" s="49" t="str">
        <f t="shared" si="496"/>
        <v>SPX   231020P04300000</v>
      </c>
      <c r="V434" s="49">
        <f t="shared" si="497"/>
        <v>-5</v>
      </c>
      <c r="W434" s="49">
        <f t="shared" si="498"/>
        <v>51</v>
      </c>
      <c r="X434" s="49">
        <f t="shared" si="499"/>
        <v>-6.8127500000000003</v>
      </c>
    </row>
    <row r="435" spans="1:24" x14ac:dyDescent="0.4">
      <c r="A435" s="1" t="s">
        <v>138</v>
      </c>
      <c r="B435" s="1" t="s">
        <v>83</v>
      </c>
      <c r="C435" s="1" t="s">
        <v>82</v>
      </c>
      <c r="D435" s="1" t="s">
        <v>278</v>
      </c>
      <c r="E435" s="1" t="s">
        <v>279</v>
      </c>
      <c r="F435" s="1" t="s">
        <v>126</v>
      </c>
      <c r="G435" s="1" t="s">
        <v>27</v>
      </c>
      <c r="H435" s="1">
        <v>5000</v>
      </c>
      <c r="J435" s="51">
        <v>45287</v>
      </c>
      <c r="L435" s="51">
        <v>45166</v>
      </c>
      <c r="M435" s="1" t="s">
        <v>135</v>
      </c>
      <c r="N435" s="1">
        <v>20</v>
      </c>
      <c r="O435" s="1">
        <v>24.715</v>
      </c>
      <c r="P435" s="1">
        <v>2471500</v>
      </c>
      <c r="Q435" s="1">
        <v>-48.4</v>
      </c>
      <c r="R435" s="1" t="s">
        <v>83</v>
      </c>
      <c r="T435" s="50">
        <f>IF(ISNUMBER(VLOOKUP(U435,Blotter!B:C,2,0)),VLOOKUP(U435,Blotter!B:C,2,0),"")</f>
        <v>6</v>
      </c>
      <c r="U435" s="49" t="str">
        <f t="shared" ref="U435" si="500">D435</f>
        <v>SIZ3</v>
      </c>
      <c r="V435" s="49">
        <f t="shared" ref="V435" si="501">N435</f>
        <v>20</v>
      </c>
      <c r="W435" s="49">
        <f t="shared" ref="W435" si="502">O435</f>
        <v>24.715</v>
      </c>
      <c r="X435" s="49">
        <f t="shared" ref="X435" si="503">Q435</f>
        <v>-48.4</v>
      </c>
    </row>
    <row r="436" spans="1:24" x14ac:dyDescent="0.4">
      <c r="A436" s="1" t="s">
        <v>138</v>
      </c>
      <c r="B436" s="1" t="s">
        <v>83</v>
      </c>
      <c r="C436" s="1" t="s">
        <v>82</v>
      </c>
      <c r="D436" s="1" t="s">
        <v>278</v>
      </c>
      <c r="E436" s="1" t="s">
        <v>279</v>
      </c>
      <c r="F436" s="1" t="s">
        <v>126</v>
      </c>
      <c r="G436" s="1" t="s">
        <v>27</v>
      </c>
      <c r="H436" s="1">
        <v>5000</v>
      </c>
      <c r="J436" s="51">
        <v>45287</v>
      </c>
      <c r="L436" s="51">
        <v>45166</v>
      </c>
      <c r="M436" s="1" t="s">
        <v>139</v>
      </c>
      <c r="N436" s="1">
        <v>-5</v>
      </c>
      <c r="O436" s="1">
        <v>24.68</v>
      </c>
      <c r="P436" s="1">
        <v>-617000</v>
      </c>
      <c r="Q436" s="1">
        <v>-12.1</v>
      </c>
      <c r="R436" s="1" t="s">
        <v>83</v>
      </c>
      <c r="T436" s="50">
        <f>IF(ISNUMBER(VLOOKUP(U436,Blotter!B:C,2,0)),VLOOKUP(U436,Blotter!B:C,2,0),"")</f>
        <v>6</v>
      </c>
      <c r="U436" s="49" t="str">
        <f t="shared" ref="U436" si="504">D436</f>
        <v>SIZ3</v>
      </c>
      <c r="V436" s="49">
        <f t="shared" ref="V436" si="505">N436</f>
        <v>-5</v>
      </c>
      <c r="W436" s="49">
        <f t="shared" ref="W436" si="506">O436</f>
        <v>24.68</v>
      </c>
      <c r="X436" s="49">
        <f t="shared" ref="X436" si="507">Q436</f>
        <v>-12.1</v>
      </c>
    </row>
    <row r="437" spans="1:24" x14ac:dyDescent="0.4">
      <c r="A437" s="1" t="s">
        <v>138</v>
      </c>
      <c r="B437" s="1" t="s">
        <v>83</v>
      </c>
      <c r="C437" s="1" t="s">
        <v>82</v>
      </c>
      <c r="D437" s="1" t="s">
        <v>278</v>
      </c>
      <c r="E437" s="1" t="s">
        <v>279</v>
      </c>
      <c r="F437" s="1" t="s">
        <v>126</v>
      </c>
      <c r="G437" s="1" t="s">
        <v>27</v>
      </c>
      <c r="H437" s="1">
        <v>5000</v>
      </c>
      <c r="J437" s="51">
        <v>45287</v>
      </c>
      <c r="L437" s="51">
        <v>45167</v>
      </c>
      <c r="M437" s="1" t="s">
        <v>135</v>
      </c>
      <c r="N437" s="1">
        <v>5</v>
      </c>
      <c r="O437" s="1">
        <v>25.1</v>
      </c>
      <c r="P437" s="1">
        <v>627500</v>
      </c>
      <c r="Q437" s="1">
        <v>-12.1</v>
      </c>
      <c r="R437" s="1" t="s">
        <v>83</v>
      </c>
      <c r="T437" s="50">
        <f>IF(ISNUMBER(VLOOKUP(U437,Blotter!B:C,2,0)),VLOOKUP(U437,Blotter!B:C,2,0),"")</f>
        <v>6</v>
      </c>
      <c r="U437" s="49" t="str">
        <f t="shared" ref="U437" si="508">D437</f>
        <v>SIZ3</v>
      </c>
      <c r="V437" s="49">
        <f t="shared" ref="V437" si="509">N437</f>
        <v>5</v>
      </c>
      <c r="W437" s="49">
        <f t="shared" ref="W437" si="510">O437</f>
        <v>25.1</v>
      </c>
      <c r="X437" s="49">
        <f t="shared" ref="X437" si="511">Q437</f>
        <v>-12.1</v>
      </c>
    </row>
    <row r="438" spans="1:24" x14ac:dyDescent="0.4">
      <c r="A438" s="1" t="s">
        <v>138</v>
      </c>
      <c r="B438" s="1" t="s">
        <v>83</v>
      </c>
      <c r="C438" s="1" t="s">
        <v>82</v>
      </c>
      <c r="D438" s="1" t="s">
        <v>278</v>
      </c>
      <c r="E438" s="1" t="s">
        <v>279</v>
      </c>
      <c r="F438" s="1" t="s">
        <v>126</v>
      </c>
      <c r="G438" s="1" t="s">
        <v>27</v>
      </c>
      <c r="H438" s="1">
        <v>5000</v>
      </c>
      <c r="J438" s="51">
        <v>45287</v>
      </c>
      <c r="L438" s="51">
        <v>45167</v>
      </c>
      <c r="M438" s="1" t="s">
        <v>139</v>
      </c>
      <c r="N438" s="1">
        <v>-15</v>
      </c>
      <c r="O438" s="1">
        <v>24.77</v>
      </c>
      <c r="P438" s="1">
        <v>-1857750</v>
      </c>
      <c r="Q438" s="1">
        <v>-36.299999999999997</v>
      </c>
      <c r="R438" s="1" t="s">
        <v>83</v>
      </c>
      <c r="T438" s="50">
        <f>IF(ISNUMBER(VLOOKUP(U438,Blotter!B:C,2,0)),VLOOKUP(U438,Blotter!B:C,2,0),"")</f>
        <v>6</v>
      </c>
      <c r="U438" s="49" t="str">
        <f t="shared" ref="U438:U440" si="512">D438</f>
        <v>SIZ3</v>
      </c>
      <c r="V438" s="49">
        <f t="shared" ref="V438:V440" si="513">N438</f>
        <v>-15</v>
      </c>
      <c r="W438" s="49">
        <f t="shared" ref="W438:W440" si="514">O438</f>
        <v>24.77</v>
      </c>
      <c r="X438" s="49">
        <f t="shared" ref="X438:X440" si="515">Q438</f>
        <v>-36.299999999999997</v>
      </c>
    </row>
    <row r="439" spans="1:24" x14ac:dyDescent="0.4">
      <c r="A439" s="1" t="s">
        <v>138</v>
      </c>
      <c r="B439" s="1" t="s">
        <v>83</v>
      </c>
      <c r="C439" s="1" t="s">
        <v>82</v>
      </c>
      <c r="D439" s="1" t="s">
        <v>278</v>
      </c>
      <c r="E439" s="1" t="s">
        <v>279</v>
      </c>
      <c r="F439" s="1" t="s">
        <v>126</v>
      </c>
      <c r="G439" s="1" t="s">
        <v>27</v>
      </c>
      <c r="H439" s="1">
        <v>5000</v>
      </c>
      <c r="J439" s="51">
        <v>45287</v>
      </c>
      <c r="L439" s="51">
        <v>45167</v>
      </c>
      <c r="M439" s="1" t="s">
        <v>139</v>
      </c>
      <c r="N439" s="1">
        <v>-5</v>
      </c>
      <c r="O439" s="1">
        <v>24.95</v>
      </c>
      <c r="P439" s="1">
        <v>-623750</v>
      </c>
      <c r="Q439" s="1">
        <v>-12.1</v>
      </c>
      <c r="R439" s="1" t="s">
        <v>83</v>
      </c>
      <c r="T439" s="50">
        <f>IF(ISNUMBER(VLOOKUP(U439,Blotter!B:C,2,0)),VLOOKUP(U439,Blotter!B:C,2,0),"")</f>
        <v>6</v>
      </c>
      <c r="U439" s="49" t="str">
        <f t="shared" si="512"/>
        <v>SIZ3</v>
      </c>
      <c r="V439" s="49">
        <f t="shared" si="513"/>
        <v>-5</v>
      </c>
      <c r="W439" s="49">
        <f t="shared" si="514"/>
        <v>24.95</v>
      </c>
      <c r="X439" s="49">
        <f t="shared" si="515"/>
        <v>-12.1</v>
      </c>
    </row>
    <row r="440" spans="1:24" x14ac:dyDescent="0.4">
      <c r="A440" s="1" t="s">
        <v>138</v>
      </c>
      <c r="B440" s="1" t="s">
        <v>83</v>
      </c>
      <c r="C440" s="1" t="s">
        <v>82</v>
      </c>
      <c r="D440" s="1" t="s">
        <v>278</v>
      </c>
      <c r="E440" s="1" t="s">
        <v>279</v>
      </c>
      <c r="F440" s="1" t="s">
        <v>126</v>
      </c>
      <c r="G440" s="1" t="s">
        <v>27</v>
      </c>
      <c r="H440" s="1">
        <v>5000</v>
      </c>
      <c r="J440" s="51">
        <v>45287</v>
      </c>
      <c r="L440" s="51">
        <v>45167</v>
      </c>
      <c r="M440" s="1" t="s">
        <v>139</v>
      </c>
      <c r="N440" s="1">
        <v>-5</v>
      </c>
      <c r="O440" s="1">
        <v>25.12</v>
      </c>
      <c r="P440" s="1">
        <v>-628000</v>
      </c>
      <c r="Q440" s="1">
        <v>-12.1</v>
      </c>
      <c r="R440" s="1" t="s">
        <v>83</v>
      </c>
      <c r="T440" s="50">
        <f>IF(ISNUMBER(VLOOKUP(U440,Blotter!B:C,2,0)),VLOOKUP(U440,Blotter!B:C,2,0),"")</f>
        <v>6</v>
      </c>
      <c r="U440" s="49" t="str">
        <f t="shared" si="512"/>
        <v>SIZ3</v>
      </c>
      <c r="V440" s="49">
        <f t="shared" si="513"/>
        <v>-5</v>
      </c>
      <c r="W440" s="49">
        <f t="shared" si="514"/>
        <v>25.12</v>
      </c>
      <c r="X440" s="49">
        <f t="shared" si="515"/>
        <v>-12.1</v>
      </c>
    </row>
    <row r="441" spans="1:24" x14ac:dyDescent="0.4">
      <c r="A441" s="1" t="s">
        <v>138</v>
      </c>
      <c r="B441" s="1" t="s">
        <v>83</v>
      </c>
      <c r="C441" s="1" t="s">
        <v>82</v>
      </c>
      <c r="D441" s="1" t="s">
        <v>280</v>
      </c>
      <c r="E441" s="1" t="s">
        <v>284</v>
      </c>
      <c r="F441" s="1" t="s">
        <v>93</v>
      </c>
      <c r="G441" s="1" t="s">
        <v>24</v>
      </c>
      <c r="H441" s="1">
        <v>1000</v>
      </c>
      <c r="J441" s="51">
        <v>45189</v>
      </c>
      <c r="L441" s="51">
        <v>45168</v>
      </c>
      <c r="M441" s="1" t="s">
        <v>135</v>
      </c>
      <c r="N441" s="1">
        <v>2</v>
      </c>
      <c r="O441" s="1">
        <v>81.55</v>
      </c>
      <c r="P441" s="1">
        <v>163100</v>
      </c>
      <c r="Q441" s="1">
        <v>-4.74</v>
      </c>
      <c r="R441" s="1" t="s">
        <v>83</v>
      </c>
      <c r="T441" s="50">
        <f>IF(ISNUMBER(VLOOKUP(U441,Blotter!B:C,2,0)),VLOOKUP(U441,Blotter!B:C,2,0),"")</f>
        <v>21</v>
      </c>
      <c r="U441" s="49" t="str">
        <f t="shared" ref="U441" si="516">D441</f>
        <v>CLV3</v>
      </c>
      <c r="V441" s="49">
        <f t="shared" ref="V441" si="517">N441</f>
        <v>2</v>
      </c>
      <c r="W441" s="49">
        <f t="shared" ref="W441" si="518">O441</f>
        <v>81.55</v>
      </c>
      <c r="X441" s="49">
        <f t="shared" ref="X441" si="519">Q441</f>
        <v>-4.74</v>
      </c>
    </row>
    <row r="442" spans="1:24" x14ac:dyDescent="0.4">
      <c r="A442" s="1" t="s">
        <v>138</v>
      </c>
      <c r="B442" s="1" t="s">
        <v>83</v>
      </c>
      <c r="C442" s="1" t="s">
        <v>82</v>
      </c>
      <c r="D442" s="1" t="s">
        <v>280</v>
      </c>
      <c r="E442" s="1" t="s">
        <v>284</v>
      </c>
      <c r="F442" s="1" t="s">
        <v>93</v>
      </c>
      <c r="G442" s="1" t="s">
        <v>24</v>
      </c>
      <c r="H442" s="1">
        <v>1000</v>
      </c>
      <c r="J442" s="51">
        <v>45189</v>
      </c>
      <c r="L442" s="51">
        <v>45168</v>
      </c>
      <c r="M442" s="1" t="s">
        <v>135</v>
      </c>
      <c r="N442" s="1">
        <v>2</v>
      </c>
      <c r="O442" s="1">
        <v>81</v>
      </c>
      <c r="P442" s="1">
        <v>162000</v>
      </c>
      <c r="Q442" s="1">
        <v>-4.74</v>
      </c>
      <c r="R442" s="1" t="s">
        <v>83</v>
      </c>
      <c r="T442" s="50">
        <f>IF(ISNUMBER(VLOOKUP(U442,Blotter!B:C,2,0)),VLOOKUP(U442,Blotter!B:C,2,0),"")</f>
        <v>21</v>
      </c>
      <c r="U442" s="49" t="str">
        <f t="shared" ref="U442" si="520">D442</f>
        <v>CLV3</v>
      </c>
      <c r="V442" s="49">
        <f t="shared" ref="V442" si="521">N442</f>
        <v>2</v>
      </c>
      <c r="W442" s="49">
        <f t="shared" ref="W442" si="522">O442</f>
        <v>81</v>
      </c>
      <c r="X442" s="49">
        <f t="shared" ref="X442" si="523">Q442</f>
        <v>-4.74</v>
      </c>
    </row>
    <row r="443" spans="1:24" x14ac:dyDescent="0.4">
      <c r="A443" s="1" t="s">
        <v>138</v>
      </c>
      <c r="B443" s="1" t="s">
        <v>83</v>
      </c>
      <c r="C443" s="1" t="s">
        <v>82</v>
      </c>
      <c r="D443" s="1" t="s">
        <v>278</v>
      </c>
      <c r="E443" s="1" t="s">
        <v>279</v>
      </c>
      <c r="F443" s="1" t="s">
        <v>126</v>
      </c>
      <c r="G443" s="1" t="s">
        <v>27</v>
      </c>
      <c r="H443" s="1">
        <v>5000</v>
      </c>
      <c r="J443" s="51">
        <v>45287</v>
      </c>
      <c r="L443" s="51">
        <v>45168</v>
      </c>
      <c r="M443" s="1" t="s">
        <v>135</v>
      </c>
      <c r="N443" s="1">
        <v>15</v>
      </c>
      <c r="O443" s="1">
        <v>24.952000000000002</v>
      </c>
      <c r="P443" s="1">
        <v>1871400</v>
      </c>
      <c r="Q443" s="1">
        <v>-36.299999999999997</v>
      </c>
      <c r="R443" s="1" t="s">
        <v>83</v>
      </c>
      <c r="T443" s="50">
        <f>IF(ISNUMBER(VLOOKUP(U443,Blotter!B:C,2,0)),VLOOKUP(U443,Blotter!B:C,2,0),"")</f>
        <v>6</v>
      </c>
      <c r="U443" s="49" t="str">
        <f t="shared" ref="U443" si="524">D443</f>
        <v>SIZ3</v>
      </c>
      <c r="V443" s="49">
        <f t="shared" ref="V443" si="525">N443</f>
        <v>15</v>
      </c>
      <c r="W443" s="49">
        <f t="shared" ref="W443" si="526">O443</f>
        <v>24.952000000000002</v>
      </c>
      <c r="X443" s="49">
        <f t="shared" ref="X443" si="527">Q443</f>
        <v>-36.299999999999997</v>
      </c>
    </row>
    <row r="444" spans="1:24" x14ac:dyDescent="0.4">
      <c r="A444" s="1" t="s">
        <v>138</v>
      </c>
      <c r="B444" s="1" t="s">
        <v>83</v>
      </c>
      <c r="C444" s="1" t="s">
        <v>82</v>
      </c>
      <c r="D444" s="1" t="s">
        <v>278</v>
      </c>
      <c r="E444" s="1" t="s">
        <v>279</v>
      </c>
      <c r="F444" s="1" t="s">
        <v>126</v>
      </c>
      <c r="G444" s="1" t="s">
        <v>27</v>
      </c>
      <c r="H444" s="1">
        <v>5000</v>
      </c>
      <c r="J444" s="51">
        <v>45287</v>
      </c>
      <c r="L444" s="51">
        <v>45168</v>
      </c>
      <c r="M444" s="1" t="s">
        <v>135</v>
      </c>
      <c r="N444" s="1">
        <v>10</v>
      </c>
      <c r="O444" s="1">
        <v>25.22</v>
      </c>
      <c r="P444" s="1">
        <v>1261000</v>
      </c>
      <c r="Q444" s="1">
        <v>-24.2</v>
      </c>
      <c r="R444" s="1" t="s">
        <v>83</v>
      </c>
      <c r="T444" s="50">
        <f>IF(ISNUMBER(VLOOKUP(U444,Blotter!B:C,2,0)),VLOOKUP(U444,Blotter!B:C,2,0),"")</f>
        <v>6</v>
      </c>
      <c r="U444" s="49" t="str">
        <f t="shared" ref="U444:U450" si="528">D444</f>
        <v>SIZ3</v>
      </c>
      <c r="V444" s="49">
        <f t="shared" ref="V444:V450" si="529">N444</f>
        <v>10</v>
      </c>
      <c r="W444" s="49">
        <f t="shared" ref="W444:W450" si="530">O444</f>
        <v>25.22</v>
      </c>
      <c r="X444" s="49">
        <f t="shared" ref="X444:X450" si="531">Q444</f>
        <v>-24.2</v>
      </c>
    </row>
    <row r="445" spans="1:24" x14ac:dyDescent="0.4">
      <c r="A445" s="1" t="s">
        <v>138</v>
      </c>
      <c r="B445" s="1" t="s">
        <v>83</v>
      </c>
      <c r="C445" s="1" t="s">
        <v>82</v>
      </c>
      <c r="D445" s="1" t="s">
        <v>278</v>
      </c>
      <c r="E445" s="1" t="s">
        <v>279</v>
      </c>
      <c r="F445" s="1" t="s">
        <v>126</v>
      </c>
      <c r="G445" s="1" t="s">
        <v>27</v>
      </c>
      <c r="H445" s="1">
        <v>5000</v>
      </c>
      <c r="J445" s="51">
        <v>45287</v>
      </c>
      <c r="L445" s="51">
        <v>45168</v>
      </c>
      <c r="M445" s="1" t="s">
        <v>135</v>
      </c>
      <c r="N445" s="1">
        <v>10</v>
      </c>
      <c r="O445" s="1">
        <v>25.25</v>
      </c>
      <c r="P445" s="1">
        <v>1262500</v>
      </c>
      <c r="Q445" s="1">
        <v>-24.2</v>
      </c>
      <c r="R445" s="1" t="s">
        <v>83</v>
      </c>
      <c r="T445" s="50">
        <f>IF(ISNUMBER(VLOOKUP(U445,Blotter!B:C,2,0)),VLOOKUP(U445,Blotter!B:C,2,0),"")</f>
        <v>6</v>
      </c>
      <c r="U445" s="49" t="str">
        <f t="shared" si="528"/>
        <v>SIZ3</v>
      </c>
      <c r="V445" s="49">
        <f t="shared" si="529"/>
        <v>10</v>
      </c>
      <c r="W445" s="49">
        <f t="shared" si="530"/>
        <v>25.25</v>
      </c>
      <c r="X445" s="49">
        <f t="shared" si="531"/>
        <v>-24.2</v>
      </c>
    </row>
    <row r="446" spans="1:24" x14ac:dyDescent="0.4">
      <c r="A446" s="1" t="s">
        <v>138</v>
      </c>
      <c r="B446" s="1" t="s">
        <v>83</v>
      </c>
      <c r="C446" s="1" t="s">
        <v>82</v>
      </c>
      <c r="D446" s="1" t="s">
        <v>278</v>
      </c>
      <c r="E446" s="1" t="s">
        <v>279</v>
      </c>
      <c r="F446" s="1" t="s">
        <v>126</v>
      </c>
      <c r="G446" s="1" t="s">
        <v>27</v>
      </c>
      <c r="H446" s="1">
        <v>5000</v>
      </c>
      <c r="J446" s="51">
        <v>45287</v>
      </c>
      <c r="L446" s="51">
        <v>45168</v>
      </c>
      <c r="M446" s="1" t="s">
        <v>135</v>
      </c>
      <c r="N446" s="1">
        <v>5</v>
      </c>
      <c r="O446" s="1">
        <v>25.15</v>
      </c>
      <c r="P446" s="1">
        <v>628750</v>
      </c>
      <c r="Q446" s="1">
        <v>-12.1</v>
      </c>
      <c r="R446" s="1" t="s">
        <v>83</v>
      </c>
      <c r="T446" s="50">
        <f>IF(ISNUMBER(VLOOKUP(U446,Blotter!B:C,2,0)),VLOOKUP(U446,Blotter!B:C,2,0),"")</f>
        <v>6</v>
      </c>
      <c r="U446" s="49" t="str">
        <f t="shared" si="528"/>
        <v>SIZ3</v>
      </c>
      <c r="V446" s="49">
        <f t="shared" si="529"/>
        <v>5</v>
      </c>
      <c r="W446" s="49">
        <f t="shared" si="530"/>
        <v>25.15</v>
      </c>
      <c r="X446" s="49">
        <f t="shared" si="531"/>
        <v>-12.1</v>
      </c>
    </row>
    <row r="447" spans="1:24" x14ac:dyDescent="0.4">
      <c r="A447" s="1" t="s">
        <v>138</v>
      </c>
      <c r="B447" s="1" t="s">
        <v>83</v>
      </c>
      <c r="C447" s="1" t="s">
        <v>82</v>
      </c>
      <c r="D447" s="1" t="s">
        <v>278</v>
      </c>
      <c r="E447" s="1" t="s">
        <v>279</v>
      </c>
      <c r="F447" s="1" t="s">
        <v>126</v>
      </c>
      <c r="G447" s="1" t="s">
        <v>27</v>
      </c>
      <c r="H447" s="1">
        <v>5000</v>
      </c>
      <c r="J447" s="51">
        <v>45287</v>
      </c>
      <c r="L447" s="51">
        <v>45168</v>
      </c>
      <c r="M447" s="1" t="s">
        <v>135</v>
      </c>
      <c r="N447" s="1">
        <v>5</v>
      </c>
      <c r="O447" s="1">
        <v>25.08</v>
      </c>
      <c r="P447" s="1">
        <v>627000</v>
      </c>
      <c r="Q447" s="1">
        <v>-12.1</v>
      </c>
      <c r="R447" s="1" t="s">
        <v>83</v>
      </c>
      <c r="T447" s="50">
        <f>IF(ISNUMBER(VLOOKUP(U447,Blotter!B:C,2,0)),VLOOKUP(U447,Blotter!B:C,2,0),"")</f>
        <v>6</v>
      </c>
      <c r="U447" s="49" t="str">
        <f t="shared" si="528"/>
        <v>SIZ3</v>
      </c>
      <c r="V447" s="49">
        <f t="shared" si="529"/>
        <v>5</v>
      </c>
      <c r="W447" s="49">
        <f t="shared" si="530"/>
        <v>25.08</v>
      </c>
      <c r="X447" s="49">
        <f t="shared" si="531"/>
        <v>-12.1</v>
      </c>
    </row>
    <row r="448" spans="1:24" x14ac:dyDescent="0.4">
      <c r="A448" s="1" t="s">
        <v>138</v>
      </c>
      <c r="B448" s="1" t="s">
        <v>83</v>
      </c>
      <c r="C448" s="1" t="s">
        <v>82</v>
      </c>
      <c r="D448" s="1" t="s">
        <v>278</v>
      </c>
      <c r="E448" s="1" t="s">
        <v>279</v>
      </c>
      <c r="F448" s="1" t="s">
        <v>126</v>
      </c>
      <c r="G448" s="1" t="s">
        <v>27</v>
      </c>
      <c r="H448" s="1">
        <v>5000</v>
      </c>
      <c r="J448" s="51">
        <v>45287</v>
      </c>
      <c r="L448" s="51">
        <v>45168</v>
      </c>
      <c r="M448" s="1" t="s">
        <v>139</v>
      </c>
      <c r="N448" s="1">
        <v>-5</v>
      </c>
      <c r="O448" s="1">
        <v>25.15</v>
      </c>
      <c r="P448" s="1">
        <v>-628750</v>
      </c>
      <c r="Q448" s="1">
        <v>-12.1</v>
      </c>
      <c r="R448" s="1" t="s">
        <v>83</v>
      </c>
      <c r="T448" s="50">
        <f>IF(ISNUMBER(VLOOKUP(U448,Blotter!B:C,2,0)),VLOOKUP(U448,Blotter!B:C,2,0),"")</f>
        <v>6</v>
      </c>
      <c r="U448" s="49" t="str">
        <f t="shared" si="528"/>
        <v>SIZ3</v>
      </c>
      <c r="V448" s="49">
        <f t="shared" si="529"/>
        <v>-5</v>
      </c>
      <c r="W448" s="49">
        <f t="shared" si="530"/>
        <v>25.15</v>
      </c>
      <c r="X448" s="49">
        <f t="shared" si="531"/>
        <v>-12.1</v>
      </c>
    </row>
    <row r="449" spans="1:24" x14ac:dyDescent="0.4">
      <c r="A449" s="1" t="s">
        <v>138</v>
      </c>
      <c r="B449" s="1" t="s">
        <v>83</v>
      </c>
      <c r="C449" s="1" t="s">
        <v>82</v>
      </c>
      <c r="D449" s="1" t="s">
        <v>278</v>
      </c>
      <c r="E449" s="1" t="s">
        <v>279</v>
      </c>
      <c r="F449" s="1" t="s">
        <v>126</v>
      </c>
      <c r="G449" s="1" t="s">
        <v>27</v>
      </c>
      <c r="H449" s="1">
        <v>5000</v>
      </c>
      <c r="J449" s="51">
        <v>45287</v>
      </c>
      <c r="L449" s="51">
        <v>45168</v>
      </c>
      <c r="M449" s="1" t="s">
        <v>139</v>
      </c>
      <c r="N449" s="1">
        <v>-5</v>
      </c>
      <c r="O449" s="1">
        <v>25.24</v>
      </c>
      <c r="P449" s="1">
        <v>-631000</v>
      </c>
      <c r="Q449" s="1">
        <v>-12.1</v>
      </c>
      <c r="R449" s="1" t="s">
        <v>83</v>
      </c>
      <c r="T449" s="50">
        <f>IF(ISNUMBER(VLOOKUP(U449,Blotter!B:C,2,0)),VLOOKUP(U449,Blotter!B:C,2,0),"")</f>
        <v>6</v>
      </c>
      <c r="U449" s="49" t="str">
        <f t="shared" si="528"/>
        <v>SIZ3</v>
      </c>
      <c r="V449" s="49">
        <f t="shared" si="529"/>
        <v>-5</v>
      </c>
      <c r="W449" s="49">
        <f t="shared" si="530"/>
        <v>25.24</v>
      </c>
      <c r="X449" s="49">
        <f t="shared" si="531"/>
        <v>-12.1</v>
      </c>
    </row>
    <row r="450" spans="1:24" x14ac:dyDescent="0.4">
      <c r="A450" s="1" t="s">
        <v>138</v>
      </c>
      <c r="B450" s="1" t="s">
        <v>83</v>
      </c>
      <c r="C450" s="1" t="s">
        <v>82</v>
      </c>
      <c r="D450" s="1" t="s">
        <v>278</v>
      </c>
      <c r="E450" s="1" t="s">
        <v>279</v>
      </c>
      <c r="F450" s="1" t="s">
        <v>126</v>
      </c>
      <c r="G450" s="1" t="s">
        <v>27</v>
      </c>
      <c r="H450" s="1">
        <v>5000</v>
      </c>
      <c r="J450" s="51">
        <v>45287</v>
      </c>
      <c r="L450" s="51">
        <v>45168</v>
      </c>
      <c r="M450" s="1" t="s">
        <v>139</v>
      </c>
      <c r="N450" s="1">
        <v>-10</v>
      </c>
      <c r="O450" s="1">
        <v>25.3</v>
      </c>
      <c r="P450" s="1">
        <v>-1265000</v>
      </c>
      <c r="Q450" s="1">
        <v>-24.2</v>
      </c>
      <c r="R450" s="1" t="s">
        <v>83</v>
      </c>
      <c r="T450" s="50">
        <f>IF(ISNUMBER(VLOOKUP(U450,Blotter!B:C,2,0)),VLOOKUP(U450,Blotter!B:C,2,0),"")</f>
        <v>6</v>
      </c>
      <c r="U450" s="49" t="str">
        <f t="shared" si="528"/>
        <v>SIZ3</v>
      </c>
      <c r="V450" s="49">
        <f t="shared" si="529"/>
        <v>-10</v>
      </c>
      <c r="W450" s="49">
        <f t="shared" si="530"/>
        <v>25.3</v>
      </c>
      <c r="X450" s="49">
        <f t="shared" si="531"/>
        <v>-24.2</v>
      </c>
    </row>
    <row r="451" spans="1:24" x14ac:dyDescent="0.4">
      <c r="A451" s="1" t="s">
        <v>138</v>
      </c>
      <c r="B451" s="1" t="s">
        <v>83</v>
      </c>
      <c r="C451" s="1" t="s">
        <v>82</v>
      </c>
      <c r="D451" s="1" t="s">
        <v>278</v>
      </c>
      <c r="E451" s="1" t="s">
        <v>279</v>
      </c>
      <c r="F451" s="1" t="s">
        <v>126</v>
      </c>
      <c r="G451" s="1" t="s">
        <v>27</v>
      </c>
      <c r="H451" s="1">
        <v>5000</v>
      </c>
      <c r="J451" s="51">
        <v>45287</v>
      </c>
      <c r="L451" s="51">
        <v>45168</v>
      </c>
      <c r="M451" s="1" t="s">
        <v>139</v>
      </c>
      <c r="N451" s="1">
        <v>-5</v>
      </c>
      <c r="O451" s="1">
        <v>25.37</v>
      </c>
      <c r="P451" s="1">
        <v>-634250</v>
      </c>
      <c r="Q451" s="1">
        <v>-12.1</v>
      </c>
      <c r="R451" s="1" t="s">
        <v>83</v>
      </c>
      <c r="T451" s="50">
        <f>IF(ISNUMBER(VLOOKUP(U451,Blotter!B:C,2,0)),VLOOKUP(U451,Blotter!B:C,2,0),"")</f>
        <v>6</v>
      </c>
      <c r="U451" s="49" t="str">
        <f t="shared" ref="U451" si="532">D451</f>
        <v>SIZ3</v>
      </c>
      <c r="V451" s="49">
        <f t="shared" ref="V451" si="533">N451</f>
        <v>-5</v>
      </c>
      <c r="W451" s="49">
        <f t="shared" ref="W451" si="534">O451</f>
        <v>25.37</v>
      </c>
      <c r="X451" s="49">
        <f t="shared" ref="X451" si="535">Q451</f>
        <v>-12.1</v>
      </c>
    </row>
    <row r="452" spans="1:24" x14ac:dyDescent="0.4">
      <c r="A452" s="1" t="s">
        <v>138</v>
      </c>
      <c r="B452" s="1" t="s">
        <v>83</v>
      </c>
      <c r="C452" s="1" t="s">
        <v>82</v>
      </c>
      <c r="D452" s="1" t="s">
        <v>278</v>
      </c>
      <c r="E452" s="1" t="s">
        <v>279</v>
      </c>
      <c r="F452" s="1" t="s">
        <v>126</v>
      </c>
      <c r="G452" s="1" t="s">
        <v>27</v>
      </c>
      <c r="H452" s="1">
        <v>5000</v>
      </c>
      <c r="J452" s="51">
        <v>45287</v>
      </c>
      <c r="L452" s="51">
        <v>45169</v>
      </c>
      <c r="M452" s="1" t="s">
        <v>135</v>
      </c>
      <c r="N452" s="1">
        <v>5</v>
      </c>
      <c r="O452" s="1">
        <v>24.89</v>
      </c>
      <c r="P452" s="1">
        <v>622250</v>
      </c>
      <c r="Q452" s="1">
        <v>-12.1</v>
      </c>
      <c r="R452" s="1" t="s">
        <v>83</v>
      </c>
      <c r="T452" s="50">
        <f>IF(ISNUMBER(VLOOKUP(U452,Blotter!B:C,2,0)),VLOOKUP(U452,Blotter!B:C,2,0),"")</f>
        <v>6</v>
      </c>
      <c r="U452" s="49" t="str">
        <f t="shared" ref="U452:U453" si="536">D452</f>
        <v>SIZ3</v>
      </c>
      <c r="V452" s="49">
        <f t="shared" ref="V452:V453" si="537">N452</f>
        <v>5</v>
      </c>
      <c r="W452" s="49">
        <f t="shared" ref="W452:W453" si="538">O452</f>
        <v>24.89</v>
      </c>
      <c r="X452" s="49">
        <f t="shared" ref="X452:X453" si="539">Q452</f>
        <v>-12.1</v>
      </c>
    </row>
    <row r="453" spans="1:24" x14ac:dyDescent="0.4">
      <c r="A453" s="1" t="s">
        <v>138</v>
      </c>
      <c r="B453" s="1" t="s">
        <v>83</v>
      </c>
      <c r="C453" s="1" t="s">
        <v>82</v>
      </c>
      <c r="D453" s="1" t="s">
        <v>278</v>
      </c>
      <c r="E453" s="1" t="s">
        <v>279</v>
      </c>
      <c r="F453" s="1" t="s">
        <v>126</v>
      </c>
      <c r="G453" s="1" t="s">
        <v>27</v>
      </c>
      <c r="H453" s="1">
        <v>5000</v>
      </c>
      <c r="J453" s="51">
        <v>45287</v>
      </c>
      <c r="L453" s="51">
        <v>45169</v>
      </c>
      <c r="M453" s="1" t="s">
        <v>135</v>
      </c>
      <c r="N453" s="1">
        <v>5</v>
      </c>
      <c r="O453" s="1">
        <v>24.78</v>
      </c>
      <c r="P453" s="1">
        <v>619500</v>
      </c>
      <c r="Q453" s="1">
        <v>-12.1</v>
      </c>
      <c r="R453" s="1" t="s">
        <v>83</v>
      </c>
      <c r="T453" s="50">
        <f>IF(ISNUMBER(VLOOKUP(U453,Blotter!B:C,2,0)),VLOOKUP(U453,Blotter!B:C,2,0),"")</f>
        <v>6</v>
      </c>
      <c r="U453" s="49" t="str">
        <f t="shared" si="536"/>
        <v>SIZ3</v>
      </c>
      <c r="V453" s="49">
        <f t="shared" si="537"/>
        <v>5</v>
      </c>
      <c r="W453" s="49">
        <f t="shared" si="538"/>
        <v>24.78</v>
      </c>
      <c r="X453" s="49">
        <f t="shared" si="539"/>
        <v>-12.1</v>
      </c>
    </row>
    <row r="454" spans="1:24" x14ac:dyDescent="0.4">
      <c r="A454" s="1" t="s">
        <v>138</v>
      </c>
      <c r="B454" s="1" t="s">
        <v>83</v>
      </c>
      <c r="C454" s="1" t="s">
        <v>82</v>
      </c>
      <c r="D454" s="1" t="s">
        <v>280</v>
      </c>
      <c r="E454" s="1" t="s">
        <v>284</v>
      </c>
      <c r="F454" s="1" t="s">
        <v>93</v>
      </c>
      <c r="G454" s="1" t="s">
        <v>24</v>
      </c>
      <c r="H454" s="1">
        <v>1000</v>
      </c>
      <c r="J454" s="51">
        <v>45189</v>
      </c>
      <c r="L454" s="51">
        <v>45170</v>
      </c>
      <c r="M454" s="1" t="s">
        <v>139</v>
      </c>
      <c r="N454" s="1">
        <v>-2</v>
      </c>
      <c r="O454" s="1">
        <v>84.7</v>
      </c>
      <c r="P454" s="1">
        <v>-169400</v>
      </c>
      <c r="Q454" s="1">
        <v>-4.74</v>
      </c>
      <c r="R454" s="1" t="s">
        <v>83</v>
      </c>
      <c r="T454" s="50">
        <f>IF(ISNUMBER(VLOOKUP(U454,Blotter!B:C,2,0)),VLOOKUP(U454,Blotter!B:C,2,0),"")</f>
        <v>21</v>
      </c>
      <c r="U454" s="49" t="str">
        <f t="shared" ref="U454:U456" si="540">D454</f>
        <v>CLV3</v>
      </c>
      <c r="V454" s="49">
        <f t="shared" ref="V454:V456" si="541">N454</f>
        <v>-2</v>
      </c>
      <c r="W454" s="49">
        <f t="shared" ref="W454:W456" si="542">O454</f>
        <v>84.7</v>
      </c>
      <c r="X454" s="49">
        <f t="shared" ref="X454:X456" si="543">Q454</f>
        <v>-4.74</v>
      </c>
    </row>
    <row r="455" spans="1:24" x14ac:dyDescent="0.4">
      <c r="A455" s="1" t="s">
        <v>138</v>
      </c>
      <c r="B455" s="1" t="s">
        <v>83</v>
      </c>
      <c r="C455" s="1" t="s">
        <v>82</v>
      </c>
      <c r="D455" s="1" t="s">
        <v>278</v>
      </c>
      <c r="E455" s="1" t="s">
        <v>279</v>
      </c>
      <c r="F455" s="1" t="s">
        <v>126</v>
      </c>
      <c r="G455" s="1" t="s">
        <v>27</v>
      </c>
      <c r="H455" s="1">
        <v>5000</v>
      </c>
      <c r="J455" s="51">
        <v>45287</v>
      </c>
      <c r="L455" s="51">
        <v>45170</v>
      </c>
      <c r="M455" s="1" t="s">
        <v>135</v>
      </c>
      <c r="N455" s="1">
        <v>10</v>
      </c>
      <c r="O455" s="1">
        <v>24.68</v>
      </c>
      <c r="P455" s="1">
        <v>1234000</v>
      </c>
      <c r="Q455" s="1">
        <v>-24.2</v>
      </c>
      <c r="R455" s="1" t="s">
        <v>83</v>
      </c>
      <c r="T455" s="50">
        <f>IF(ISNUMBER(VLOOKUP(U455,Blotter!B:C,2,0)),VLOOKUP(U455,Blotter!B:C,2,0),"")</f>
        <v>6</v>
      </c>
      <c r="U455" s="49" t="str">
        <f t="shared" si="540"/>
        <v>SIZ3</v>
      </c>
      <c r="V455" s="49">
        <f t="shared" si="541"/>
        <v>10</v>
      </c>
      <c r="W455" s="49">
        <f t="shared" si="542"/>
        <v>24.68</v>
      </c>
      <c r="X455" s="49">
        <f t="shared" si="543"/>
        <v>-24.2</v>
      </c>
    </row>
    <row r="456" spans="1:24" x14ac:dyDescent="0.4">
      <c r="A456" s="1" t="s">
        <v>138</v>
      </c>
      <c r="B456" s="1" t="s">
        <v>83</v>
      </c>
      <c r="C456" s="1" t="s">
        <v>82</v>
      </c>
      <c r="D456" s="1" t="s">
        <v>278</v>
      </c>
      <c r="E456" s="1" t="s">
        <v>279</v>
      </c>
      <c r="F456" s="1" t="s">
        <v>126</v>
      </c>
      <c r="G456" s="1" t="s">
        <v>27</v>
      </c>
      <c r="H456" s="1">
        <v>5000</v>
      </c>
      <c r="J456" s="51">
        <v>45287</v>
      </c>
      <c r="L456" s="51">
        <v>45170</v>
      </c>
      <c r="M456" s="1" t="s">
        <v>139</v>
      </c>
      <c r="N456" s="1">
        <v>-10</v>
      </c>
      <c r="O456" s="1">
        <v>24.88</v>
      </c>
      <c r="P456" s="1">
        <v>-1244000</v>
      </c>
      <c r="Q456" s="1">
        <v>-24.2</v>
      </c>
      <c r="R456" s="1" t="s">
        <v>83</v>
      </c>
      <c r="T456" s="50">
        <f>IF(ISNUMBER(VLOOKUP(U456,Blotter!B:C,2,0)),VLOOKUP(U456,Blotter!B:C,2,0),"")</f>
        <v>6</v>
      </c>
      <c r="U456" s="49" t="str">
        <f t="shared" si="540"/>
        <v>SIZ3</v>
      </c>
      <c r="V456" s="49">
        <f t="shared" si="541"/>
        <v>-10</v>
      </c>
      <c r="W456" s="49">
        <f t="shared" si="542"/>
        <v>24.88</v>
      </c>
      <c r="X456" s="49">
        <f t="shared" si="543"/>
        <v>-24.2</v>
      </c>
    </row>
    <row r="457" spans="1:24" x14ac:dyDescent="0.4">
      <c r="A457" s="1" t="s">
        <v>138</v>
      </c>
      <c r="B457" s="1" t="s">
        <v>83</v>
      </c>
      <c r="C457" s="1" t="s">
        <v>82</v>
      </c>
      <c r="D457" s="1" t="s">
        <v>278</v>
      </c>
      <c r="E457" s="1" t="s">
        <v>279</v>
      </c>
      <c r="F457" s="1" t="s">
        <v>126</v>
      </c>
      <c r="G457" s="1" t="s">
        <v>27</v>
      </c>
      <c r="H457" s="1">
        <v>5000</v>
      </c>
      <c r="J457" s="51">
        <v>45287</v>
      </c>
      <c r="L457" s="51">
        <v>45170</v>
      </c>
      <c r="M457" s="1" t="s">
        <v>139</v>
      </c>
      <c r="N457" s="1">
        <v>-10</v>
      </c>
      <c r="O457" s="1">
        <v>25.1</v>
      </c>
      <c r="P457" s="1">
        <v>-1255000</v>
      </c>
      <c r="Q457" s="1">
        <v>-24.2</v>
      </c>
      <c r="R457" s="1" t="s">
        <v>83</v>
      </c>
      <c r="T457" s="50">
        <f>IF(ISNUMBER(VLOOKUP(U457,Blotter!B:C,2,0)),VLOOKUP(U457,Blotter!B:C,2,0),"")</f>
        <v>6</v>
      </c>
      <c r="U457" s="49" t="str">
        <f t="shared" ref="U457" si="544">D457</f>
        <v>SIZ3</v>
      </c>
      <c r="V457" s="49">
        <f t="shared" ref="V457" si="545">N457</f>
        <v>-10</v>
      </c>
      <c r="W457" s="49">
        <f t="shared" ref="W457" si="546">O457</f>
        <v>25.1</v>
      </c>
      <c r="X457" s="49">
        <f t="shared" ref="X457" si="547">Q457</f>
        <v>-24.2</v>
      </c>
    </row>
    <row r="458" spans="1:24" x14ac:dyDescent="0.4">
      <c r="A458" s="1" t="s">
        <v>138</v>
      </c>
      <c r="B458" s="1" t="s">
        <v>83</v>
      </c>
      <c r="C458" s="1" t="s">
        <v>82</v>
      </c>
      <c r="D458" s="1" t="s">
        <v>280</v>
      </c>
      <c r="E458" s="1" t="s">
        <v>284</v>
      </c>
      <c r="F458" s="1" t="s">
        <v>93</v>
      </c>
      <c r="G458" s="1" t="s">
        <v>24</v>
      </c>
      <c r="H458" s="1">
        <v>1000</v>
      </c>
      <c r="J458" s="51">
        <v>45189</v>
      </c>
      <c r="L458" s="51">
        <v>45174</v>
      </c>
      <c r="M458" s="1" t="s">
        <v>139</v>
      </c>
      <c r="N458" s="1">
        <v>-2</v>
      </c>
      <c r="O458" s="1">
        <v>88</v>
      </c>
      <c r="P458" s="1">
        <v>-176000</v>
      </c>
      <c r="Q458" s="1">
        <v>-4.74</v>
      </c>
      <c r="R458" s="1" t="s">
        <v>83</v>
      </c>
      <c r="T458" s="50">
        <f>IF(ISNUMBER(VLOOKUP(U458,Blotter!B:C,2,0)),VLOOKUP(U458,Blotter!B:C,2,0),"")</f>
        <v>21</v>
      </c>
      <c r="U458" s="49" t="str">
        <f t="shared" ref="U458:U508" si="548">D458</f>
        <v>CLV3</v>
      </c>
      <c r="V458" s="49">
        <f t="shared" ref="V458:V508" si="549">N458</f>
        <v>-2</v>
      </c>
      <c r="W458" s="49">
        <f t="shared" ref="W458:W508" si="550">O458</f>
        <v>88</v>
      </c>
      <c r="X458" s="49">
        <f t="shared" ref="X458:X508" si="551">Q458</f>
        <v>-4.74</v>
      </c>
    </row>
    <row r="459" spans="1:24" x14ac:dyDescent="0.4">
      <c r="A459" s="1" t="s">
        <v>138</v>
      </c>
      <c r="B459" s="1" t="s">
        <v>83</v>
      </c>
      <c r="C459" s="1" t="s">
        <v>82</v>
      </c>
      <c r="D459" s="1" t="s">
        <v>278</v>
      </c>
      <c r="E459" s="1" t="s">
        <v>279</v>
      </c>
      <c r="F459" s="1" t="s">
        <v>126</v>
      </c>
      <c r="G459" s="1" t="s">
        <v>27</v>
      </c>
      <c r="H459" s="1">
        <v>5000</v>
      </c>
      <c r="J459" s="51">
        <v>45287</v>
      </c>
      <c r="L459" s="51">
        <v>45174</v>
      </c>
      <c r="M459" s="1" t="s">
        <v>135</v>
      </c>
      <c r="N459" s="1">
        <v>5</v>
      </c>
      <c r="O459" s="1">
        <v>24.375</v>
      </c>
      <c r="P459" s="1">
        <v>609375</v>
      </c>
      <c r="Q459" s="1">
        <v>-12.1</v>
      </c>
      <c r="R459" s="1" t="s">
        <v>83</v>
      </c>
      <c r="T459" s="50">
        <f>IF(ISNUMBER(VLOOKUP(U459,Blotter!B:C,2,0)),VLOOKUP(U459,Blotter!B:C,2,0),"")</f>
        <v>6</v>
      </c>
      <c r="U459" s="49" t="str">
        <f t="shared" si="548"/>
        <v>SIZ3</v>
      </c>
      <c r="V459" s="49">
        <f t="shared" si="549"/>
        <v>5</v>
      </c>
      <c r="W459" s="49">
        <f t="shared" si="550"/>
        <v>24.375</v>
      </c>
      <c r="X459" s="49">
        <f t="shared" si="551"/>
        <v>-12.1</v>
      </c>
    </row>
    <row r="460" spans="1:24" x14ac:dyDescent="0.4">
      <c r="A460" s="1" t="s">
        <v>138</v>
      </c>
      <c r="B460" s="1" t="s">
        <v>83</v>
      </c>
      <c r="C460" s="1" t="s">
        <v>82</v>
      </c>
      <c r="D460" s="1" t="s">
        <v>278</v>
      </c>
      <c r="E460" s="1" t="s">
        <v>279</v>
      </c>
      <c r="F460" s="1" t="s">
        <v>126</v>
      </c>
      <c r="G460" s="1" t="s">
        <v>27</v>
      </c>
      <c r="H460" s="1">
        <v>5000</v>
      </c>
      <c r="J460" s="51">
        <v>45287</v>
      </c>
      <c r="L460" s="51">
        <v>45174</v>
      </c>
      <c r="M460" s="1" t="s">
        <v>135</v>
      </c>
      <c r="N460" s="1">
        <v>5</v>
      </c>
      <c r="O460" s="1">
        <v>24.09</v>
      </c>
      <c r="P460" s="1">
        <v>602250</v>
      </c>
      <c r="Q460" s="1">
        <v>-12.1</v>
      </c>
      <c r="R460" s="1" t="s">
        <v>83</v>
      </c>
      <c r="T460" s="50">
        <f>IF(ISNUMBER(VLOOKUP(U460,Blotter!B:C,2,0)),VLOOKUP(U460,Blotter!B:C,2,0),"")</f>
        <v>6</v>
      </c>
      <c r="U460" s="49" t="str">
        <f t="shared" si="548"/>
        <v>SIZ3</v>
      </c>
      <c r="V460" s="49">
        <f t="shared" si="549"/>
        <v>5</v>
      </c>
      <c r="W460" s="49">
        <f t="shared" si="550"/>
        <v>24.09</v>
      </c>
      <c r="X460" s="49">
        <f t="shared" si="551"/>
        <v>-12.1</v>
      </c>
    </row>
    <row r="461" spans="1:24" x14ac:dyDescent="0.4">
      <c r="A461" s="1" t="s">
        <v>138</v>
      </c>
      <c r="B461" s="1" t="s">
        <v>83</v>
      </c>
      <c r="C461" s="1" t="s">
        <v>82</v>
      </c>
      <c r="D461" s="1" t="s">
        <v>278</v>
      </c>
      <c r="E461" s="1" t="s">
        <v>279</v>
      </c>
      <c r="F461" s="1" t="s">
        <v>126</v>
      </c>
      <c r="G461" s="1" t="s">
        <v>27</v>
      </c>
      <c r="H461" s="1">
        <v>5000</v>
      </c>
      <c r="J461" s="51">
        <v>45287</v>
      </c>
      <c r="L461" s="51">
        <v>45174</v>
      </c>
      <c r="M461" s="1" t="s">
        <v>135</v>
      </c>
      <c r="N461" s="1">
        <v>2</v>
      </c>
      <c r="O461" s="1">
        <v>24.03</v>
      </c>
      <c r="P461" s="1">
        <v>240300</v>
      </c>
      <c r="Q461" s="1">
        <v>-4.84</v>
      </c>
      <c r="R461" s="1" t="s">
        <v>83</v>
      </c>
      <c r="T461" s="50">
        <f>IF(ISNUMBER(VLOOKUP(U461,Blotter!B:C,2,0)),VLOOKUP(U461,Blotter!B:C,2,0),"")</f>
        <v>6</v>
      </c>
      <c r="U461" s="49" t="str">
        <f t="shared" si="548"/>
        <v>SIZ3</v>
      </c>
      <c r="V461" s="49">
        <f t="shared" si="549"/>
        <v>2</v>
      </c>
      <c r="W461" s="49">
        <f t="shared" si="550"/>
        <v>24.03</v>
      </c>
      <c r="X461" s="49">
        <f t="shared" si="551"/>
        <v>-4.84</v>
      </c>
    </row>
    <row r="462" spans="1:24" x14ac:dyDescent="0.4">
      <c r="A462" s="1" t="s">
        <v>138</v>
      </c>
      <c r="B462" s="1" t="s">
        <v>83</v>
      </c>
      <c r="C462" s="1" t="s">
        <v>82</v>
      </c>
      <c r="D462" s="1" t="s">
        <v>278</v>
      </c>
      <c r="E462" s="1" t="s">
        <v>279</v>
      </c>
      <c r="F462" s="1" t="s">
        <v>126</v>
      </c>
      <c r="G462" s="1" t="s">
        <v>27</v>
      </c>
      <c r="H462" s="1">
        <v>5000</v>
      </c>
      <c r="J462" s="51">
        <v>45287</v>
      </c>
      <c r="L462" s="51">
        <v>45174</v>
      </c>
      <c r="M462" s="1" t="s">
        <v>135</v>
      </c>
      <c r="N462" s="1">
        <v>1</v>
      </c>
      <c r="O462" s="1">
        <v>24.03</v>
      </c>
      <c r="P462" s="1">
        <v>120150</v>
      </c>
      <c r="Q462" s="1">
        <v>-2.42</v>
      </c>
      <c r="R462" s="1" t="s">
        <v>83</v>
      </c>
      <c r="T462" s="50">
        <f>IF(ISNUMBER(VLOOKUP(U462,Blotter!B:C,2,0)),VLOOKUP(U462,Blotter!B:C,2,0),"")</f>
        <v>6</v>
      </c>
      <c r="U462" s="49" t="str">
        <f t="shared" si="548"/>
        <v>SIZ3</v>
      </c>
      <c r="V462" s="49">
        <f t="shared" si="549"/>
        <v>1</v>
      </c>
      <c r="W462" s="49">
        <f t="shared" si="550"/>
        <v>24.03</v>
      </c>
      <c r="X462" s="49">
        <f t="shared" si="551"/>
        <v>-2.42</v>
      </c>
    </row>
    <row r="463" spans="1:24" x14ac:dyDescent="0.4">
      <c r="A463" s="1" t="s">
        <v>138</v>
      </c>
      <c r="B463" s="1" t="s">
        <v>83</v>
      </c>
      <c r="C463" s="1" t="s">
        <v>82</v>
      </c>
      <c r="D463" s="1" t="s">
        <v>278</v>
      </c>
      <c r="E463" s="1" t="s">
        <v>279</v>
      </c>
      <c r="F463" s="1" t="s">
        <v>126</v>
      </c>
      <c r="G463" s="1" t="s">
        <v>27</v>
      </c>
      <c r="H463" s="1">
        <v>5000</v>
      </c>
      <c r="J463" s="51">
        <v>45287</v>
      </c>
      <c r="L463" s="51">
        <v>45174</v>
      </c>
      <c r="M463" s="1" t="s">
        <v>135</v>
      </c>
      <c r="N463" s="1">
        <v>2</v>
      </c>
      <c r="O463" s="1">
        <v>24.03</v>
      </c>
      <c r="P463" s="1">
        <v>240300</v>
      </c>
      <c r="Q463" s="1">
        <v>-4.84</v>
      </c>
      <c r="R463" s="1" t="s">
        <v>83</v>
      </c>
      <c r="T463" s="50">
        <f>IF(ISNUMBER(VLOOKUP(U463,Blotter!B:C,2,0)),VLOOKUP(U463,Blotter!B:C,2,0),"")</f>
        <v>6</v>
      </c>
      <c r="U463" s="49" t="str">
        <f t="shared" si="548"/>
        <v>SIZ3</v>
      </c>
      <c r="V463" s="49">
        <f t="shared" si="549"/>
        <v>2</v>
      </c>
      <c r="W463" s="49">
        <f t="shared" si="550"/>
        <v>24.03</v>
      </c>
      <c r="X463" s="49">
        <f t="shared" si="551"/>
        <v>-4.84</v>
      </c>
    </row>
    <row r="464" spans="1:24" x14ac:dyDescent="0.4">
      <c r="A464" s="1" t="s">
        <v>138</v>
      </c>
      <c r="B464" s="1" t="s">
        <v>83</v>
      </c>
      <c r="C464" s="1" t="s">
        <v>82</v>
      </c>
      <c r="D464" s="1" t="s">
        <v>278</v>
      </c>
      <c r="E464" s="1" t="s">
        <v>279</v>
      </c>
      <c r="F464" s="1" t="s">
        <v>126</v>
      </c>
      <c r="G464" s="1" t="s">
        <v>27</v>
      </c>
      <c r="H464" s="1">
        <v>5000</v>
      </c>
      <c r="J464" s="51">
        <v>45287</v>
      </c>
      <c r="L464" s="51">
        <v>45174</v>
      </c>
      <c r="M464" s="1" t="s">
        <v>135</v>
      </c>
      <c r="N464" s="1">
        <v>5</v>
      </c>
      <c r="O464" s="1">
        <v>24.03</v>
      </c>
      <c r="P464" s="1">
        <v>600750</v>
      </c>
      <c r="Q464" s="1">
        <v>-12.1</v>
      </c>
      <c r="R464" s="1" t="s">
        <v>83</v>
      </c>
      <c r="T464" s="50">
        <f>IF(ISNUMBER(VLOOKUP(U464,Blotter!B:C,2,0)),VLOOKUP(U464,Blotter!B:C,2,0),"")</f>
        <v>6</v>
      </c>
      <c r="U464" s="49" t="str">
        <f t="shared" si="548"/>
        <v>SIZ3</v>
      </c>
      <c r="V464" s="49">
        <f t="shared" si="549"/>
        <v>5</v>
      </c>
      <c r="W464" s="49">
        <f t="shared" si="550"/>
        <v>24.03</v>
      </c>
      <c r="X464" s="49">
        <f t="shared" si="551"/>
        <v>-12.1</v>
      </c>
    </row>
    <row r="465" spans="1:24" x14ac:dyDescent="0.4">
      <c r="A465" s="1" t="s">
        <v>138</v>
      </c>
      <c r="B465" s="1" t="s">
        <v>83</v>
      </c>
      <c r="C465" s="1" t="s">
        <v>82</v>
      </c>
      <c r="D465" s="1" t="s">
        <v>278</v>
      </c>
      <c r="E465" s="1" t="s">
        <v>279</v>
      </c>
      <c r="F465" s="1" t="s">
        <v>126</v>
      </c>
      <c r="G465" s="1" t="s">
        <v>27</v>
      </c>
      <c r="H465" s="1">
        <v>5000</v>
      </c>
      <c r="J465" s="51">
        <v>45287</v>
      </c>
      <c r="L465" s="51">
        <v>45174</v>
      </c>
      <c r="M465" s="1" t="s">
        <v>139</v>
      </c>
      <c r="N465" s="1">
        <v>-5</v>
      </c>
      <c r="O465" s="1">
        <v>24.2</v>
      </c>
      <c r="P465" s="1">
        <v>-605000</v>
      </c>
      <c r="Q465" s="1">
        <v>-12.1</v>
      </c>
      <c r="R465" s="1" t="s">
        <v>83</v>
      </c>
      <c r="T465" s="50">
        <f>IF(ISNUMBER(VLOOKUP(U465,Blotter!B:C,2,0)),VLOOKUP(U465,Blotter!B:C,2,0),"")</f>
        <v>6</v>
      </c>
      <c r="U465" s="49" t="str">
        <f t="shared" si="548"/>
        <v>SIZ3</v>
      </c>
      <c r="V465" s="49">
        <f t="shared" si="549"/>
        <v>-5</v>
      </c>
      <c r="W465" s="49">
        <f t="shared" si="550"/>
        <v>24.2</v>
      </c>
      <c r="X465" s="49">
        <f t="shared" si="551"/>
        <v>-12.1</v>
      </c>
    </row>
    <row r="466" spans="1:24" x14ac:dyDescent="0.4">
      <c r="A466" s="1" t="s">
        <v>138</v>
      </c>
      <c r="B466" s="1" t="s">
        <v>83</v>
      </c>
      <c r="C466" s="1" t="s">
        <v>82</v>
      </c>
      <c r="D466" s="1" t="s">
        <v>278</v>
      </c>
      <c r="E466" s="1" t="s">
        <v>279</v>
      </c>
      <c r="F466" s="1" t="s">
        <v>126</v>
      </c>
      <c r="G466" s="1" t="s">
        <v>27</v>
      </c>
      <c r="H466" s="1">
        <v>5000</v>
      </c>
      <c r="J466" s="51">
        <v>45287</v>
      </c>
      <c r="L466" s="51">
        <v>45174</v>
      </c>
      <c r="M466" s="1" t="s">
        <v>139</v>
      </c>
      <c r="N466" s="1">
        <v>-5</v>
      </c>
      <c r="O466" s="1">
        <v>24.08</v>
      </c>
      <c r="P466" s="1">
        <v>-602000</v>
      </c>
      <c r="Q466" s="1">
        <v>-12.1</v>
      </c>
      <c r="R466" s="1" t="s">
        <v>83</v>
      </c>
      <c r="T466" s="50">
        <f>IF(ISNUMBER(VLOOKUP(U466,Blotter!B:C,2,0)),VLOOKUP(U466,Blotter!B:C,2,0),"")</f>
        <v>6</v>
      </c>
      <c r="U466" s="49" t="str">
        <f t="shared" si="548"/>
        <v>SIZ3</v>
      </c>
      <c r="V466" s="49">
        <f t="shared" si="549"/>
        <v>-5</v>
      </c>
      <c r="W466" s="49">
        <f t="shared" si="550"/>
        <v>24.08</v>
      </c>
      <c r="X466" s="49">
        <f t="shared" si="551"/>
        <v>-12.1</v>
      </c>
    </row>
    <row r="467" spans="1:24" x14ac:dyDescent="0.4">
      <c r="A467" s="1" t="s">
        <v>138</v>
      </c>
      <c r="B467" s="1" t="s">
        <v>83</v>
      </c>
      <c r="C467" s="1" t="s">
        <v>82</v>
      </c>
      <c r="D467" s="1" t="s">
        <v>278</v>
      </c>
      <c r="E467" s="1" t="s">
        <v>279</v>
      </c>
      <c r="F467" s="1" t="s">
        <v>126</v>
      </c>
      <c r="G467" s="1" t="s">
        <v>27</v>
      </c>
      <c r="H467" s="1">
        <v>5000</v>
      </c>
      <c r="J467" s="51">
        <v>45287</v>
      </c>
      <c r="L467" s="51">
        <v>45183</v>
      </c>
      <c r="M467" s="1" t="s">
        <v>135</v>
      </c>
      <c r="N467" s="1">
        <v>1</v>
      </c>
      <c r="O467" s="1">
        <v>22.82</v>
      </c>
      <c r="P467" s="1">
        <v>114100</v>
      </c>
      <c r="Q467" s="1">
        <v>-2.42</v>
      </c>
      <c r="R467" s="1" t="s">
        <v>83</v>
      </c>
      <c r="T467" s="50">
        <f>IF(ISNUMBER(VLOOKUP(U467,Blotter!B:C,2,0)),VLOOKUP(U467,Blotter!B:C,2,0),"")</f>
        <v>6</v>
      </c>
      <c r="U467" s="49" t="str">
        <f t="shared" si="548"/>
        <v>SIZ3</v>
      </c>
      <c r="V467" s="49">
        <f t="shared" si="549"/>
        <v>1</v>
      </c>
      <c r="W467" s="49">
        <f t="shared" si="550"/>
        <v>22.82</v>
      </c>
      <c r="X467" s="49">
        <f t="shared" si="551"/>
        <v>-2.42</v>
      </c>
    </row>
    <row r="468" spans="1:24" x14ac:dyDescent="0.4">
      <c r="A468" s="1" t="s">
        <v>138</v>
      </c>
      <c r="B468" s="1" t="s">
        <v>83</v>
      </c>
      <c r="C468" s="1" t="s">
        <v>82</v>
      </c>
      <c r="D468" s="1" t="s">
        <v>278</v>
      </c>
      <c r="E468" s="1" t="s">
        <v>279</v>
      </c>
      <c r="F468" s="1" t="s">
        <v>126</v>
      </c>
      <c r="G468" s="1" t="s">
        <v>27</v>
      </c>
      <c r="H468" s="1">
        <v>5000</v>
      </c>
      <c r="J468" s="51">
        <v>45287</v>
      </c>
      <c r="L468" s="51">
        <v>45183</v>
      </c>
      <c r="M468" s="1" t="s">
        <v>135</v>
      </c>
      <c r="N468" s="1">
        <v>19</v>
      </c>
      <c r="O468" s="1">
        <v>22.82</v>
      </c>
      <c r="P468" s="1">
        <v>2167900</v>
      </c>
      <c r="Q468" s="1">
        <v>-45.98</v>
      </c>
      <c r="R468" s="1" t="s">
        <v>83</v>
      </c>
      <c r="T468" s="50">
        <f>IF(ISNUMBER(VLOOKUP(U468,Blotter!B:C,2,0)),VLOOKUP(U468,Blotter!B:C,2,0),"")</f>
        <v>6</v>
      </c>
      <c r="U468" s="49" t="str">
        <f t="shared" si="548"/>
        <v>SIZ3</v>
      </c>
      <c r="V468" s="49">
        <f t="shared" si="549"/>
        <v>19</v>
      </c>
      <c r="W468" s="49">
        <f t="shared" si="550"/>
        <v>22.82</v>
      </c>
      <c r="X468" s="49">
        <f t="shared" si="551"/>
        <v>-45.98</v>
      </c>
    </row>
    <row r="469" spans="1:24" x14ac:dyDescent="0.4">
      <c r="A469" s="1" t="s">
        <v>138</v>
      </c>
      <c r="B469" s="1" t="s">
        <v>83</v>
      </c>
      <c r="C469" s="1" t="s">
        <v>82</v>
      </c>
      <c r="D469" s="1" t="s">
        <v>278</v>
      </c>
      <c r="E469" s="1" t="s">
        <v>279</v>
      </c>
      <c r="F469" s="1" t="s">
        <v>126</v>
      </c>
      <c r="G469" s="1" t="s">
        <v>27</v>
      </c>
      <c r="H469" s="1">
        <v>5000</v>
      </c>
      <c r="J469" s="51">
        <v>45287</v>
      </c>
      <c r="L469" s="51">
        <v>45183</v>
      </c>
      <c r="M469" s="1" t="s">
        <v>135</v>
      </c>
      <c r="N469" s="1">
        <v>1</v>
      </c>
      <c r="O469" s="1">
        <v>22.79</v>
      </c>
      <c r="P469" s="1">
        <v>113950</v>
      </c>
      <c r="Q469" s="1">
        <v>-2.42</v>
      </c>
      <c r="R469" s="1" t="s">
        <v>83</v>
      </c>
      <c r="T469" s="50">
        <f>IF(ISNUMBER(VLOOKUP(U469,Blotter!B:C,2,0)),VLOOKUP(U469,Blotter!B:C,2,0),"")</f>
        <v>6</v>
      </c>
      <c r="U469" s="49" t="str">
        <f t="shared" si="548"/>
        <v>SIZ3</v>
      </c>
      <c r="V469" s="49">
        <f t="shared" si="549"/>
        <v>1</v>
      </c>
      <c r="W469" s="49">
        <f t="shared" si="550"/>
        <v>22.79</v>
      </c>
      <c r="X469" s="49">
        <f t="shared" si="551"/>
        <v>-2.42</v>
      </c>
    </row>
    <row r="470" spans="1:24" x14ac:dyDescent="0.4">
      <c r="A470" s="1" t="s">
        <v>138</v>
      </c>
      <c r="B470" s="1" t="s">
        <v>83</v>
      </c>
      <c r="C470" s="1" t="s">
        <v>82</v>
      </c>
      <c r="D470" s="1" t="s">
        <v>278</v>
      </c>
      <c r="E470" s="1" t="s">
        <v>279</v>
      </c>
      <c r="F470" s="1" t="s">
        <v>126</v>
      </c>
      <c r="G470" s="1" t="s">
        <v>27</v>
      </c>
      <c r="H470" s="1">
        <v>5000</v>
      </c>
      <c r="J470" s="51">
        <v>45287</v>
      </c>
      <c r="L470" s="51">
        <v>45183</v>
      </c>
      <c r="M470" s="1" t="s">
        <v>135</v>
      </c>
      <c r="N470" s="1">
        <v>1</v>
      </c>
      <c r="O470" s="1">
        <v>22.79</v>
      </c>
      <c r="P470" s="1">
        <v>113950</v>
      </c>
      <c r="Q470" s="1">
        <v>-2.42</v>
      </c>
      <c r="R470" s="1" t="s">
        <v>83</v>
      </c>
      <c r="T470" s="50">
        <f>IF(ISNUMBER(VLOOKUP(U470,Blotter!B:C,2,0)),VLOOKUP(U470,Blotter!B:C,2,0),"")</f>
        <v>6</v>
      </c>
      <c r="U470" s="49" t="str">
        <f t="shared" si="548"/>
        <v>SIZ3</v>
      </c>
      <c r="V470" s="49">
        <f t="shared" si="549"/>
        <v>1</v>
      </c>
      <c r="W470" s="49">
        <f t="shared" si="550"/>
        <v>22.79</v>
      </c>
      <c r="X470" s="49">
        <f t="shared" si="551"/>
        <v>-2.42</v>
      </c>
    </row>
    <row r="471" spans="1:24" x14ac:dyDescent="0.4">
      <c r="A471" s="1" t="s">
        <v>138</v>
      </c>
      <c r="B471" s="1" t="s">
        <v>83</v>
      </c>
      <c r="C471" s="1" t="s">
        <v>82</v>
      </c>
      <c r="D471" s="1" t="s">
        <v>278</v>
      </c>
      <c r="E471" s="1" t="s">
        <v>279</v>
      </c>
      <c r="F471" s="1" t="s">
        <v>126</v>
      </c>
      <c r="G471" s="1" t="s">
        <v>27</v>
      </c>
      <c r="H471" s="1">
        <v>5000</v>
      </c>
      <c r="J471" s="51">
        <v>45287</v>
      </c>
      <c r="L471" s="51">
        <v>45183</v>
      </c>
      <c r="M471" s="1" t="s">
        <v>135</v>
      </c>
      <c r="N471" s="1">
        <v>5</v>
      </c>
      <c r="O471" s="1">
        <v>22.79</v>
      </c>
      <c r="P471" s="1">
        <v>569750</v>
      </c>
      <c r="Q471" s="1">
        <v>-12.1</v>
      </c>
      <c r="R471" s="1" t="s">
        <v>83</v>
      </c>
      <c r="T471" s="50">
        <f>IF(ISNUMBER(VLOOKUP(U471,Blotter!B:C,2,0)),VLOOKUP(U471,Blotter!B:C,2,0),"")</f>
        <v>6</v>
      </c>
      <c r="U471" s="49" t="str">
        <f t="shared" si="548"/>
        <v>SIZ3</v>
      </c>
      <c r="V471" s="49">
        <f t="shared" si="549"/>
        <v>5</v>
      </c>
      <c r="W471" s="49">
        <f t="shared" si="550"/>
        <v>22.79</v>
      </c>
      <c r="X471" s="49">
        <f t="shared" si="551"/>
        <v>-12.1</v>
      </c>
    </row>
    <row r="472" spans="1:24" x14ac:dyDescent="0.4">
      <c r="A472" s="1" t="s">
        <v>138</v>
      </c>
      <c r="B472" s="1" t="s">
        <v>83</v>
      </c>
      <c r="C472" s="1" t="s">
        <v>82</v>
      </c>
      <c r="D472" s="1" t="s">
        <v>278</v>
      </c>
      <c r="E472" s="1" t="s">
        <v>279</v>
      </c>
      <c r="F472" s="1" t="s">
        <v>126</v>
      </c>
      <c r="G472" s="1" t="s">
        <v>27</v>
      </c>
      <c r="H472" s="1">
        <v>5000</v>
      </c>
      <c r="J472" s="51">
        <v>45287</v>
      </c>
      <c r="L472" s="51">
        <v>45183</v>
      </c>
      <c r="M472" s="1" t="s">
        <v>135</v>
      </c>
      <c r="N472" s="1">
        <v>3</v>
      </c>
      <c r="O472" s="1">
        <v>22.79</v>
      </c>
      <c r="P472" s="1">
        <v>341850</v>
      </c>
      <c r="Q472" s="1">
        <v>-7.26</v>
      </c>
      <c r="R472" s="1" t="s">
        <v>83</v>
      </c>
      <c r="T472" s="50">
        <f>IF(ISNUMBER(VLOOKUP(U472,Blotter!B:C,2,0)),VLOOKUP(U472,Blotter!B:C,2,0),"")</f>
        <v>6</v>
      </c>
      <c r="U472" s="49" t="str">
        <f t="shared" si="548"/>
        <v>SIZ3</v>
      </c>
      <c r="V472" s="49">
        <f t="shared" si="549"/>
        <v>3</v>
      </c>
      <c r="W472" s="49">
        <f t="shared" si="550"/>
        <v>22.79</v>
      </c>
      <c r="X472" s="49">
        <f t="shared" si="551"/>
        <v>-7.26</v>
      </c>
    </row>
    <row r="473" spans="1:24" x14ac:dyDescent="0.4">
      <c r="A473" s="1" t="s">
        <v>138</v>
      </c>
      <c r="B473" s="1" t="s">
        <v>83</v>
      </c>
      <c r="C473" s="1" t="s">
        <v>82</v>
      </c>
      <c r="D473" s="1" t="s">
        <v>278</v>
      </c>
      <c r="E473" s="1" t="s">
        <v>279</v>
      </c>
      <c r="F473" s="1" t="s">
        <v>126</v>
      </c>
      <c r="G473" s="1" t="s">
        <v>27</v>
      </c>
      <c r="H473" s="1">
        <v>5000</v>
      </c>
      <c r="J473" s="51">
        <v>45287</v>
      </c>
      <c r="L473" s="51">
        <v>45183</v>
      </c>
      <c r="M473" s="1" t="s">
        <v>135</v>
      </c>
      <c r="N473" s="1">
        <v>10</v>
      </c>
      <c r="O473" s="1">
        <v>22.954999999999998</v>
      </c>
      <c r="P473" s="1">
        <v>1147750</v>
      </c>
      <c r="Q473" s="1">
        <v>-24.2</v>
      </c>
      <c r="R473" s="1" t="s">
        <v>83</v>
      </c>
      <c r="T473" s="50">
        <f>IF(ISNUMBER(VLOOKUP(U473,Blotter!B:C,2,0)),VLOOKUP(U473,Blotter!B:C,2,0),"")</f>
        <v>6</v>
      </c>
      <c r="U473" s="49" t="str">
        <f t="shared" si="548"/>
        <v>SIZ3</v>
      </c>
      <c r="V473" s="49">
        <f t="shared" si="549"/>
        <v>10</v>
      </c>
      <c r="W473" s="49">
        <f t="shared" si="550"/>
        <v>22.954999999999998</v>
      </c>
      <c r="X473" s="49">
        <f t="shared" si="551"/>
        <v>-24.2</v>
      </c>
    </row>
    <row r="474" spans="1:24" x14ac:dyDescent="0.4">
      <c r="A474" s="1" t="s">
        <v>138</v>
      </c>
      <c r="B474" s="1" t="s">
        <v>83</v>
      </c>
      <c r="C474" s="1" t="s">
        <v>82</v>
      </c>
      <c r="D474" s="1" t="s">
        <v>278</v>
      </c>
      <c r="E474" s="1" t="s">
        <v>279</v>
      </c>
      <c r="F474" s="1" t="s">
        <v>126</v>
      </c>
      <c r="G474" s="1" t="s">
        <v>27</v>
      </c>
      <c r="H474" s="1">
        <v>5000</v>
      </c>
      <c r="J474" s="51">
        <v>45287</v>
      </c>
      <c r="L474" s="51">
        <v>45183</v>
      </c>
      <c r="M474" s="1" t="s">
        <v>139</v>
      </c>
      <c r="N474" s="1">
        <v>-20</v>
      </c>
      <c r="O474" s="1">
        <v>22.82</v>
      </c>
      <c r="P474" s="1">
        <v>-2282000</v>
      </c>
      <c r="Q474" s="1">
        <v>-48.4</v>
      </c>
      <c r="R474" s="1" t="s">
        <v>83</v>
      </c>
      <c r="T474" s="50">
        <f>IF(ISNUMBER(VLOOKUP(U474,Blotter!B:C,2,0)),VLOOKUP(U474,Blotter!B:C,2,0),"")</f>
        <v>6</v>
      </c>
      <c r="U474" s="49" t="str">
        <f t="shared" si="548"/>
        <v>SIZ3</v>
      </c>
      <c r="V474" s="49">
        <f t="shared" si="549"/>
        <v>-20</v>
      </c>
      <c r="W474" s="49">
        <f t="shared" si="550"/>
        <v>22.82</v>
      </c>
      <c r="X474" s="49">
        <f t="shared" si="551"/>
        <v>-48.4</v>
      </c>
    </row>
    <row r="475" spans="1:24" x14ac:dyDescent="0.4">
      <c r="A475" s="1" t="s">
        <v>138</v>
      </c>
      <c r="B475" s="1" t="s">
        <v>83</v>
      </c>
      <c r="C475" s="1" t="s">
        <v>82</v>
      </c>
      <c r="D475" s="1" t="s">
        <v>278</v>
      </c>
      <c r="E475" s="1" t="s">
        <v>279</v>
      </c>
      <c r="F475" s="1" t="s">
        <v>126</v>
      </c>
      <c r="G475" s="1" t="s">
        <v>27</v>
      </c>
      <c r="H475" s="1">
        <v>5000</v>
      </c>
      <c r="J475" s="51">
        <v>45287</v>
      </c>
      <c r="L475" s="51">
        <v>45183</v>
      </c>
      <c r="M475" s="1" t="s">
        <v>139</v>
      </c>
      <c r="N475" s="1">
        <v>-1</v>
      </c>
      <c r="O475" s="1">
        <v>22.9</v>
      </c>
      <c r="P475" s="1">
        <v>-114500</v>
      </c>
      <c r="Q475" s="1">
        <v>-2.42</v>
      </c>
      <c r="R475" s="1" t="s">
        <v>83</v>
      </c>
      <c r="T475" s="50">
        <f>IF(ISNUMBER(VLOOKUP(U475,Blotter!B:C,2,0)),VLOOKUP(U475,Blotter!B:C,2,0),"")</f>
        <v>6</v>
      </c>
      <c r="U475" s="49" t="str">
        <f t="shared" si="548"/>
        <v>SIZ3</v>
      </c>
      <c r="V475" s="49">
        <f t="shared" si="549"/>
        <v>-1</v>
      </c>
      <c r="W475" s="49">
        <f t="shared" si="550"/>
        <v>22.9</v>
      </c>
      <c r="X475" s="49">
        <f t="shared" si="551"/>
        <v>-2.42</v>
      </c>
    </row>
    <row r="476" spans="1:24" x14ac:dyDescent="0.4">
      <c r="A476" s="1" t="s">
        <v>138</v>
      </c>
      <c r="B476" s="1" t="s">
        <v>83</v>
      </c>
      <c r="C476" s="1" t="s">
        <v>82</v>
      </c>
      <c r="D476" s="1" t="s">
        <v>278</v>
      </c>
      <c r="E476" s="1" t="s">
        <v>279</v>
      </c>
      <c r="F476" s="1" t="s">
        <v>126</v>
      </c>
      <c r="G476" s="1" t="s">
        <v>27</v>
      </c>
      <c r="H476" s="1">
        <v>5000</v>
      </c>
      <c r="J476" s="51">
        <v>45287</v>
      </c>
      <c r="L476" s="51">
        <v>45183</v>
      </c>
      <c r="M476" s="1" t="s">
        <v>139</v>
      </c>
      <c r="N476" s="1">
        <v>-5</v>
      </c>
      <c r="O476" s="1">
        <v>22.9</v>
      </c>
      <c r="P476" s="1">
        <v>-572500</v>
      </c>
      <c r="Q476" s="1">
        <v>-12.1</v>
      </c>
      <c r="R476" s="1" t="s">
        <v>83</v>
      </c>
      <c r="T476" s="50">
        <f>IF(ISNUMBER(VLOOKUP(U476,Blotter!B:C,2,0)),VLOOKUP(U476,Blotter!B:C,2,0),"")</f>
        <v>6</v>
      </c>
      <c r="U476" s="49" t="str">
        <f t="shared" si="548"/>
        <v>SIZ3</v>
      </c>
      <c r="V476" s="49">
        <f t="shared" si="549"/>
        <v>-5</v>
      </c>
      <c r="W476" s="49">
        <f t="shared" si="550"/>
        <v>22.9</v>
      </c>
      <c r="X476" s="49">
        <f t="shared" si="551"/>
        <v>-12.1</v>
      </c>
    </row>
    <row r="477" spans="1:24" x14ac:dyDescent="0.4">
      <c r="A477" s="1" t="s">
        <v>138</v>
      </c>
      <c r="B477" s="1" t="s">
        <v>83</v>
      </c>
      <c r="C477" s="1" t="s">
        <v>82</v>
      </c>
      <c r="D477" s="1" t="s">
        <v>278</v>
      </c>
      <c r="E477" s="1" t="s">
        <v>279</v>
      </c>
      <c r="F477" s="1" t="s">
        <v>126</v>
      </c>
      <c r="G477" s="1" t="s">
        <v>27</v>
      </c>
      <c r="H477" s="1">
        <v>5000</v>
      </c>
      <c r="J477" s="51">
        <v>45287</v>
      </c>
      <c r="L477" s="51">
        <v>45183</v>
      </c>
      <c r="M477" s="1" t="s">
        <v>139</v>
      </c>
      <c r="N477" s="1">
        <v>-13</v>
      </c>
      <c r="O477" s="1">
        <v>22.9</v>
      </c>
      <c r="P477" s="1">
        <v>-1488500</v>
      </c>
      <c r="Q477" s="1">
        <v>-31.46</v>
      </c>
      <c r="R477" s="1" t="s">
        <v>83</v>
      </c>
      <c r="T477" s="50">
        <f>IF(ISNUMBER(VLOOKUP(U477,Blotter!B:C,2,0)),VLOOKUP(U477,Blotter!B:C,2,0),"")</f>
        <v>6</v>
      </c>
      <c r="U477" s="49" t="str">
        <f t="shared" si="548"/>
        <v>SIZ3</v>
      </c>
      <c r="V477" s="49">
        <f t="shared" si="549"/>
        <v>-13</v>
      </c>
      <c r="W477" s="49">
        <f t="shared" si="550"/>
        <v>22.9</v>
      </c>
      <c r="X477" s="49">
        <f t="shared" si="551"/>
        <v>-31.46</v>
      </c>
    </row>
    <row r="478" spans="1:24" x14ac:dyDescent="0.4">
      <c r="A478" s="1" t="s">
        <v>138</v>
      </c>
      <c r="B478" s="1" t="s">
        <v>83</v>
      </c>
      <c r="C478" s="1" t="s">
        <v>82</v>
      </c>
      <c r="D478" s="1" t="s">
        <v>278</v>
      </c>
      <c r="E478" s="1" t="s">
        <v>279</v>
      </c>
      <c r="F478" s="1" t="s">
        <v>126</v>
      </c>
      <c r="G478" s="1" t="s">
        <v>27</v>
      </c>
      <c r="H478" s="1">
        <v>5000</v>
      </c>
      <c r="J478" s="51">
        <v>45287</v>
      </c>
      <c r="L478" s="51">
        <v>45183</v>
      </c>
      <c r="M478" s="1" t="s">
        <v>139</v>
      </c>
      <c r="N478" s="1">
        <v>-1</v>
      </c>
      <c r="O478" s="1">
        <v>22.9</v>
      </c>
      <c r="P478" s="1">
        <v>-114500</v>
      </c>
      <c r="Q478" s="1">
        <v>-2.42</v>
      </c>
      <c r="R478" s="1" t="s">
        <v>83</v>
      </c>
      <c r="T478" s="50">
        <f>IF(ISNUMBER(VLOOKUP(U478,Blotter!B:C,2,0)),VLOOKUP(U478,Blotter!B:C,2,0),"")</f>
        <v>6</v>
      </c>
      <c r="U478" s="49" t="str">
        <f t="shared" si="548"/>
        <v>SIZ3</v>
      </c>
      <c r="V478" s="49">
        <f t="shared" si="549"/>
        <v>-1</v>
      </c>
      <c r="W478" s="49">
        <f t="shared" si="550"/>
        <v>22.9</v>
      </c>
      <c r="X478" s="49">
        <f t="shared" si="551"/>
        <v>-2.42</v>
      </c>
    </row>
    <row r="479" spans="1:24" x14ac:dyDescent="0.4">
      <c r="A479" s="1" t="s">
        <v>138</v>
      </c>
      <c r="B479" s="1" t="s">
        <v>83</v>
      </c>
      <c r="C479" s="1" t="s">
        <v>82</v>
      </c>
      <c r="D479" s="1" t="s">
        <v>278</v>
      </c>
      <c r="E479" s="1" t="s">
        <v>279</v>
      </c>
      <c r="F479" s="1" t="s">
        <v>126</v>
      </c>
      <c r="G479" s="1" t="s">
        <v>27</v>
      </c>
      <c r="H479" s="1">
        <v>5000</v>
      </c>
      <c r="J479" s="51">
        <v>45287</v>
      </c>
      <c r="L479" s="51">
        <v>45184</v>
      </c>
      <c r="M479" s="1" t="s">
        <v>135</v>
      </c>
      <c r="N479" s="1">
        <v>20</v>
      </c>
      <c r="O479" s="1">
        <v>23.35</v>
      </c>
      <c r="P479" s="1">
        <v>2335000</v>
      </c>
      <c r="Q479" s="1">
        <v>-48.4</v>
      </c>
      <c r="R479" s="1" t="s">
        <v>83</v>
      </c>
      <c r="T479" s="50">
        <f>IF(ISNUMBER(VLOOKUP(U479,Blotter!B:C,2,0)),VLOOKUP(U479,Blotter!B:C,2,0),"")</f>
        <v>6</v>
      </c>
      <c r="U479" s="49" t="str">
        <f t="shared" si="548"/>
        <v>SIZ3</v>
      </c>
      <c r="V479" s="49">
        <f t="shared" si="549"/>
        <v>20</v>
      </c>
      <c r="W479" s="49">
        <f t="shared" si="550"/>
        <v>23.35</v>
      </c>
      <c r="X479" s="49">
        <f t="shared" si="551"/>
        <v>-48.4</v>
      </c>
    </row>
    <row r="480" spans="1:24" x14ac:dyDescent="0.4">
      <c r="A480" s="1" t="s">
        <v>138</v>
      </c>
      <c r="B480" s="1" t="s">
        <v>83</v>
      </c>
      <c r="C480" s="1" t="s">
        <v>82</v>
      </c>
      <c r="D480" s="1" t="s">
        <v>278</v>
      </c>
      <c r="E480" s="1" t="s">
        <v>279</v>
      </c>
      <c r="F480" s="1" t="s">
        <v>126</v>
      </c>
      <c r="G480" s="1" t="s">
        <v>27</v>
      </c>
      <c r="H480" s="1">
        <v>5000</v>
      </c>
      <c r="J480" s="51">
        <v>45287</v>
      </c>
      <c r="L480" s="51">
        <v>45184</v>
      </c>
      <c r="M480" s="1" t="s">
        <v>135</v>
      </c>
      <c r="N480" s="1">
        <v>20</v>
      </c>
      <c r="O480" s="1">
        <v>23.35</v>
      </c>
      <c r="P480" s="1">
        <v>2335000</v>
      </c>
      <c r="Q480" s="1">
        <v>-48.4</v>
      </c>
      <c r="R480" s="1" t="s">
        <v>83</v>
      </c>
      <c r="T480" s="50">
        <f>IF(ISNUMBER(VLOOKUP(U480,Blotter!B:C,2,0)),VLOOKUP(U480,Blotter!B:C,2,0),"")</f>
        <v>6</v>
      </c>
      <c r="U480" s="49" t="str">
        <f t="shared" si="548"/>
        <v>SIZ3</v>
      </c>
      <c r="V480" s="49">
        <f t="shared" si="549"/>
        <v>20</v>
      </c>
      <c r="W480" s="49">
        <f t="shared" si="550"/>
        <v>23.35</v>
      </c>
      <c r="X480" s="49">
        <f t="shared" si="551"/>
        <v>-48.4</v>
      </c>
    </row>
    <row r="481" spans="1:24" x14ac:dyDescent="0.4">
      <c r="A481" s="1" t="s">
        <v>138</v>
      </c>
      <c r="B481" s="1" t="s">
        <v>83</v>
      </c>
      <c r="C481" s="1" t="s">
        <v>82</v>
      </c>
      <c r="D481" s="1" t="s">
        <v>278</v>
      </c>
      <c r="E481" s="1" t="s">
        <v>279</v>
      </c>
      <c r="F481" s="1" t="s">
        <v>126</v>
      </c>
      <c r="G481" s="1" t="s">
        <v>27</v>
      </c>
      <c r="H481" s="1">
        <v>5000</v>
      </c>
      <c r="J481" s="51">
        <v>45287</v>
      </c>
      <c r="L481" s="51">
        <v>45184</v>
      </c>
      <c r="M481" s="1" t="s">
        <v>135</v>
      </c>
      <c r="N481" s="1">
        <v>10</v>
      </c>
      <c r="O481" s="1">
        <v>23.43</v>
      </c>
      <c r="P481" s="1">
        <v>1171500</v>
      </c>
      <c r="Q481" s="1">
        <v>-24.2</v>
      </c>
      <c r="R481" s="1" t="s">
        <v>83</v>
      </c>
      <c r="T481" s="50">
        <f>IF(ISNUMBER(VLOOKUP(U481,Blotter!B:C,2,0)),VLOOKUP(U481,Blotter!B:C,2,0),"")</f>
        <v>6</v>
      </c>
      <c r="U481" s="49" t="str">
        <f t="shared" si="548"/>
        <v>SIZ3</v>
      </c>
      <c r="V481" s="49">
        <f t="shared" si="549"/>
        <v>10</v>
      </c>
      <c r="W481" s="49">
        <f t="shared" si="550"/>
        <v>23.43</v>
      </c>
      <c r="X481" s="49">
        <f t="shared" si="551"/>
        <v>-24.2</v>
      </c>
    </row>
    <row r="482" spans="1:24" x14ac:dyDescent="0.4">
      <c r="A482" s="1" t="s">
        <v>138</v>
      </c>
      <c r="B482" s="1" t="s">
        <v>83</v>
      </c>
      <c r="C482" s="1" t="s">
        <v>82</v>
      </c>
      <c r="D482" s="1" t="s">
        <v>278</v>
      </c>
      <c r="E482" s="1" t="s">
        <v>279</v>
      </c>
      <c r="F482" s="1" t="s">
        <v>126</v>
      </c>
      <c r="G482" s="1" t="s">
        <v>27</v>
      </c>
      <c r="H482" s="1">
        <v>5000</v>
      </c>
      <c r="J482" s="51">
        <v>45287</v>
      </c>
      <c r="L482" s="51">
        <v>45184</v>
      </c>
      <c r="M482" s="1" t="s">
        <v>135</v>
      </c>
      <c r="N482" s="1">
        <v>1</v>
      </c>
      <c r="O482" s="1">
        <v>23.45</v>
      </c>
      <c r="P482" s="1">
        <v>117250</v>
      </c>
      <c r="Q482" s="1">
        <v>-2.42</v>
      </c>
      <c r="R482" s="1" t="s">
        <v>83</v>
      </c>
      <c r="T482" s="50">
        <f>IF(ISNUMBER(VLOOKUP(U482,Blotter!B:C,2,0)),VLOOKUP(U482,Blotter!B:C,2,0),"")</f>
        <v>6</v>
      </c>
      <c r="U482" s="49" t="str">
        <f t="shared" si="548"/>
        <v>SIZ3</v>
      </c>
      <c r="V482" s="49">
        <f t="shared" si="549"/>
        <v>1</v>
      </c>
      <c r="W482" s="49">
        <f t="shared" si="550"/>
        <v>23.45</v>
      </c>
      <c r="X482" s="49">
        <f t="shared" si="551"/>
        <v>-2.42</v>
      </c>
    </row>
    <row r="483" spans="1:24" x14ac:dyDescent="0.4">
      <c r="A483" s="1" t="s">
        <v>138</v>
      </c>
      <c r="B483" s="1" t="s">
        <v>83</v>
      </c>
      <c r="C483" s="1" t="s">
        <v>82</v>
      </c>
      <c r="D483" s="1" t="s">
        <v>278</v>
      </c>
      <c r="E483" s="1" t="s">
        <v>279</v>
      </c>
      <c r="F483" s="1" t="s">
        <v>126</v>
      </c>
      <c r="G483" s="1" t="s">
        <v>27</v>
      </c>
      <c r="H483" s="1">
        <v>5000</v>
      </c>
      <c r="J483" s="51">
        <v>45287</v>
      </c>
      <c r="L483" s="51">
        <v>45184</v>
      </c>
      <c r="M483" s="1" t="s">
        <v>135</v>
      </c>
      <c r="N483" s="1">
        <v>8</v>
      </c>
      <c r="O483" s="1">
        <v>23.45</v>
      </c>
      <c r="P483" s="1">
        <v>938000</v>
      </c>
      <c r="Q483" s="1">
        <v>-19.36</v>
      </c>
      <c r="R483" s="1" t="s">
        <v>83</v>
      </c>
      <c r="T483" s="50">
        <f>IF(ISNUMBER(VLOOKUP(U483,Blotter!B:C,2,0)),VLOOKUP(U483,Blotter!B:C,2,0),"")</f>
        <v>6</v>
      </c>
      <c r="U483" s="49" t="str">
        <f t="shared" si="548"/>
        <v>SIZ3</v>
      </c>
      <c r="V483" s="49">
        <f t="shared" si="549"/>
        <v>8</v>
      </c>
      <c r="W483" s="49">
        <f t="shared" si="550"/>
        <v>23.45</v>
      </c>
      <c r="X483" s="49">
        <f t="shared" si="551"/>
        <v>-19.36</v>
      </c>
    </row>
    <row r="484" spans="1:24" x14ac:dyDescent="0.4">
      <c r="A484" s="1" t="s">
        <v>138</v>
      </c>
      <c r="B484" s="1" t="s">
        <v>83</v>
      </c>
      <c r="C484" s="1" t="s">
        <v>82</v>
      </c>
      <c r="D484" s="1" t="s">
        <v>278</v>
      </c>
      <c r="E484" s="1" t="s">
        <v>279</v>
      </c>
      <c r="F484" s="1" t="s">
        <v>126</v>
      </c>
      <c r="G484" s="1" t="s">
        <v>27</v>
      </c>
      <c r="H484" s="1">
        <v>5000</v>
      </c>
      <c r="J484" s="51">
        <v>45287</v>
      </c>
      <c r="L484" s="51">
        <v>45184</v>
      </c>
      <c r="M484" s="1" t="s">
        <v>135</v>
      </c>
      <c r="N484" s="1">
        <v>1</v>
      </c>
      <c r="O484" s="1">
        <v>23.45</v>
      </c>
      <c r="P484" s="1">
        <v>117250</v>
      </c>
      <c r="Q484" s="1">
        <v>-2.42</v>
      </c>
      <c r="R484" s="1" t="s">
        <v>83</v>
      </c>
      <c r="T484" s="50">
        <f>IF(ISNUMBER(VLOOKUP(U484,Blotter!B:C,2,0)),VLOOKUP(U484,Blotter!B:C,2,0),"")</f>
        <v>6</v>
      </c>
      <c r="U484" s="49" t="str">
        <f t="shared" si="548"/>
        <v>SIZ3</v>
      </c>
      <c r="V484" s="49">
        <f t="shared" si="549"/>
        <v>1</v>
      </c>
      <c r="W484" s="49">
        <f t="shared" si="550"/>
        <v>23.45</v>
      </c>
      <c r="X484" s="49">
        <f t="shared" si="551"/>
        <v>-2.42</v>
      </c>
    </row>
    <row r="485" spans="1:24" x14ac:dyDescent="0.4">
      <c r="A485" s="1" t="s">
        <v>138</v>
      </c>
      <c r="B485" s="1" t="s">
        <v>83</v>
      </c>
      <c r="C485" s="1" t="s">
        <v>82</v>
      </c>
      <c r="D485" s="1" t="s">
        <v>278</v>
      </c>
      <c r="E485" s="1" t="s">
        <v>279</v>
      </c>
      <c r="F485" s="1" t="s">
        <v>126</v>
      </c>
      <c r="G485" s="1" t="s">
        <v>27</v>
      </c>
      <c r="H485" s="1">
        <v>5000</v>
      </c>
      <c r="J485" s="51">
        <v>45287</v>
      </c>
      <c r="L485" s="51">
        <v>45184</v>
      </c>
      <c r="M485" s="1" t="s">
        <v>135</v>
      </c>
      <c r="N485" s="1">
        <v>3</v>
      </c>
      <c r="O485" s="1">
        <v>23.35</v>
      </c>
      <c r="P485" s="1">
        <v>350250</v>
      </c>
      <c r="Q485" s="1">
        <v>-7.26</v>
      </c>
      <c r="R485" s="1" t="s">
        <v>83</v>
      </c>
      <c r="T485" s="50">
        <f>IF(ISNUMBER(VLOOKUP(U485,Blotter!B:C,2,0)),VLOOKUP(U485,Blotter!B:C,2,0),"")</f>
        <v>6</v>
      </c>
      <c r="U485" s="49" t="str">
        <f t="shared" si="548"/>
        <v>SIZ3</v>
      </c>
      <c r="V485" s="49">
        <f t="shared" si="549"/>
        <v>3</v>
      </c>
      <c r="W485" s="49">
        <f t="shared" si="550"/>
        <v>23.35</v>
      </c>
      <c r="X485" s="49">
        <f t="shared" si="551"/>
        <v>-7.26</v>
      </c>
    </row>
    <row r="486" spans="1:24" x14ac:dyDescent="0.4">
      <c r="A486" s="1" t="s">
        <v>138</v>
      </c>
      <c r="B486" s="1" t="s">
        <v>83</v>
      </c>
      <c r="C486" s="1" t="s">
        <v>82</v>
      </c>
      <c r="D486" s="1" t="s">
        <v>278</v>
      </c>
      <c r="E486" s="1" t="s">
        <v>279</v>
      </c>
      <c r="F486" s="1" t="s">
        <v>126</v>
      </c>
      <c r="G486" s="1" t="s">
        <v>27</v>
      </c>
      <c r="H486" s="1">
        <v>5000</v>
      </c>
      <c r="J486" s="51">
        <v>45287</v>
      </c>
      <c r="L486" s="51">
        <v>45184</v>
      </c>
      <c r="M486" s="1" t="s">
        <v>135</v>
      </c>
      <c r="N486" s="1">
        <v>1</v>
      </c>
      <c r="O486" s="1">
        <v>23.35</v>
      </c>
      <c r="P486" s="1">
        <v>116750</v>
      </c>
      <c r="Q486" s="1">
        <v>-2.42</v>
      </c>
      <c r="R486" s="1" t="s">
        <v>83</v>
      </c>
      <c r="T486" s="50">
        <f>IF(ISNUMBER(VLOOKUP(U486,Blotter!B:C,2,0)),VLOOKUP(U486,Blotter!B:C,2,0),"")</f>
        <v>6</v>
      </c>
      <c r="U486" s="49" t="str">
        <f t="shared" si="548"/>
        <v>SIZ3</v>
      </c>
      <c r="V486" s="49">
        <f t="shared" si="549"/>
        <v>1</v>
      </c>
      <c r="W486" s="49">
        <f t="shared" si="550"/>
        <v>23.35</v>
      </c>
      <c r="X486" s="49">
        <f t="shared" si="551"/>
        <v>-2.42</v>
      </c>
    </row>
    <row r="487" spans="1:24" x14ac:dyDescent="0.4">
      <c r="A487" s="1" t="s">
        <v>138</v>
      </c>
      <c r="B487" s="1" t="s">
        <v>83</v>
      </c>
      <c r="C487" s="1" t="s">
        <v>82</v>
      </c>
      <c r="D487" s="1" t="s">
        <v>278</v>
      </c>
      <c r="E487" s="1" t="s">
        <v>279</v>
      </c>
      <c r="F487" s="1" t="s">
        <v>126</v>
      </c>
      <c r="G487" s="1" t="s">
        <v>27</v>
      </c>
      <c r="H487" s="1">
        <v>5000</v>
      </c>
      <c r="J487" s="51">
        <v>45287</v>
      </c>
      <c r="L487" s="51">
        <v>45184</v>
      </c>
      <c r="M487" s="1" t="s">
        <v>135</v>
      </c>
      <c r="N487" s="1">
        <v>6</v>
      </c>
      <c r="O487" s="1">
        <v>23.35</v>
      </c>
      <c r="P487" s="1">
        <v>700500</v>
      </c>
      <c r="Q487" s="1">
        <v>-14.52</v>
      </c>
      <c r="R487" s="1" t="s">
        <v>83</v>
      </c>
      <c r="T487" s="50">
        <f>IF(ISNUMBER(VLOOKUP(U487,Blotter!B:C,2,0)),VLOOKUP(U487,Blotter!B:C,2,0),"")</f>
        <v>6</v>
      </c>
      <c r="U487" s="49" t="str">
        <f t="shared" si="548"/>
        <v>SIZ3</v>
      </c>
      <c r="V487" s="49">
        <f t="shared" si="549"/>
        <v>6</v>
      </c>
      <c r="W487" s="49">
        <f t="shared" si="550"/>
        <v>23.35</v>
      </c>
      <c r="X487" s="49">
        <f t="shared" si="551"/>
        <v>-14.52</v>
      </c>
    </row>
    <row r="488" spans="1:24" x14ac:dyDescent="0.4">
      <c r="A488" s="1" t="s">
        <v>138</v>
      </c>
      <c r="B488" s="1" t="s">
        <v>83</v>
      </c>
      <c r="C488" s="1" t="s">
        <v>82</v>
      </c>
      <c r="D488" s="1" t="s">
        <v>278</v>
      </c>
      <c r="E488" s="1" t="s">
        <v>279</v>
      </c>
      <c r="F488" s="1" t="s">
        <v>126</v>
      </c>
      <c r="G488" s="1" t="s">
        <v>27</v>
      </c>
      <c r="H488" s="1">
        <v>5000</v>
      </c>
      <c r="J488" s="51">
        <v>45287</v>
      </c>
      <c r="L488" s="51">
        <v>45184</v>
      </c>
      <c r="M488" s="1" t="s">
        <v>135</v>
      </c>
      <c r="N488" s="1">
        <v>10</v>
      </c>
      <c r="O488" s="1">
        <v>23.3</v>
      </c>
      <c r="P488" s="1">
        <v>1165000</v>
      </c>
      <c r="Q488" s="1">
        <v>-24.2</v>
      </c>
      <c r="R488" s="1" t="s">
        <v>83</v>
      </c>
      <c r="T488" s="50">
        <f>IF(ISNUMBER(VLOOKUP(U488,Blotter!B:C,2,0)),VLOOKUP(U488,Blotter!B:C,2,0),"")</f>
        <v>6</v>
      </c>
      <c r="U488" s="49" t="str">
        <f t="shared" si="548"/>
        <v>SIZ3</v>
      </c>
      <c r="V488" s="49">
        <f t="shared" si="549"/>
        <v>10</v>
      </c>
      <c r="W488" s="49">
        <f t="shared" si="550"/>
        <v>23.3</v>
      </c>
      <c r="X488" s="49">
        <f t="shared" si="551"/>
        <v>-24.2</v>
      </c>
    </row>
    <row r="489" spans="1:24" x14ac:dyDescent="0.4">
      <c r="A489" s="1" t="s">
        <v>138</v>
      </c>
      <c r="B489" s="1" t="s">
        <v>83</v>
      </c>
      <c r="C489" s="1" t="s">
        <v>82</v>
      </c>
      <c r="D489" s="1" t="s">
        <v>278</v>
      </c>
      <c r="E489" s="1" t="s">
        <v>279</v>
      </c>
      <c r="F489" s="1" t="s">
        <v>126</v>
      </c>
      <c r="G489" s="1" t="s">
        <v>27</v>
      </c>
      <c r="H489" s="1">
        <v>5000</v>
      </c>
      <c r="J489" s="51">
        <v>45287</v>
      </c>
      <c r="L489" s="51">
        <v>45184</v>
      </c>
      <c r="M489" s="1" t="s">
        <v>139</v>
      </c>
      <c r="N489" s="1">
        <v>-20</v>
      </c>
      <c r="O489" s="1">
        <v>23.42</v>
      </c>
      <c r="P489" s="1">
        <v>-2342000</v>
      </c>
      <c r="Q489" s="1">
        <v>-48.4</v>
      </c>
      <c r="R489" s="1" t="s">
        <v>83</v>
      </c>
      <c r="T489" s="50">
        <f>IF(ISNUMBER(VLOOKUP(U489,Blotter!B:C,2,0)),VLOOKUP(U489,Blotter!B:C,2,0),"")</f>
        <v>6</v>
      </c>
      <c r="U489" s="49" t="str">
        <f t="shared" si="548"/>
        <v>SIZ3</v>
      </c>
      <c r="V489" s="49">
        <f t="shared" si="549"/>
        <v>-20</v>
      </c>
      <c r="W489" s="49">
        <f t="shared" si="550"/>
        <v>23.42</v>
      </c>
      <c r="X489" s="49">
        <f t="shared" si="551"/>
        <v>-48.4</v>
      </c>
    </row>
    <row r="490" spans="1:24" x14ac:dyDescent="0.4">
      <c r="A490" s="1" t="s">
        <v>138</v>
      </c>
      <c r="B490" s="1" t="s">
        <v>83</v>
      </c>
      <c r="C490" s="1" t="s">
        <v>82</v>
      </c>
      <c r="D490" s="1" t="s">
        <v>278</v>
      </c>
      <c r="E490" s="1" t="s">
        <v>279</v>
      </c>
      <c r="F490" s="1" t="s">
        <v>126</v>
      </c>
      <c r="G490" s="1" t="s">
        <v>27</v>
      </c>
      <c r="H490" s="1">
        <v>5000</v>
      </c>
      <c r="J490" s="51">
        <v>45287</v>
      </c>
      <c r="L490" s="51">
        <v>45184</v>
      </c>
      <c r="M490" s="1" t="s">
        <v>139</v>
      </c>
      <c r="N490" s="1">
        <v>-30</v>
      </c>
      <c r="O490" s="1">
        <v>23.35</v>
      </c>
      <c r="P490" s="1">
        <v>-3502500</v>
      </c>
      <c r="Q490" s="1">
        <v>-72.599999999999994</v>
      </c>
      <c r="R490" s="1" t="s">
        <v>83</v>
      </c>
      <c r="T490" s="50">
        <f>IF(ISNUMBER(VLOOKUP(U490,Blotter!B:C,2,0)),VLOOKUP(U490,Blotter!B:C,2,0),"")</f>
        <v>6</v>
      </c>
      <c r="U490" s="49" t="str">
        <f t="shared" si="548"/>
        <v>SIZ3</v>
      </c>
      <c r="V490" s="49">
        <f t="shared" si="549"/>
        <v>-30</v>
      </c>
      <c r="W490" s="49">
        <f t="shared" si="550"/>
        <v>23.35</v>
      </c>
      <c r="X490" s="49">
        <f t="shared" si="551"/>
        <v>-72.599999999999994</v>
      </c>
    </row>
    <row r="491" spans="1:24" x14ac:dyDescent="0.4">
      <c r="A491" s="1" t="s">
        <v>138</v>
      </c>
      <c r="B491" s="1" t="s">
        <v>83</v>
      </c>
      <c r="C491" s="1" t="s">
        <v>82</v>
      </c>
      <c r="D491" s="1" t="s">
        <v>278</v>
      </c>
      <c r="E491" s="1" t="s">
        <v>279</v>
      </c>
      <c r="F491" s="1" t="s">
        <v>126</v>
      </c>
      <c r="G491" s="1" t="s">
        <v>27</v>
      </c>
      <c r="H491" s="1">
        <v>5000</v>
      </c>
      <c r="J491" s="51">
        <v>45287</v>
      </c>
      <c r="L491" s="51">
        <v>45184</v>
      </c>
      <c r="M491" s="1" t="s">
        <v>139</v>
      </c>
      <c r="N491" s="1">
        <v>-10</v>
      </c>
      <c r="O491" s="1">
        <v>23.45</v>
      </c>
      <c r="P491" s="1">
        <v>-1172500</v>
      </c>
      <c r="Q491" s="1">
        <v>-24.2</v>
      </c>
      <c r="R491" s="1" t="s">
        <v>83</v>
      </c>
      <c r="T491" s="50">
        <f>IF(ISNUMBER(VLOOKUP(U491,Blotter!B:C,2,0)),VLOOKUP(U491,Blotter!B:C,2,0),"")</f>
        <v>6</v>
      </c>
      <c r="U491" s="49" t="str">
        <f t="shared" si="548"/>
        <v>SIZ3</v>
      </c>
      <c r="V491" s="49">
        <f t="shared" si="549"/>
        <v>-10</v>
      </c>
      <c r="W491" s="49">
        <f t="shared" si="550"/>
        <v>23.45</v>
      </c>
      <c r="X491" s="49">
        <f t="shared" si="551"/>
        <v>-24.2</v>
      </c>
    </row>
    <row r="492" spans="1:24" x14ac:dyDescent="0.4">
      <c r="A492" s="1" t="s">
        <v>138</v>
      </c>
      <c r="B492" s="1" t="s">
        <v>83</v>
      </c>
      <c r="C492" s="1" t="s">
        <v>82</v>
      </c>
      <c r="D492" s="1" t="s">
        <v>278</v>
      </c>
      <c r="E492" s="1" t="s">
        <v>279</v>
      </c>
      <c r="F492" s="1" t="s">
        <v>126</v>
      </c>
      <c r="G492" s="1" t="s">
        <v>27</v>
      </c>
      <c r="H492" s="1">
        <v>5000</v>
      </c>
      <c r="J492" s="51">
        <v>45287</v>
      </c>
      <c r="L492" s="51">
        <v>45184</v>
      </c>
      <c r="M492" s="1" t="s">
        <v>139</v>
      </c>
      <c r="N492" s="1">
        <v>-6</v>
      </c>
      <c r="O492" s="1">
        <v>23.53</v>
      </c>
      <c r="P492" s="1">
        <v>-705900</v>
      </c>
      <c r="Q492" s="1">
        <v>-14.52</v>
      </c>
      <c r="R492" s="1" t="s">
        <v>83</v>
      </c>
      <c r="T492" s="50">
        <f>IF(ISNUMBER(VLOOKUP(U492,Blotter!B:C,2,0)),VLOOKUP(U492,Blotter!B:C,2,0),"")</f>
        <v>6</v>
      </c>
      <c r="U492" s="49" t="str">
        <f t="shared" si="548"/>
        <v>SIZ3</v>
      </c>
      <c r="V492" s="49">
        <f t="shared" si="549"/>
        <v>-6</v>
      </c>
      <c r="W492" s="49">
        <f t="shared" si="550"/>
        <v>23.53</v>
      </c>
      <c r="X492" s="49">
        <f t="shared" si="551"/>
        <v>-14.52</v>
      </c>
    </row>
    <row r="493" spans="1:24" x14ac:dyDescent="0.4">
      <c r="A493" s="1" t="s">
        <v>138</v>
      </c>
      <c r="B493" s="1" t="s">
        <v>83</v>
      </c>
      <c r="C493" s="1" t="s">
        <v>82</v>
      </c>
      <c r="D493" s="1" t="s">
        <v>278</v>
      </c>
      <c r="E493" s="1" t="s">
        <v>279</v>
      </c>
      <c r="F493" s="1" t="s">
        <v>126</v>
      </c>
      <c r="G493" s="1" t="s">
        <v>27</v>
      </c>
      <c r="H493" s="1">
        <v>5000</v>
      </c>
      <c r="J493" s="51">
        <v>45287</v>
      </c>
      <c r="L493" s="51">
        <v>45184</v>
      </c>
      <c r="M493" s="1" t="s">
        <v>139</v>
      </c>
      <c r="N493" s="1">
        <v>-1</v>
      </c>
      <c r="O493" s="1">
        <v>23.53</v>
      </c>
      <c r="P493" s="1">
        <v>-117650</v>
      </c>
      <c r="Q493" s="1">
        <v>-2.42</v>
      </c>
      <c r="R493" s="1" t="s">
        <v>83</v>
      </c>
      <c r="T493" s="50">
        <f>IF(ISNUMBER(VLOOKUP(U493,Blotter!B:C,2,0)),VLOOKUP(U493,Blotter!B:C,2,0),"")</f>
        <v>6</v>
      </c>
      <c r="U493" s="49" t="str">
        <f t="shared" si="548"/>
        <v>SIZ3</v>
      </c>
      <c r="V493" s="49">
        <f t="shared" si="549"/>
        <v>-1</v>
      </c>
      <c r="W493" s="49">
        <f t="shared" si="550"/>
        <v>23.53</v>
      </c>
      <c r="X493" s="49">
        <f t="shared" si="551"/>
        <v>-2.42</v>
      </c>
    </row>
    <row r="494" spans="1:24" x14ac:dyDescent="0.4">
      <c r="A494" s="1" t="s">
        <v>138</v>
      </c>
      <c r="B494" s="1" t="s">
        <v>83</v>
      </c>
      <c r="C494" s="1" t="s">
        <v>82</v>
      </c>
      <c r="D494" s="1" t="s">
        <v>278</v>
      </c>
      <c r="E494" s="1" t="s">
        <v>279</v>
      </c>
      <c r="F494" s="1" t="s">
        <v>126</v>
      </c>
      <c r="G494" s="1" t="s">
        <v>27</v>
      </c>
      <c r="H494" s="1">
        <v>5000</v>
      </c>
      <c r="J494" s="51">
        <v>45287</v>
      </c>
      <c r="L494" s="51">
        <v>45184</v>
      </c>
      <c r="M494" s="1" t="s">
        <v>139</v>
      </c>
      <c r="N494" s="1">
        <v>-3</v>
      </c>
      <c r="O494" s="1">
        <v>23.53</v>
      </c>
      <c r="P494" s="1">
        <v>-352950</v>
      </c>
      <c r="Q494" s="1">
        <v>-7.26</v>
      </c>
      <c r="R494" s="1" t="s">
        <v>83</v>
      </c>
      <c r="T494" s="50">
        <f>IF(ISNUMBER(VLOOKUP(U494,Blotter!B:C,2,0)),VLOOKUP(U494,Blotter!B:C,2,0),"")</f>
        <v>6</v>
      </c>
      <c r="U494" s="49" t="str">
        <f t="shared" si="548"/>
        <v>SIZ3</v>
      </c>
      <c r="V494" s="49">
        <f t="shared" si="549"/>
        <v>-3</v>
      </c>
      <c r="W494" s="49">
        <f t="shared" si="550"/>
        <v>23.53</v>
      </c>
      <c r="X494" s="49">
        <f t="shared" si="551"/>
        <v>-7.26</v>
      </c>
    </row>
    <row r="495" spans="1:24" x14ac:dyDescent="0.4">
      <c r="A495" s="1" t="s">
        <v>138</v>
      </c>
      <c r="B495" s="1" t="s">
        <v>83</v>
      </c>
      <c r="C495" s="1" t="s">
        <v>82</v>
      </c>
      <c r="D495" s="1" t="s">
        <v>278</v>
      </c>
      <c r="E495" s="1" t="s">
        <v>279</v>
      </c>
      <c r="F495" s="1" t="s">
        <v>126</v>
      </c>
      <c r="G495" s="1" t="s">
        <v>27</v>
      </c>
      <c r="H495" s="1">
        <v>5000</v>
      </c>
      <c r="J495" s="51">
        <v>45287</v>
      </c>
      <c r="L495" s="51">
        <v>45187</v>
      </c>
      <c r="M495" s="1" t="s">
        <v>139</v>
      </c>
      <c r="N495" s="1">
        <v>-10</v>
      </c>
      <c r="O495" s="1">
        <v>23.35</v>
      </c>
      <c r="P495" s="1">
        <v>-1167500</v>
      </c>
      <c r="Q495" s="1">
        <v>-24.2</v>
      </c>
      <c r="R495" s="1" t="s">
        <v>83</v>
      </c>
      <c r="T495" s="50">
        <f>IF(ISNUMBER(VLOOKUP(U495,Blotter!B:C,2,0)),VLOOKUP(U495,Blotter!B:C,2,0),"")</f>
        <v>6</v>
      </c>
      <c r="U495" s="49" t="str">
        <f t="shared" si="548"/>
        <v>SIZ3</v>
      </c>
      <c r="V495" s="49">
        <f t="shared" si="549"/>
        <v>-10</v>
      </c>
      <c r="W495" s="49">
        <f t="shared" si="550"/>
        <v>23.35</v>
      </c>
      <c r="X495" s="49">
        <f t="shared" si="551"/>
        <v>-24.2</v>
      </c>
    </row>
    <row r="496" spans="1:24" x14ac:dyDescent="0.4">
      <c r="A496" s="1" t="s">
        <v>138</v>
      </c>
      <c r="B496" s="1" t="s">
        <v>83</v>
      </c>
      <c r="C496" s="1" t="s">
        <v>82</v>
      </c>
      <c r="D496" s="1" t="s">
        <v>278</v>
      </c>
      <c r="E496" s="1" t="s">
        <v>279</v>
      </c>
      <c r="F496" s="1" t="s">
        <v>126</v>
      </c>
      <c r="G496" s="1" t="s">
        <v>27</v>
      </c>
      <c r="H496" s="1">
        <v>5000</v>
      </c>
      <c r="J496" s="51">
        <v>45287</v>
      </c>
      <c r="L496" s="51">
        <v>45187</v>
      </c>
      <c r="M496" s="1" t="s">
        <v>139</v>
      </c>
      <c r="N496" s="1">
        <v>-3</v>
      </c>
      <c r="O496" s="1">
        <v>23.35</v>
      </c>
      <c r="P496" s="1">
        <v>-350250</v>
      </c>
      <c r="Q496" s="1">
        <v>-7.26</v>
      </c>
      <c r="R496" s="1" t="s">
        <v>83</v>
      </c>
      <c r="T496" s="50">
        <f>IF(ISNUMBER(VLOOKUP(U496,Blotter!B:C,2,0)),VLOOKUP(U496,Blotter!B:C,2,0),"")</f>
        <v>6</v>
      </c>
      <c r="U496" s="49" t="str">
        <f t="shared" si="548"/>
        <v>SIZ3</v>
      </c>
      <c r="V496" s="49">
        <f t="shared" si="549"/>
        <v>-3</v>
      </c>
      <c r="W496" s="49">
        <f t="shared" si="550"/>
        <v>23.35</v>
      </c>
      <c r="X496" s="49">
        <f t="shared" si="551"/>
        <v>-7.26</v>
      </c>
    </row>
    <row r="497" spans="1:24" x14ac:dyDescent="0.4">
      <c r="A497" s="1" t="s">
        <v>138</v>
      </c>
      <c r="B497" s="1" t="s">
        <v>83</v>
      </c>
      <c r="C497" s="1" t="s">
        <v>82</v>
      </c>
      <c r="D497" s="1" t="s">
        <v>278</v>
      </c>
      <c r="E497" s="1" t="s">
        <v>279</v>
      </c>
      <c r="F497" s="1" t="s">
        <v>126</v>
      </c>
      <c r="G497" s="1" t="s">
        <v>27</v>
      </c>
      <c r="H497" s="1">
        <v>5000</v>
      </c>
      <c r="J497" s="51">
        <v>45287</v>
      </c>
      <c r="L497" s="51">
        <v>45187</v>
      </c>
      <c r="M497" s="1" t="s">
        <v>139</v>
      </c>
      <c r="N497" s="1">
        <v>-23</v>
      </c>
      <c r="O497" s="1">
        <v>23.35</v>
      </c>
      <c r="P497" s="1">
        <v>-2685250</v>
      </c>
      <c r="Q497" s="1">
        <v>-55.66</v>
      </c>
      <c r="R497" s="1" t="s">
        <v>83</v>
      </c>
      <c r="T497" s="50">
        <f>IF(ISNUMBER(VLOOKUP(U497,Blotter!B:C,2,0)),VLOOKUP(U497,Blotter!B:C,2,0),"")</f>
        <v>6</v>
      </c>
      <c r="U497" s="49" t="str">
        <f t="shared" si="548"/>
        <v>SIZ3</v>
      </c>
      <c r="V497" s="49">
        <f t="shared" si="549"/>
        <v>-23</v>
      </c>
      <c r="W497" s="49">
        <f t="shared" si="550"/>
        <v>23.35</v>
      </c>
      <c r="X497" s="49">
        <f t="shared" si="551"/>
        <v>-55.66</v>
      </c>
    </row>
    <row r="498" spans="1:24" x14ac:dyDescent="0.4">
      <c r="A498" s="1" t="s">
        <v>138</v>
      </c>
      <c r="B498" s="1" t="s">
        <v>83</v>
      </c>
      <c r="C498" s="1" t="s">
        <v>82</v>
      </c>
      <c r="D498" s="1" t="s">
        <v>278</v>
      </c>
      <c r="E498" s="1" t="s">
        <v>279</v>
      </c>
      <c r="F498" s="1" t="s">
        <v>126</v>
      </c>
      <c r="G498" s="1" t="s">
        <v>27</v>
      </c>
      <c r="H498" s="1">
        <v>5000</v>
      </c>
      <c r="J498" s="51">
        <v>45287</v>
      </c>
      <c r="L498" s="51">
        <v>45187</v>
      </c>
      <c r="M498" s="1" t="s">
        <v>139</v>
      </c>
      <c r="N498" s="1">
        <v>-1</v>
      </c>
      <c r="O498" s="1">
        <v>23.35</v>
      </c>
      <c r="P498" s="1">
        <v>-116750</v>
      </c>
      <c r="Q498" s="1">
        <v>-2.42</v>
      </c>
      <c r="R498" s="1" t="s">
        <v>83</v>
      </c>
      <c r="T498" s="50">
        <f>IF(ISNUMBER(VLOOKUP(U498,Blotter!B:C,2,0)),VLOOKUP(U498,Blotter!B:C,2,0),"")</f>
        <v>6</v>
      </c>
      <c r="U498" s="49" t="str">
        <f t="shared" si="548"/>
        <v>SIZ3</v>
      </c>
      <c r="V498" s="49">
        <f t="shared" si="549"/>
        <v>-1</v>
      </c>
      <c r="W498" s="49">
        <f t="shared" si="550"/>
        <v>23.35</v>
      </c>
      <c r="X498" s="49">
        <f t="shared" si="551"/>
        <v>-2.42</v>
      </c>
    </row>
    <row r="499" spans="1:24" x14ac:dyDescent="0.4">
      <c r="A499" s="1" t="s">
        <v>138</v>
      </c>
      <c r="B499" s="1" t="s">
        <v>83</v>
      </c>
      <c r="C499" s="1" t="s">
        <v>82</v>
      </c>
      <c r="D499" s="1" t="s">
        <v>278</v>
      </c>
      <c r="E499" s="1" t="s">
        <v>279</v>
      </c>
      <c r="F499" s="1" t="s">
        <v>126</v>
      </c>
      <c r="G499" s="1" t="s">
        <v>27</v>
      </c>
      <c r="H499" s="1">
        <v>5000</v>
      </c>
      <c r="J499" s="51">
        <v>45287</v>
      </c>
      <c r="L499" s="51">
        <v>45187</v>
      </c>
      <c r="M499" s="1" t="s">
        <v>139</v>
      </c>
      <c r="N499" s="1">
        <v>-1</v>
      </c>
      <c r="O499" s="1">
        <v>23.35</v>
      </c>
      <c r="P499" s="1">
        <v>-116750</v>
      </c>
      <c r="Q499" s="1">
        <v>-2.42</v>
      </c>
      <c r="R499" s="1" t="s">
        <v>83</v>
      </c>
      <c r="T499" s="50">
        <f>IF(ISNUMBER(VLOOKUP(U499,Blotter!B:C,2,0)),VLOOKUP(U499,Blotter!B:C,2,0),"")</f>
        <v>6</v>
      </c>
      <c r="U499" s="49" t="str">
        <f t="shared" si="548"/>
        <v>SIZ3</v>
      </c>
      <c r="V499" s="49">
        <f t="shared" si="549"/>
        <v>-1</v>
      </c>
      <c r="W499" s="49">
        <f t="shared" si="550"/>
        <v>23.35</v>
      </c>
      <c r="X499" s="49">
        <f t="shared" si="551"/>
        <v>-2.42</v>
      </c>
    </row>
    <row r="500" spans="1:24" x14ac:dyDescent="0.4">
      <c r="A500" s="1" t="s">
        <v>138</v>
      </c>
      <c r="B500" s="1" t="s">
        <v>83</v>
      </c>
      <c r="C500" s="1" t="s">
        <v>82</v>
      </c>
      <c r="D500" s="1" t="s">
        <v>278</v>
      </c>
      <c r="E500" s="1" t="s">
        <v>279</v>
      </c>
      <c r="F500" s="1" t="s">
        <v>126</v>
      </c>
      <c r="G500" s="1" t="s">
        <v>27</v>
      </c>
      <c r="H500" s="1">
        <v>5000</v>
      </c>
      <c r="J500" s="51">
        <v>45287</v>
      </c>
      <c r="L500" s="51">
        <v>45187</v>
      </c>
      <c r="M500" s="1" t="s">
        <v>139</v>
      </c>
      <c r="N500" s="1">
        <v>-2</v>
      </c>
      <c r="O500" s="1">
        <v>23.35</v>
      </c>
      <c r="P500" s="1">
        <v>-233500</v>
      </c>
      <c r="Q500" s="1">
        <v>-4.84</v>
      </c>
      <c r="R500" s="1" t="s">
        <v>83</v>
      </c>
      <c r="T500" s="50">
        <f>IF(ISNUMBER(VLOOKUP(U500,Blotter!B:C,2,0)),VLOOKUP(U500,Blotter!B:C,2,0),"")</f>
        <v>6</v>
      </c>
      <c r="U500" s="49" t="str">
        <f t="shared" si="548"/>
        <v>SIZ3</v>
      </c>
      <c r="V500" s="49">
        <f t="shared" si="549"/>
        <v>-2</v>
      </c>
      <c r="W500" s="49">
        <f t="shared" si="550"/>
        <v>23.35</v>
      </c>
      <c r="X500" s="49">
        <f t="shared" si="551"/>
        <v>-4.84</v>
      </c>
    </row>
    <row r="501" spans="1:24" x14ac:dyDescent="0.4">
      <c r="A501" s="1" t="s">
        <v>138</v>
      </c>
      <c r="B501" s="1" t="s">
        <v>83</v>
      </c>
      <c r="C501" s="1" t="s">
        <v>82</v>
      </c>
      <c r="D501" s="1" t="s">
        <v>278</v>
      </c>
      <c r="E501" s="1" t="s">
        <v>279</v>
      </c>
      <c r="F501" s="1" t="s">
        <v>126</v>
      </c>
      <c r="G501" s="1" t="s">
        <v>27</v>
      </c>
      <c r="H501" s="1">
        <v>5000</v>
      </c>
      <c r="J501" s="51">
        <v>45287</v>
      </c>
      <c r="L501" s="51">
        <v>45187</v>
      </c>
      <c r="M501" s="1" t="s">
        <v>139</v>
      </c>
      <c r="N501" s="1">
        <v>-10</v>
      </c>
      <c r="O501" s="1">
        <v>23.434999999999999</v>
      </c>
      <c r="P501" s="1">
        <v>-1171750</v>
      </c>
      <c r="Q501" s="1">
        <v>-24.2</v>
      </c>
      <c r="R501" s="1" t="s">
        <v>83</v>
      </c>
      <c r="T501" s="50">
        <f>IF(ISNUMBER(VLOOKUP(U501,Blotter!B:C,2,0)),VLOOKUP(U501,Blotter!B:C,2,0),"")</f>
        <v>6</v>
      </c>
      <c r="U501" s="49" t="str">
        <f t="shared" si="548"/>
        <v>SIZ3</v>
      </c>
      <c r="V501" s="49">
        <f t="shared" si="549"/>
        <v>-10</v>
      </c>
      <c r="W501" s="49">
        <f t="shared" si="550"/>
        <v>23.434999999999999</v>
      </c>
      <c r="X501" s="49">
        <f t="shared" si="551"/>
        <v>-24.2</v>
      </c>
    </row>
    <row r="502" spans="1:24" x14ac:dyDescent="0.4">
      <c r="A502" s="1" t="s">
        <v>138</v>
      </c>
      <c r="B502" s="1" t="s">
        <v>83</v>
      </c>
      <c r="C502" s="1" t="s">
        <v>82</v>
      </c>
      <c r="D502" s="1" t="s">
        <v>278</v>
      </c>
      <c r="E502" s="1" t="s">
        <v>279</v>
      </c>
      <c r="F502" s="1" t="s">
        <v>126</v>
      </c>
      <c r="G502" s="1" t="s">
        <v>27</v>
      </c>
      <c r="H502" s="1">
        <v>5000</v>
      </c>
      <c r="J502" s="51">
        <v>45287</v>
      </c>
      <c r="L502" s="51">
        <v>45188</v>
      </c>
      <c r="M502" s="1" t="s">
        <v>135</v>
      </c>
      <c r="N502" s="1">
        <v>10</v>
      </c>
      <c r="O502" s="1">
        <v>23.61</v>
      </c>
      <c r="P502" s="1">
        <v>1180500</v>
      </c>
      <c r="Q502" s="1">
        <v>-24.2</v>
      </c>
      <c r="R502" s="1" t="s">
        <v>83</v>
      </c>
      <c r="T502" s="50">
        <f>IF(ISNUMBER(VLOOKUP(U502,Blotter!B:C,2,0)),VLOOKUP(U502,Blotter!B:C,2,0),"")</f>
        <v>6</v>
      </c>
      <c r="U502" s="49" t="str">
        <f t="shared" si="548"/>
        <v>SIZ3</v>
      </c>
      <c r="V502" s="49">
        <f t="shared" si="549"/>
        <v>10</v>
      </c>
      <c r="W502" s="49">
        <f t="shared" si="550"/>
        <v>23.61</v>
      </c>
      <c r="X502" s="49">
        <f t="shared" si="551"/>
        <v>-24.2</v>
      </c>
    </row>
    <row r="503" spans="1:24" x14ac:dyDescent="0.4">
      <c r="A503" s="1" t="s">
        <v>138</v>
      </c>
      <c r="B503" s="1" t="s">
        <v>83</v>
      </c>
      <c r="C503" s="1" t="s">
        <v>82</v>
      </c>
      <c r="D503" s="1" t="s">
        <v>278</v>
      </c>
      <c r="E503" s="1" t="s">
        <v>279</v>
      </c>
      <c r="F503" s="1" t="s">
        <v>126</v>
      </c>
      <c r="G503" s="1" t="s">
        <v>27</v>
      </c>
      <c r="H503" s="1">
        <v>5000</v>
      </c>
      <c r="J503" s="51">
        <v>45287</v>
      </c>
      <c r="L503" s="51">
        <v>45188</v>
      </c>
      <c r="M503" s="1" t="s">
        <v>135</v>
      </c>
      <c r="N503" s="1">
        <v>10</v>
      </c>
      <c r="O503" s="1">
        <v>23.63</v>
      </c>
      <c r="P503" s="1">
        <v>1181500</v>
      </c>
      <c r="Q503" s="1">
        <v>-24.2</v>
      </c>
      <c r="R503" s="1" t="s">
        <v>83</v>
      </c>
      <c r="T503" s="50">
        <f>IF(ISNUMBER(VLOOKUP(U503,Blotter!B:C,2,0)),VLOOKUP(U503,Blotter!B:C,2,0),"")</f>
        <v>6</v>
      </c>
      <c r="U503" s="49" t="str">
        <f t="shared" si="548"/>
        <v>SIZ3</v>
      </c>
      <c r="V503" s="49">
        <f t="shared" si="549"/>
        <v>10</v>
      </c>
      <c r="W503" s="49">
        <f t="shared" si="550"/>
        <v>23.63</v>
      </c>
      <c r="X503" s="49">
        <f t="shared" si="551"/>
        <v>-24.2</v>
      </c>
    </row>
    <row r="504" spans="1:24" x14ac:dyDescent="0.4">
      <c r="A504" s="1" t="s">
        <v>138</v>
      </c>
      <c r="B504" s="1" t="s">
        <v>83</v>
      </c>
      <c r="C504" s="1" t="s">
        <v>82</v>
      </c>
      <c r="D504" s="1" t="s">
        <v>278</v>
      </c>
      <c r="E504" s="1" t="s">
        <v>279</v>
      </c>
      <c r="F504" s="1" t="s">
        <v>126</v>
      </c>
      <c r="G504" s="1" t="s">
        <v>27</v>
      </c>
      <c r="H504" s="1">
        <v>5000</v>
      </c>
      <c r="J504" s="51">
        <v>45287</v>
      </c>
      <c r="L504" s="51">
        <v>45188</v>
      </c>
      <c r="M504" s="1" t="s">
        <v>135</v>
      </c>
      <c r="N504" s="1">
        <v>20</v>
      </c>
      <c r="O504" s="1">
        <v>23.4</v>
      </c>
      <c r="P504" s="1">
        <v>2340000</v>
      </c>
      <c r="Q504" s="1">
        <v>-48.4</v>
      </c>
      <c r="R504" s="1" t="s">
        <v>83</v>
      </c>
      <c r="T504" s="50">
        <f>IF(ISNUMBER(VLOOKUP(U504,Blotter!B:C,2,0)),VLOOKUP(U504,Blotter!B:C,2,0),"")</f>
        <v>6</v>
      </c>
      <c r="U504" s="49" t="str">
        <f t="shared" si="548"/>
        <v>SIZ3</v>
      </c>
      <c r="V504" s="49">
        <f t="shared" si="549"/>
        <v>20</v>
      </c>
      <c r="W504" s="49">
        <f t="shared" si="550"/>
        <v>23.4</v>
      </c>
      <c r="X504" s="49">
        <f t="shared" si="551"/>
        <v>-48.4</v>
      </c>
    </row>
    <row r="505" spans="1:24" x14ac:dyDescent="0.4">
      <c r="A505" s="1" t="s">
        <v>138</v>
      </c>
      <c r="B505" s="1" t="s">
        <v>83</v>
      </c>
      <c r="C505" s="1" t="s">
        <v>82</v>
      </c>
      <c r="D505" s="1" t="s">
        <v>278</v>
      </c>
      <c r="E505" s="1" t="s">
        <v>279</v>
      </c>
      <c r="F505" s="1" t="s">
        <v>126</v>
      </c>
      <c r="G505" s="1" t="s">
        <v>27</v>
      </c>
      <c r="H505" s="1">
        <v>5000</v>
      </c>
      <c r="J505" s="51">
        <v>45287</v>
      </c>
      <c r="L505" s="51">
        <v>45188</v>
      </c>
      <c r="M505" s="1" t="s">
        <v>135</v>
      </c>
      <c r="N505" s="1">
        <v>10</v>
      </c>
      <c r="O505" s="1">
        <v>23.39</v>
      </c>
      <c r="P505" s="1">
        <v>1169500</v>
      </c>
      <c r="Q505" s="1">
        <v>-24.2</v>
      </c>
      <c r="R505" s="1" t="s">
        <v>83</v>
      </c>
      <c r="T505" s="50">
        <f>IF(ISNUMBER(VLOOKUP(U505,Blotter!B:C,2,0)),VLOOKUP(U505,Blotter!B:C,2,0),"")</f>
        <v>6</v>
      </c>
      <c r="U505" s="49" t="str">
        <f t="shared" si="548"/>
        <v>SIZ3</v>
      </c>
      <c r="V505" s="49">
        <f t="shared" si="549"/>
        <v>10</v>
      </c>
      <c r="W505" s="49">
        <f t="shared" si="550"/>
        <v>23.39</v>
      </c>
      <c r="X505" s="49">
        <f t="shared" si="551"/>
        <v>-24.2</v>
      </c>
    </row>
    <row r="506" spans="1:24" x14ac:dyDescent="0.4">
      <c r="A506" s="1" t="s">
        <v>138</v>
      </c>
      <c r="B506" s="1" t="s">
        <v>83</v>
      </c>
      <c r="C506" s="1" t="s">
        <v>82</v>
      </c>
      <c r="D506" s="1" t="s">
        <v>278</v>
      </c>
      <c r="E506" s="1" t="s">
        <v>279</v>
      </c>
      <c r="F506" s="1" t="s">
        <v>126</v>
      </c>
      <c r="G506" s="1" t="s">
        <v>27</v>
      </c>
      <c r="H506" s="1">
        <v>5000</v>
      </c>
      <c r="J506" s="51">
        <v>45287</v>
      </c>
      <c r="L506" s="51">
        <v>45188</v>
      </c>
      <c r="M506" s="1" t="s">
        <v>135</v>
      </c>
      <c r="N506" s="1">
        <v>10</v>
      </c>
      <c r="O506" s="1">
        <v>23.44</v>
      </c>
      <c r="P506" s="1">
        <v>1172000</v>
      </c>
      <c r="Q506" s="1">
        <v>-24.2</v>
      </c>
      <c r="R506" s="1" t="s">
        <v>83</v>
      </c>
      <c r="T506" s="50">
        <f>IF(ISNUMBER(VLOOKUP(U506,Blotter!B:C,2,0)),VLOOKUP(U506,Blotter!B:C,2,0),"")</f>
        <v>6</v>
      </c>
      <c r="U506" s="49" t="str">
        <f t="shared" si="548"/>
        <v>SIZ3</v>
      </c>
      <c r="V506" s="49">
        <f t="shared" si="549"/>
        <v>10</v>
      </c>
      <c r="W506" s="49">
        <f t="shared" si="550"/>
        <v>23.44</v>
      </c>
      <c r="X506" s="49">
        <f t="shared" si="551"/>
        <v>-24.2</v>
      </c>
    </row>
    <row r="507" spans="1:24" x14ac:dyDescent="0.4">
      <c r="A507" s="1" t="s">
        <v>138</v>
      </c>
      <c r="B507" s="1" t="s">
        <v>83</v>
      </c>
      <c r="C507" s="1" t="s">
        <v>82</v>
      </c>
      <c r="D507" s="1" t="s">
        <v>278</v>
      </c>
      <c r="E507" s="1" t="s">
        <v>279</v>
      </c>
      <c r="F507" s="1" t="s">
        <v>126</v>
      </c>
      <c r="G507" s="1" t="s">
        <v>27</v>
      </c>
      <c r="H507" s="1">
        <v>5000</v>
      </c>
      <c r="J507" s="51">
        <v>45287</v>
      </c>
      <c r="L507" s="51">
        <v>45188</v>
      </c>
      <c r="M507" s="1" t="s">
        <v>139</v>
      </c>
      <c r="N507" s="1">
        <v>-10</v>
      </c>
      <c r="O507" s="1">
        <v>23.62</v>
      </c>
      <c r="P507" s="1">
        <v>-1181000</v>
      </c>
      <c r="Q507" s="1">
        <v>-24.2</v>
      </c>
      <c r="R507" s="1" t="s">
        <v>83</v>
      </c>
      <c r="T507" s="50">
        <f>IF(ISNUMBER(VLOOKUP(U507,Blotter!B:C,2,0)),VLOOKUP(U507,Blotter!B:C,2,0),"")</f>
        <v>6</v>
      </c>
      <c r="U507" s="49" t="str">
        <f t="shared" si="548"/>
        <v>SIZ3</v>
      </c>
      <c r="V507" s="49">
        <f t="shared" si="549"/>
        <v>-10</v>
      </c>
      <c r="W507" s="49">
        <f t="shared" si="550"/>
        <v>23.62</v>
      </c>
      <c r="X507" s="49">
        <f t="shared" si="551"/>
        <v>-24.2</v>
      </c>
    </row>
    <row r="508" spans="1:24" x14ac:dyDescent="0.4">
      <c r="A508" s="1" t="s">
        <v>138</v>
      </c>
      <c r="B508" s="1" t="s">
        <v>83</v>
      </c>
      <c r="C508" s="1" t="s">
        <v>82</v>
      </c>
      <c r="D508" s="1" t="s">
        <v>278</v>
      </c>
      <c r="E508" s="1" t="s">
        <v>279</v>
      </c>
      <c r="F508" s="1" t="s">
        <v>126</v>
      </c>
      <c r="G508" s="1" t="s">
        <v>27</v>
      </c>
      <c r="H508" s="1">
        <v>5000</v>
      </c>
      <c r="J508" s="51">
        <v>45287</v>
      </c>
      <c r="L508" s="51">
        <v>45188</v>
      </c>
      <c r="M508" s="1" t="s">
        <v>139</v>
      </c>
      <c r="N508" s="1">
        <v>-10</v>
      </c>
      <c r="O508" s="1">
        <v>23.68</v>
      </c>
      <c r="P508" s="1">
        <v>-1184000</v>
      </c>
      <c r="Q508" s="1">
        <v>-24.2</v>
      </c>
      <c r="R508" s="1" t="s">
        <v>83</v>
      </c>
      <c r="T508" s="50">
        <f>IF(ISNUMBER(VLOOKUP(U508,Blotter!B:C,2,0)),VLOOKUP(U508,Blotter!B:C,2,0),"")</f>
        <v>6</v>
      </c>
      <c r="U508" s="49" t="str">
        <f t="shared" si="548"/>
        <v>SIZ3</v>
      </c>
      <c r="V508" s="49">
        <f t="shared" si="549"/>
        <v>-10</v>
      </c>
      <c r="W508" s="49">
        <f t="shared" si="550"/>
        <v>23.68</v>
      </c>
      <c r="X508" s="49">
        <f t="shared" si="551"/>
        <v>-24.2</v>
      </c>
    </row>
    <row r="509" spans="1:24" x14ac:dyDescent="0.4">
      <c r="A509" s="1" t="s">
        <v>138</v>
      </c>
      <c r="B509" s="1" t="s">
        <v>83</v>
      </c>
      <c r="C509" s="1" t="s">
        <v>82</v>
      </c>
      <c r="D509" s="1" t="s">
        <v>285</v>
      </c>
      <c r="E509" s="1" t="s">
        <v>289</v>
      </c>
      <c r="F509" s="1" t="s">
        <v>100</v>
      </c>
      <c r="G509" s="1" t="s">
        <v>101</v>
      </c>
      <c r="H509" s="1">
        <v>50000</v>
      </c>
      <c r="J509" s="51">
        <v>45273</v>
      </c>
      <c r="L509" s="51">
        <v>45189</v>
      </c>
      <c r="M509" s="1" t="s">
        <v>135</v>
      </c>
      <c r="N509" s="1">
        <v>5</v>
      </c>
      <c r="O509" s="59">
        <v>87.45</v>
      </c>
      <c r="P509" s="1">
        <v>218625</v>
      </c>
      <c r="Q509" s="1">
        <v>-14.85</v>
      </c>
      <c r="R509" s="1" t="s">
        <v>83</v>
      </c>
      <c r="T509" s="50">
        <f>IF(ISNUMBER(VLOOKUP(U509,Blotter!B:C,2,0)),VLOOKUP(U509,Blotter!B:C,2,0),"")</f>
        <v>24</v>
      </c>
      <c r="U509" s="49" t="str">
        <f t="shared" ref="U509" si="552">D509</f>
        <v>CTZ3</v>
      </c>
      <c r="V509" s="49">
        <f t="shared" ref="V509" si="553">N509</f>
        <v>5</v>
      </c>
      <c r="W509" s="49">
        <f t="shared" ref="W509" si="554">O509</f>
        <v>87.45</v>
      </c>
      <c r="X509" s="49">
        <f t="shared" ref="X509" si="555">Q509</f>
        <v>-14.85</v>
      </c>
    </row>
    <row r="510" spans="1:24" x14ac:dyDescent="0.4">
      <c r="A510" s="1" t="s">
        <v>138</v>
      </c>
      <c r="B510" s="1" t="s">
        <v>83</v>
      </c>
      <c r="C510" s="1" t="s">
        <v>82</v>
      </c>
      <c r="D510" s="1" t="s">
        <v>278</v>
      </c>
      <c r="E510" s="1" t="s">
        <v>279</v>
      </c>
      <c r="F510" s="1" t="s">
        <v>126</v>
      </c>
      <c r="G510" s="1" t="s">
        <v>27</v>
      </c>
      <c r="H510" s="1">
        <v>5000</v>
      </c>
      <c r="J510" s="51">
        <v>45287</v>
      </c>
      <c r="L510" s="51">
        <v>45189</v>
      </c>
      <c r="M510" s="1" t="s">
        <v>135</v>
      </c>
      <c r="N510" s="1">
        <v>10</v>
      </c>
      <c r="O510" s="1">
        <v>23.84</v>
      </c>
      <c r="P510" s="1">
        <v>1192000</v>
      </c>
      <c r="Q510" s="1">
        <v>-24.2</v>
      </c>
      <c r="R510" s="1" t="s">
        <v>83</v>
      </c>
      <c r="T510" s="50">
        <f>IF(ISNUMBER(VLOOKUP(U510,Blotter!B:C,2,0)),VLOOKUP(U510,Blotter!B:C,2,0),"")</f>
        <v>6</v>
      </c>
      <c r="U510" s="49" t="str">
        <f t="shared" ref="U510:U511" si="556">D510</f>
        <v>SIZ3</v>
      </c>
      <c r="V510" s="49">
        <f t="shared" ref="V510:V511" si="557">N510</f>
        <v>10</v>
      </c>
      <c r="W510" s="49">
        <f t="shared" ref="W510:W511" si="558">O510</f>
        <v>23.84</v>
      </c>
      <c r="X510" s="49">
        <f t="shared" ref="X510:X511" si="559">Q510</f>
        <v>-24.2</v>
      </c>
    </row>
    <row r="511" spans="1:24" x14ac:dyDescent="0.4">
      <c r="A511" s="1" t="s">
        <v>138</v>
      </c>
      <c r="B511" s="1" t="s">
        <v>83</v>
      </c>
      <c r="C511" s="1" t="s">
        <v>82</v>
      </c>
      <c r="D511" s="1" t="s">
        <v>278</v>
      </c>
      <c r="E511" s="1" t="s">
        <v>279</v>
      </c>
      <c r="F511" s="1" t="s">
        <v>126</v>
      </c>
      <c r="G511" s="1" t="s">
        <v>27</v>
      </c>
      <c r="H511" s="1">
        <v>5000</v>
      </c>
      <c r="J511" s="51">
        <v>45287</v>
      </c>
      <c r="L511" s="51">
        <v>45189</v>
      </c>
      <c r="M511" s="1" t="s">
        <v>135</v>
      </c>
      <c r="N511" s="1">
        <v>10</v>
      </c>
      <c r="O511" s="1">
        <v>23.7</v>
      </c>
      <c r="P511" s="1">
        <v>1185000</v>
      </c>
      <c r="Q511" s="1">
        <v>-24.2</v>
      </c>
      <c r="R511" s="1" t="s">
        <v>83</v>
      </c>
      <c r="T511" s="50">
        <f>IF(ISNUMBER(VLOOKUP(U511,Blotter!B:C,2,0)),VLOOKUP(U511,Blotter!B:C,2,0),"")</f>
        <v>6</v>
      </c>
      <c r="U511" s="49" t="str">
        <f t="shared" si="556"/>
        <v>SIZ3</v>
      </c>
      <c r="V511" s="49">
        <f t="shared" si="557"/>
        <v>10</v>
      </c>
      <c r="W511" s="49">
        <f t="shared" si="558"/>
        <v>23.7</v>
      </c>
      <c r="X511" s="49">
        <f t="shared" si="559"/>
        <v>-24.2</v>
      </c>
    </row>
    <row r="512" spans="1:24" x14ac:dyDescent="0.4">
      <c r="A512" s="1" t="s">
        <v>138</v>
      </c>
      <c r="B512" s="1" t="s">
        <v>83</v>
      </c>
      <c r="C512" s="1" t="s">
        <v>82</v>
      </c>
      <c r="D512" s="1" t="s">
        <v>278</v>
      </c>
      <c r="E512" s="1" t="s">
        <v>279</v>
      </c>
      <c r="F512" s="1" t="s">
        <v>126</v>
      </c>
      <c r="G512" s="1" t="s">
        <v>27</v>
      </c>
      <c r="H512" s="1">
        <v>5000</v>
      </c>
      <c r="J512" s="51">
        <v>45287</v>
      </c>
      <c r="L512" s="51">
        <v>45189</v>
      </c>
      <c r="M512" s="1" t="s">
        <v>135</v>
      </c>
      <c r="N512" s="1">
        <v>10</v>
      </c>
      <c r="O512" s="1">
        <v>23.715499999999999</v>
      </c>
      <c r="P512" s="1">
        <v>1185775</v>
      </c>
      <c r="Q512" s="1">
        <v>-24.2</v>
      </c>
      <c r="R512" s="1" t="s">
        <v>83</v>
      </c>
      <c r="T512" s="50">
        <f>IF(ISNUMBER(VLOOKUP(U512,Blotter!B:C,2,0)),VLOOKUP(U512,Blotter!B:C,2,0),"")</f>
        <v>6</v>
      </c>
      <c r="U512" s="49" t="str">
        <f t="shared" ref="U512:U517" si="560">D512</f>
        <v>SIZ3</v>
      </c>
      <c r="V512" s="49">
        <f t="shared" ref="V512:V517" si="561">N512</f>
        <v>10</v>
      </c>
      <c r="W512" s="49">
        <f t="shared" ref="W512:W517" si="562">O512</f>
        <v>23.715499999999999</v>
      </c>
      <c r="X512" s="49">
        <f t="shared" ref="X512:X517" si="563">Q512</f>
        <v>-24.2</v>
      </c>
    </row>
    <row r="513" spans="1:24" x14ac:dyDescent="0.4">
      <c r="A513" s="1" t="s">
        <v>138</v>
      </c>
      <c r="B513" s="1" t="s">
        <v>83</v>
      </c>
      <c r="C513" s="1" t="s">
        <v>82</v>
      </c>
      <c r="D513" s="1" t="s">
        <v>278</v>
      </c>
      <c r="E513" s="1" t="s">
        <v>279</v>
      </c>
      <c r="F513" s="1" t="s">
        <v>126</v>
      </c>
      <c r="G513" s="1" t="s">
        <v>27</v>
      </c>
      <c r="H513" s="1">
        <v>5000</v>
      </c>
      <c r="J513" s="51">
        <v>45287</v>
      </c>
      <c r="L513" s="51">
        <v>45189</v>
      </c>
      <c r="M513" s="1" t="s">
        <v>135</v>
      </c>
      <c r="N513" s="1">
        <v>5</v>
      </c>
      <c r="O513" s="1">
        <v>23.51</v>
      </c>
      <c r="P513" s="1">
        <v>587750</v>
      </c>
      <c r="Q513" s="1">
        <v>-12.1</v>
      </c>
      <c r="R513" s="1" t="s">
        <v>83</v>
      </c>
      <c r="T513" s="50">
        <f>IF(ISNUMBER(VLOOKUP(U513,Blotter!B:C,2,0)),VLOOKUP(U513,Blotter!B:C,2,0),"")</f>
        <v>6</v>
      </c>
      <c r="U513" s="49" t="str">
        <f t="shared" si="560"/>
        <v>SIZ3</v>
      </c>
      <c r="V513" s="49">
        <f t="shared" si="561"/>
        <v>5</v>
      </c>
      <c r="W513" s="49">
        <f t="shared" si="562"/>
        <v>23.51</v>
      </c>
      <c r="X513" s="49">
        <f t="shared" si="563"/>
        <v>-12.1</v>
      </c>
    </row>
    <row r="514" spans="1:24" x14ac:dyDescent="0.4">
      <c r="A514" s="1" t="s">
        <v>138</v>
      </c>
      <c r="B514" s="1" t="s">
        <v>83</v>
      </c>
      <c r="C514" s="1" t="s">
        <v>82</v>
      </c>
      <c r="D514" s="1" t="s">
        <v>278</v>
      </c>
      <c r="E514" s="1" t="s">
        <v>279</v>
      </c>
      <c r="F514" s="1" t="s">
        <v>126</v>
      </c>
      <c r="G514" s="1" t="s">
        <v>27</v>
      </c>
      <c r="H514" s="1">
        <v>5000</v>
      </c>
      <c r="J514" s="51">
        <v>45287</v>
      </c>
      <c r="L514" s="51">
        <v>45189</v>
      </c>
      <c r="M514" s="1" t="s">
        <v>139</v>
      </c>
      <c r="N514" s="1">
        <v>-10</v>
      </c>
      <c r="O514" s="1">
        <v>23.76</v>
      </c>
      <c r="P514" s="1">
        <v>-1188000</v>
      </c>
      <c r="Q514" s="1">
        <v>-24.2</v>
      </c>
      <c r="R514" s="1" t="s">
        <v>83</v>
      </c>
      <c r="T514" s="50">
        <f>IF(ISNUMBER(VLOOKUP(U514,Blotter!B:C,2,0)),VLOOKUP(U514,Blotter!B:C,2,0),"")</f>
        <v>6</v>
      </c>
      <c r="U514" s="49" t="str">
        <f t="shared" si="560"/>
        <v>SIZ3</v>
      </c>
      <c r="V514" s="49">
        <f t="shared" si="561"/>
        <v>-10</v>
      </c>
      <c r="W514" s="49">
        <f t="shared" si="562"/>
        <v>23.76</v>
      </c>
      <c r="X514" s="49">
        <f t="shared" si="563"/>
        <v>-24.2</v>
      </c>
    </row>
    <row r="515" spans="1:24" x14ac:dyDescent="0.4">
      <c r="A515" s="1" t="s">
        <v>138</v>
      </c>
      <c r="B515" s="1" t="s">
        <v>83</v>
      </c>
      <c r="C515" s="1" t="s">
        <v>82</v>
      </c>
      <c r="D515" s="1" t="s">
        <v>278</v>
      </c>
      <c r="E515" s="1" t="s">
        <v>279</v>
      </c>
      <c r="F515" s="1" t="s">
        <v>126</v>
      </c>
      <c r="G515" s="1" t="s">
        <v>27</v>
      </c>
      <c r="H515" s="1">
        <v>5000</v>
      </c>
      <c r="J515" s="51">
        <v>45287</v>
      </c>
      <c r="L515" s="51">
        <v>45189</v>
      </c>
      <c r="M515" s="1" t="s">
        <v>139</v>
      </c>
      <c r="N515" s="1">
        <v>-10</v>
      </c>
      <c r="O515" s="1">
        <v>23.8</v>
      </c>
      <c r="P515" s="1">
        <v>-1190000</v>
      </c>
      <c r="Q515" s="1">
        <v>-24.2</v>
      </c>
      <c r="R515" s="1" t="s">
        <v>83</v>
      </c>
      <c r="T515" s="50">
        <f>IF(ISNUMBER(VLOOKUP(U515,Blotter!B:C,2,0)),VLOOKUP(U515,Blotter!B:C,2,0),"")</f>
        <v>6</v>
      </c>
      <c r="U515" s="49" t="str">
        <f t="shared" si="560"/>
        <v>SIZ3</v>
      </c>
      <c r="V515" s="49">
        <f t="shared" si="561"/>
        <v>-10</v>
      </c>
      <c r="W515" s="49">
        <f t="shared" si="562"/>
        <v>23.8</v>
      </c>
      <c r="X515" s="49">
        <f t="shared" si="563"/>
        <v>-24.2</v>
      </c>
    </row>
    <row r="516" spans="1:24" x14ac:dyDescent="0.4">
      <c r="A516" s="1" t="s">
        <v>138</v>
      </c>
      <c r="B516" s="1" t="s">
        <v>83</v>
      </c>
      <c r="C516" s="1" t="s">
        <v>82</v>
      </c>
      <c r="D516" s="1" t="s">
        <v>278</v>
      </c>
      <c r="E516" s="1" t="s">
        <v>279</v>
      </c>
      <c r="F516" s="1" t="s">
        <v>126</v>
      </c>
      <c r="G516" s="1" t="s">
        <v>27</v>
      </c>
      <c r="H516" s="1">
        <v>5000</v>
      </c>
      <c r="J516" s="51">
        <v>45287</v>
      </c>
      <c r="L516" s="51">
        <v>45189</v>
      </c>
      <c r="M516" s="1" t="s">
        <v>139</v>
      </c>
      <c r="N516" s="1">
        <v>-10</v>
      </c>
      <c r="O516" s="1">
        <v>23.85</v>
      </c>
      <c r="P516" s="1">
        <v>-1192500</v>
      </c>
      <c r="Q516" s="1">
        <v>-24.2</v>
      </c>
      <c r="R516" s="1" t="s">
        <v>83</v>
      </c>
      <c r="T516" s="50">
        <f>IF(ISNUMBER(VLOOKUP(U516,Blotter!B:C,2,0)),VLOOKUP(U516,Blotter!B:C,2,0),"")</f>
        <v>6</v>
      </c>
      <c r="U516" s="49" t="str">
        <f t="shared" si="560"/>
        <v>SIZ3</v>
      </c>
      <c r="V516" s="49">
        <f t="shared" si="561"/>
        <v>-10</v>
      </c>
      <c r="W516" s="49">
        <f t="shared" si="562"/>
        <v>23.85</v>
      </c>
      <c r="X516" s="49">
        <f t="shared" si="563"/>
        <v>-24.2</v>
      </c>
    </row>
    <row r="517" spans="1:24" x14ac:dyDescent="0.4">
      <c r="A517" s="1" t="s">
        <v>138</v>
      </c>
      <c r="B517" s="1" t="s">
        <v>83</v>
      </c>
      <c r="C517" s="1" t="s">
        <v>82</v>
      </c>
      <c r="D517" s="1" t="s">
        <v>278</v>
      </c>
      <c r="E517" s="1" t="s">
        <v>279</v>
      </c>
      <c r="F517" s="1" t="s">
        <v>126</v>
      </c>
      <c r="G517" s="1" t="s">
        <v>27</v>
      </c>
      <c r="H517" s="1">
        <v>5000</v>
      </c>
      <c r="J517" s="51">
        <v>45287</v>
      </c>
      <c r="L517" s="51">
        <v>45189</v>
      </c>
      <c r="M517" s="1" t="s">
        <v>139</v>
      </c>
      <c r="N517" s="1">
        <v>-10</v>
      </c>
      <c r="O517" s="1">
        <v>23.8</v>
      </c>
      <c r="P517" s="1">
        <v>-1190000</v>
      </c>
      <c r="Q517" s="1">
        <v>-24.2</v>
      </c>
      <c r="R517" s="1" t="s">
        <v>83</v>
      </c>
      <c r="T517" s="50">
        <f>IF(ISNUMBER(VLOOKUP(U517,Blotter!B:C,2,0)),VLOOKUP(U517,Blotter!B:C,2,0),"")</f>
        <v>6</v>
      </c>
      <c r="U517" s="49" t="str">
        <f t="shared" si="560"/>
        <v>SIZ3</v>
      </c>
      <c r="V517" s="49">
        <f t="shared" si="561"/>
        <v>-10</v>
      </c>
      <c r="W517" s="49">
        <f t="shared" si="562"/>
        <v>23.8</v>
      </c>
      <c r="X517" s="49">
        <f t="shared" si="563"/>
        <v>-24.2</v>
      </c>
    </row>
    <row r="518" spans="1:24" x14ac:dyDescent="0.4">
      <c r="A518" s="1" t="s">
        <v>138</v>
      </c>
      <c r="B518" s="1" t="s">
        <v>83</v>
      </c>
      <c r="C518" s="1" t="s">
        <v>82</v>
      </c>
      <c r="D518" s="1" t="s">
        <v>278</v>
      </c>
      <c r="E518" s="1" t="s">
        <v>279</v>
      </c>
      <c r="F518" s="1" t="s">
        <v>126</v>
      </c>
      <c r="G518" s="1" t="s">
        <v>27</v>
      </c>
      <c r="H518" s="1">
        <v>5000</v>
      </c>
      <c r="J518" s="51">
        <v>45287</v>
      </c>
      <c r="L518" s="51">
        <v>45190</v>
      </c>
      <c r="M518" s="1" t="s">
        <v>135</v>
      </c>
      <c r="N518" s="1">
        <v>5</v>
      </c>
      <c r="O518" s="1">
        <v>23.47</v>
      </c>
      <c r="P518" s="1">
        <v>586750</v>
      </c>
      <c r="Q518" s="1">
        <v>-12.1</v>
      </c>
      <c r="R518" s="1" t="s">
        <v>83</v>
      </c>
      <c r="T518" s="50">
        <f>IF(ISNUMBER(VLOOKUP(U518,Blotter!B:C,2,0)),VLOOKUP(U518,Blotter!B:C,2,0),"")</f>
        <v>6</v>
      </c>
      <c r="U518" s="49" t="str">
        <f t="shared" ref="U518:U576" si="564">D518</f>
        <v>SIZ3</v>
      </c>
      <c r="V518" s="49">
        <f t="shared" ref="V518:V576" si="565">N518</f>
        <v>5</v>
      </c>
      <c r="W518" s="49">
        <f t="shared" ref="W518:W576" si="566">O518</f>
        <v>23.47</v>
      </c>
      <c r="X518" s="49">
        <f t="shared" ref="X518:X576" si="567">Q518</f>
        <v>-12.1</v>
      </c>
    </row>
    <row r="519" spans="1:24" x14ac:dyDescent="0.4">
      <c r="A519" s="1" t="s">
        <v>138</v>
      </c>
      <c r="B519" s="1" t="s">
        <v>83</v>
      </c>
      <c r="C519" s="1" t="s">
        <v>82</v>
      </c>
      <c r="D519" s="1" t="s">
        <v>278</v>
      </c>
      <c r="E519" s="1" t="s">
        <v>279</v>
      </c>
      <c r="F519" s="1" t="s">
        <v>126</v>
      </c>
      <c r="G519" s="1" t="s">
        <v>27</v>
      </c>
      <c r="H519" s="1">
        <v>5000</v>
      </c>
      <c r="J519" s="51">
        <v>45287</v>
      </c>
      <c r="L519" s="51">
        <v>45190</v>
      </c>
      <c r="M519" s="1" t="s">
        <v>135</v>
      </c>
      <c r="N519" s="1">
        <v>19</v>
      </c>
      <c r="O519" s="1">
        <v>23.63</v>
      </c>
      <c r="P519" s="1">
        <v>2244850</v>
      </c>
      <c r="Q519" s="1">
        <v>-45.98</v>
      </c>
      <c r="R519" s="1" t="s">
        <v>83</v>
      </c>
      <c r="T519" s="50">
        <f>IF(ISNUMBER(VLOOKUP(U519,Blotter!B:C,2,0)),VLOOKUP(U519,Blotter!B:C,2,0),"")</f>
        <v>6</v>
      </c>
      <c r="U519" s="49" t="str">
        <f t="shared" si="564"/>
        <v>SIZ3</v>
      </c>
      <c r="V519" s="49">
        <f t="shared" si="565"/>
        <v>19</v>
      </c>
      <c r="W519" s="49">
        <f t="shared" si="566"/>
        <v>23.63</v>
      </c>
      <c r="X519" s="49">
        <f t="shared" si="567"/>
        <v>-45.98</v>
      </c>
    </row>
    <row r="520" spans="1:24" x14ac:dyDescent="0.4">
      <c r="A520" s="1" t="s">
        <v>138</v>
      </c>
      <c r="B520" s="1" t="s">
        <v>83</v>
      </c>
      <c r="C520" s="1" t="s">
        <v>82</v>
      </c>
      <c r="D520" s="1" t="s">
        <v>278</v>
      </c>
      <c r="E520" s="1" t="s">
        <v>279</v>
      </c>
      <c r="F520" s="1" t="s">
        <v>126</v>
      </c>
      <c r="G520" s="1" t="s">
        <v>27</v>
      </c>
      <c r="H520" s="1">
        <v>5000</v>
      </c>
      <c r="J520" s="51">
        <v>45287</v>
      </c>
      <c r="L520" s="51">
        <v>45190</v>
      </c>
      <c r="M520" s="1" t="s">
        <v>139</v>
      </c>
      <c r="N520" s="1">
        <v>-20</v>
      </c>
      <c r="O520" s="1">
        <v>23.2</v>
      </c>
      <c r="P520" s="1">
        <v>-2320000</v>
      </c>
      <c r="Q520" s="1">
        <v>-48.4</v>
      </c>
      <c r="R520" s="1" t="s">
        <v>83</v>
      </c>
      <c r="T520" s="50">
        <f>IF(ISNUMBER(VLOOKUP(U520,Blotter!B:C,2,0)),VLOOKUP(U520,Blotter!B:C,2,0),"")</f>
        <v>6</v>
      </c>
      <c r="U520" s="49" t="str">
        <f t="shared" si="564"/>
        <v>SIZ3</v>
      </c>
      <c r="V520" s="49">
        <f t="shared" si="565"/>
        <v>-20</v>
      </c>
      <c r="W520" s="49">
        <f t="shared" si="566"/>
        <v>23.2</v>
      </c>
      <c r="X520" s="49">
        <f t="shared" si="567"/>
        <v>-48.4</v>
      </c>
    </row>
    <row r="521" spans="1:24" x14ac:dyDescent="0.4">
      <c r="A521" s="1" t="s">
        <v>138</v>
      </c>
      <c r="B521" s="1" t="s">
        <v>83</v>
      </c>
      <c r="C521" s="1" t="s">
        <v>82</v>
      </c>
      <c r="D521" s="1" t="s">
        <v>278</v>
      </c>
      <c r="E521" s="1" t="s">
        <v>279</v>
      </c>
      <c r="F521" s="1" t="s">
        <v>126</v>
      </c>
      <c r="G521" s="1" t="s">
        <v>27</v>
      </c>
      <c r="H521" s="1">
        <v>5000</v>
      </c>
      <c r="J521" s="51">
        <v>45287</v>
      </c>
      <c r="L521" s="51">
        <v>45190</v>
      </c>
      <c r="M521" s="1" t="s">
        <v>139</v>
      </c>
      <c r="N521" s="1">
        <v>-10</v>
      </c>
      <c r="O521" s="1">
        <v>23.27</v>
      </c>
      <c r="P521" s="1">
        <v>-1163500</v>
      </c>
      <c r="Q521" s="1">
        <v>-24.2</v>
      </c>
      <c r="R521" s="1" t="s">
        <v>83</v>
      </c>
      <c r="T521" s="50">
        <f>IF(ISNUMBER(VLOOKUP(U521,Blotter!B:C,2,0)),VLOOKUP(U521,Blotter!B:C,2,0),"")</f>
        <v>6</v>
      </c>
      <c r="U521" s="49" t="str">
        <f t="shared" si="564"/>
        <v>SIZ3</v>
      </c>
      <c r="V521" s="49">
        <f t="shared" si="565"/>
        <v>-10</v>
      </c>
      <c r="W521" s="49">
        <f t="shared" si="566"/>
        <v>23.27</v>
      </c>
      <c r="X521" s="49">
        <f t="shared" si="567"/>
        <v>-24.2</v>
      </c>
    </row>
    <row r="522" spans="1:24" x14ac:dyDescent="0.4">
      <c r="A522" s="1" t="s">
        <v>138</v>
      </c>
      <c r="B522" s="1" t="s">
        <v>83</v>
      </c>
      <c r="C522" s="1" t="s">
        <v>82</v>
      </c>
      <c r="D522" s="1" t="s">
        <v>278</v>
      </c>
      <c r="E522" s="1" t="s">
        <v>279</v>
      </c>
      <c r="F522" s="1" t="s">
        <v>126</v>
      </c>
      <c r="G522" s="1" t="s">
        <v>27</v>
      </c>
      <c r="H522" s="1">
        <v>5000</v>
      </c>
      <c r="J522" s="51">
        <v>45287</v>
      </c>
      <c r="L522" s="51">
        <v>45190</v>
      </c>
      <c r="M522" s="1" t="s">
        <v>139</v>
      </c>
      <c r="N522" s="1">
        <v>-10</v>
      </c>
      <c r="O522" s="1">
        <v>23.385000000000002</v>
      </c>
      <c r="P522" s="1">
        <v>-1169250</v>
      </c>
      <c r="Q522" s="1">
        <v>-24.2</v>
      </c>
      <c r="R522" s="1" t="s">
        <v>83</v>
      </c>
      <c r="T522" s="50">
        <f>IF(ISNUMBER(VLOOKUP(U522,Blotter!B:C,2,0)),VLOOKUP(U522,Blotter!B:C,2,0),"")</f>
        <v>6</v>
      </c>
      <c r="U522" s="49" t="str">
        <f t="shared" si="564"/>
        <v>SIZ3</v>
      </c>
      <c r="V522" s="49">
        <f t="shared" si="565"/>
        <v>-10</v>
      </c>
      <c r="W522" s="49">
        <f t="shared" si="566"/>
        <v>23.385000000000002</v>
      </c>
      <c r="X522" s="49">
        <f t="shared" si="567"/>
        <v>-24.2</v>
      </c>
    </row>
    <row r="523" spans="1:24" x14ac:dyDescent="0.4">
      <c r="A523" s="1" t="s">
        <v>138</v>
      </c>
      <c r="B523" s="1" t="s">
        <v>83</v>
      </c>
      <c r="C523" s="1" t="s">
        <v>82</v>
      </c>
      <c r="D523" s="1" t="s">
        <v>278</v>
      </c>
      <c r="E523" s="1" t="s">
        <v>279</v>
      </c>
      <c r="F523" s="1" t="s">
        <v>126</v>
      </c>
      <c r="G523" s="1" t="s">
        <v>27</v>
      </c>
      <c r="H523" s="1">
        <v>5000</v>
      </c>
      <c r="J523" s="51">
        <v>45287</v>
      </c>
      <c r="L523" s="51">
        <v>45190</v>
      </c>
      <c r="M523" s="1" t="s">
        <v>139</v>
      </c>
      <c r="N523" s="1">
        <v>-19</v>
      </c>
      <c r="O523" s="1">
        <v>23.72</v>
      </c>
      <c r="P523" s="1">
        <v>-2253400</v>
      </c>
      <c r="Q523" s="1">
        <v>-45.98</v>
      </c>
      <c r="R523" s="1" t="s">
        <v>83</v>
      </c>
      <c r="T523" s="50">
        <f>IF(ISNUMBER(VLOOKUP(U523,Blotter!B:C,2,0)),VLOOKUP(U523,Blotter!B:C,2,0),"")</f>
        <v>6</v>
      </c>
      <c r="U523" s="49" t="str">
        <f t="shared" si="564"/>
        <v>SIZ3</v>
      </c>
      <c r="V523" s="49">
        <f t="shared" si="565"/>
        <v>-19</v>
      </c>
      <c r="W523" s="49">
        <f t="shared" si="566"/>
        <v>23.72</v>
      </c>
      <c r="X523" s="49">
        <f t="shared" si="567"/>
        <v>-45.98</v>
      </c>
    </row>
    <row r="524" spans="1:24" x14ac:dyDescent="0.4">
      <c r="A524" s="1" t="s">
        <v>138</v>
      </c>
      <c r="B524" s="1" t="s">
        <v>83</v>
      </c>
      <c r="C524" s="1" t="s">
        <v>82</v>
      </c>
      <c r="D524" s="1" t="s">
        <v>278</v>
      </c>
      <c r="E524" s="1" t="s">
        <v>279</v>
      </c>
      <c r="F524" s="1" t="s">
        <v>126</v>
      </c>
      <c r="G524" s="1" t="s">
        <v>27</v>
      </c>
      <c r="H524" s="1">
        <v>5000</v>
      </c>
      <c r="J524" s="51">
        <v>45287</v>
      </c>
      <c r="L524" s="51">
        <v>45191</v>
      </c>
      <c r="M524" s="1" t="s">
        <v>135</v>
      </c>
      <c r="N524" s="1">
        <v>30</v>
      </c>
      <c r="O524" s="1">
        <v>23.94</v>
      </c>
      <c r="P524" s="1">
        <v>3591000</v>
      </c>
      <c r="Q524" s="1">
        <v>-72.599999999999994</v>
      </c>
      <c r="R524" s="1" t="s">
        <v>83</v>
      </c>
      <c r="T524" s="50">
        <f>IF(ISNUMBER(VLOOKUP(U524,Blotter!B:C,2,0)),VLOOKUP(U524,Blotter!B:C,2,0),"")</f>
        <v>6</v>
      </c>
      <c r="U524" s="49" t="str">
        <f t="shared" si="564"/>
        <v>SIZ3</v>
      </c>
      <c r="V524" s="49">
        <f t="shared" si="565"/>
        <v>30</v>
      </c>
      <c r="W524" s="49">
        <f t="shared" si="566"/>
        <v>23.94</v>
      </c>
      <c r="X524" s="49">
        <f t="shared" si="567"/>
        <v>-72.599999999999994</v>
      </c>
    </row>
    <row r="525" spans="1:24" x14ac:dyDescent="0.4">
      <c r="A525" s="1" t="s">
        <v>138</v>
      </c>
      <c r="B525" s="1" t="s">
        <v>83</v>
      </c>
      <c r="C525" s="1" t="s">
        <v>82</v>
      </c>
      <c r="D525" s="1" t="s">
        <v>278</v>
      </c>
      <c r="E525" s="1" t="s">
        <v>279</v>
      </c>
      <c r="F525" s="1" t="s">
        <v>126</v>
      </c>
      <c r="G525" s="1" t="s">
        <v>27</v>
      </c>
      <c r="H525" s="1">
        <v>5000</v>
      </c>
      <c r="J525" s="51">
        <v>45287</v>
      </c>
      <c r="L525" s="51">
        <v>45191</v>
      </c>
      <c r="M525" s="1" t="s">
        <v>135</v>
      </c>
      <c r="N525" s="1">
        <v>30</v>
      </c>
      <c r="O525" s="1">
        <v>23.94</v>
      </c>
      <c r="P525" s="1">
        <v>3591000</v>
      </c>
      <c r="Q525" s="1">
        <v>-72.599999999999994</v>
      </c>
      <c r="R525" s="1" t="s">
        <v>83</v>
      </c>
      <c r="T525" s="50">
        <f>IF(ISNUMBER(VLOOKUP(U525,Blotter!B:C,2,0)),VLOOKUP(U525,Blotter!B:C,2,0),"")</f>
        <v>6</v>
      </c>
      <c r="U525" s="49" t="str">
        <f t="shared" si="564"/>
        <v>SIZ3</v>
      </c>
      <c r="V525" s="49">
        <f t="shared" si="565"/>
        <v>30</v>
      </c>
      <c r="W525" s="49">
        <f t="shared" si="566"/>
        <v>23.94</v>
      </c>
      <c r="X525" s="49">
        <f t="shared" si="567"/>
        <v>-72.599999999999994</v>
      </c>
    </row>
    <row r="526" spans="1:24" x14ac:dyDescent="0.4">
      <c r="A526" s="1" t="s">
        <v>138</v>
      </c>
      <c r="B526" s="1" t="s">
        <v>83</v>
      </c>
      <c r="C526" s="1" t="s">
        <v>82</v>
      </c>
      <c r="D526" s="1" t="s">
        <v>278</v>
      </c>
      <c r="E526" s="1" t="s">
        <v>279</v>
      </c>
      <c r="F526" s="1" t="s">
        <v>126</v>
      </c>
      <c r="G526" s="1" t="s">
        <v>27</v>
      </c>
      <c r="H526" s="1">
        <v>5000</v>
      </c>
      <c r="J526" s="51">
        <v>45287</v>
      </c>
      <c r="L526" s="51">
        <v>45191</v>
      </c>
      <c r="M526" s="1" t="s">
        <v>135</v>
      </c>
      <c r="N526" s="1">
        <v>10</v>
      </c>
      <c r="O526" s="1">
        <v>23.91</v>
      </c>
      <c r="P526" s="1">
        <v>1195500</v>
      </c>
      <c r="Q526" s="1">
        <v>-24.2</v>
      </c>
      <c r="R526" s="1" t="s">
        <v>83</v>
      </c>
      <c r="T526" s="50">
        <f>IF(ISNUMBER(VLOOKUP(U526,Blotter!B:C,2,0)),VLOOKUP(U526,Blotter!B:C,2,0),"")</f>
        <v>6</v>
      </c>
      <c r="U526" s="49" t="str">
        <f t="shared" si="564"/>
        <v>SIZ3</v>
      </c>
      <c r="V526" s="49">
        <f t="shared" si="565"/>
        <v>10</v>
      </c>
      <c r="W526" s="49">
        <f t="shared" si="566"/>
        <v>23.91</v>
      </c>
      <c r="X526" s="49">
        <f t="shared" si="567"/>
        <v>-24.2</v>
      </c>
    </row>
    <row r="527" spans="1:24" x14ac:dyDescent="0.4">
      <c r="A527" s="1" t="s">
        <v>138</v>
      </c>
      <c r="B527" s="1" t="s">
        <v>83</v>
      </c>
      <c r="C527" s="1" t="s">
        <v>82</v>
      </c>
      <c r="D527" s="1" t="s">
        <v>278</v>
      </c>
      <c r="E527" s="1" t="s">
        <v>279</v>
      </c>
      <c r="F527" s="1" t="s">
        <v>126</v>
      </c>
      <c r="G527" s="1" t="s">
        <v>27</v>
      </c>
      <c r="H527" s="1">
        <v>5000</v>
      </c>
      <c r="J527" s="51">
        <v>45287</v>
      </c>
      <c r="L527" s="51">
        <v>45191</v>
      </c>
      <c r="M527" s="1" t="s">
        <v>135</v>
      </c>
      <c r="N527" s="1">
        <v>30</v>
      </c>
      <c r="O527" s="1">
        <v>23.94</v>
      </c>
      <c r="P527" s="1">
        <v>3591000</v>
      </c>
      <c r="Q527" s="1">
        <v>-72.599999999999994</v>
      </c>
      <c r="R527" s="1" t="s">
        <v>83</v>
      </c>
      <c r="T527" s="50">
        <f>IF(ISNUMBER(VLOOKUP(U527,Blotter!B:C,2,0)),VLOOKUP(U527,Blotter!B:C,2,0),"")</f>
        <v>6</v>
      </c>
      <c r="U527" s="49" t="str">
        <f t="shared" si="564"/>
        <v>SIZ3</v>
      </c>
      <c r="V527" s="49">
        <f t="shared" si="565"/>
        <v>30</v>
      </c>
      <c r="W527" s="49">
        <f t="shared" si="566"/>
        <v>23.94</v>
      </c>
      <c r="X527" s="49">
        <f t="shared" si="567"/>
        <v>-72.599999999999994</v>
      </c>
    </row>
    <row r="528" spans="1:24" x14ac:dyDescent="0.4">
      <c r="A528" s="1" t="s">
        <v>138</v>
      </c>
      <c r="B528" s="1" t="s">
        <v>83</v>
      </c>
      <c r="C528" s="1" t="s">
        <v>82</v>
      </c>
      <c r="D528" s="1" t="s">
        <v>278</v>
      </c>
      <c r="E528" s="1" t="s">
        <v>279</v>
      </c>
      <c r="F528" s="1" t="s">
        <v>126</v>
      </c>
      <c r="G528" s="1" t="s">
        <v>27</v>
      </c>
      <c r="H528" s="1">
        <v>5000</v>
      </c>
      <c r="J528" s="51">
        <v>45287</v>
      </c>
      <c r="L528" s="51">
        <v>45191</v>
      </c>
      <c r="M528" s="1" t="s">
        <v>139</v>
      </c>
      <c r="N528" s="1">
        <v>-30</v>
      </c>
      <c r="O528" s="1">
        <v>23.95</v>
      </c>
      <c r="P528" s="1">
        <v>-3592500</v>
      </c>
      <c r="Q528" s="1">
        <v>-72.599999999999994</v>
      </c>
      <c r="R528" s="1" t="s">
        <v>83</v>
      </c>
      <c r="T528" s="50">
        <f>IF(ISNUMBER(VLOOKUP(U528,Blotter!B:C,2,0)),VLOOKUP(U528,Blotter!B:C,2,0),"")</f>
        <v>6</v>
      </c>
      <c r="U528" s="49" t="str">
        <f t="shared" si="564"/>
        <v>SIZ3</v>
      </c>
      <c r="V528" s="49">
        <f t="shared" si="565"/>
        <v>-30</v>
      </c>
      <c r="W528" s="49">
        <f t="shared" si="566"/>
        <v>23.95</v>
      </c>
      <c r="X528" s="49">
        <f t="shared" si="567"/>
        <v>-72.599999999999994</v>
      </c>
    </row>
    <row r="529" spans="1:24" x14ac:dyDescent="0.4">
      <c r="A529" s="1" t="s">
        <v>138</v>
      </c>
      <c r="B529" s="1" t="s">
        <v>83</v>
      </c>
      <c r="C529" s="1" t="s">
        <v>82</v>
      </c>
      <c r="D529" s="1" t="s">
        <v>278</v>
      </c>
      <c r="E529" s="1" t="s">
        <v>279</v>
      </c>
      <c r="F529" s="1" t="s">
        <v>126</v>
      </c>
      <c r="G529" s="1" t="s">
        <v>27</v>
      </c>
      <c r="H529" s="1">
        <v>5000</v>
      </c>
      <c r="J529" s="51">
        <v>45287</v>
      </c>
      <c r="L529" s="51">
        <v>45191</v>
      </c>
      <c r="M529" s="1" t="s">
        <v>139</v>
      </c>
      <c r="N529" s="1">
        <v>-30</v>
      </c>
      <c r="O529" s="1">
        <v>23.95</v>
      </c>
      <c r="P529" s="1">
        <v>-3592500</v>
      </c>
      <c r="Q529" s="1">
        <v>-72.599999999999994</v>
      </c>
      <c r="R529" s="1" t="s">
        <v>83</v>
      </c>
      <c r="T529" s="50">
        <f>IF(ISNUMBER(VLOOKUP(U529,Blotter!B:C,2,0)),VLOOKUP(U529,Blotter!B:C,2,0),"")</f>
        <v>6</v>
      </c>
      <c r="U529" s="49" t="str">
        <f t="shared" si="564"/>
        <v>SIZ3</v>
      </c>
      <c r="V529" s="49">
        <f t="shared" si="565"/>
        <v>-30</v>
      </c>
      <c r="W529" s="49">
        <f t="shared" si="566"/>
        <v>23.95</v>
      </c>
      <c r="X529" s="49">
        <f t="shared" si="567"/>
        <v>-72.599999999999994</v>
      </c>
    </row>
    <row r="530" spans="1:24" x14ac:dyDescent="0.4">
      <c r="A530" s="1" t="s">
        <v>138</v>
      </c>
      <c r="B530" s="1" t="s">
        <v>83</v>
      </c>
      <c r="C530" s="1" t="s">
        <v>82</v>
      </c>
      <c r="D530" s="1" t="s">
        <v>278</v>
      </c>
      <c r="E530" s="1" t="s">
        <v>279</v>
      </c>
      <c r="F530" s="1" t="s">
        <v>126</v>
      </c>
      <c r="G530" s="1" t="s">
        <v>27</v>
      </c>
      <c r="H530" s="1">
        <v>5000</v>
      </c>
      <c r="J530" s="51">
        <v>45287</v>
      </c>
      <c r="L530" s="51">
        <v>45194</v>
      </c>
      <c r="M530" s="1" t="s">
        <v>135</v>
      </c>
      <c r="N530" s="1">
        <v>10</v>
      </c>
      <c r="O530" s="1">
        <v>23.39</v>
      </c>
      <c r="P530" s="1">
        <v>1169500</v>
      </c>
      <c r="Q530" s="1">
        <v>-24.2</v>
      </c>
      <c r="R530" s="1" t="s">
        <v>83</v>
      </c>
      <c r="T530" s="50">
        <f>IF(ISNUMBER(VLOOKUP(U530,Blotter!B:C,2,0)),VLOOKUP(U530,Blotter!B:C,2,0),"")</f>
        <v>6</v>
      </c>
      <c r="U530" s="49" t="str">
        <f t="shared" si="564"/>
        <v>SIZ3</v>
      </c>
      <c r="V530" s="49">
        <f t="shared" si="565"/>
        <v>10</v>
      </c>
      <c r="W530" s="49">
        <f t="shared" si="566"/>
        <v>23.39</v>
      </c>
      <c r="X530" s="49">
        <f t="shared" si="567"/>
        <v>-24.2</v>
      </c>
    </row>
    <row r="531" spans="1:24" x14ac:dyDescent="0.4">
      <c r="A531" s="1" t="s">
        <v>138</v>
      </c>
      <c r="B531" s="1" t="s">
        <v>83</v>
      </c>
      <c r="C531" s="1" t="s">
        <v>82</v>
      </c>
      <c r="D531" s="1" t="s">
        <v>278</v>
      </c>
      <c r="E531" s="1" t="s">
        <v>279</v>
      </c>
      <c r="F531" s="1" t="s">
        <v>126</v>
      </c>
      <c r="G531" s="1" t="s">
        <v>27</v>
      </c>
      <c r="H531" s="1">
        <v>5000</v>
      </c>
      <c r="J531" s="51">
        <v>45287</v>
      </c>
      <c r="L531" s="51">
        <v>45194</v>
      </c>
      <c r="M531" s="1" t="s">
        <v>139</v>
      </c>
      <c r="N531" s="1">
        <v>-10</v>
      </c>
      <c r="O531" s="1">
        <v>23.38</v>
      </c>
      <c r="P531" s="1">
        <v>-1169000</v>
      </c>
      <c r="Q531" s="1">
        <v>-24.2</v>
      </c>
      <c r="R531" s="1" t="s">
        <v>83</v>
      </c>
      <c r="T531" s="50">
        <f>IF(ISNUMBER(VLOOKUP(U531,Blotter!B:C,2,0)),VLOOKUP(U531,Blotter!B:C,2,0),"")</f>
        <v>6</v>
      </c>
      <c r="U531" s="49" t="str">
        <f t="shared" si="564"/>
        <v>SIZ3</v>
      </c>
      <c r="V531" s="49">
        <f t="shared" si="565"/>
        <v>-10</v>
      </c>
      <c r="W531" s="49">
        <f t="shared" si="566"/>
        <v>23.38</v>
      </c>
      <c r="X531" s="49">
        <f t="shared" si="567"/>
        <v>-24.2</v>
      </c>
    </row>
    <row r="532" spans="1:24" x14ac:dyDescent="0.4">
      <c r="A532" s="1" t="s">
        <v>138</v>
      </c>
      <c r="B532" s="1" t="s">
        <v>83</v>
      </c>
      <c r="C532" s="1" t="s">
        <v>82</v>
      </c>
      <c r="D532" s="1" t="s">
        <v>278</v>
      </c>
      <c r="E532" s="1" t="s">
        <v>279</v>
      </c>
      <c r="F532" s="1" t="s">
        <v>126</v>
      </c>
      <c r="G532" s="1" t="s">
        <v>27</v>
      </c>
      <c r="H532" s="1">
        <v>5000</v>
      </c>
      <c r="J532" s="51">
        <v>45287</v>
      </c>
      <c r="L532" s="51">
        <v>45195</v>
      </c>
      <c r="M532" s="1" t="s">
        <v>135</v>
      </c>
      <c r="N532" s="1">
        <v>10</v>
      </c>
      <c r="O532" s="1">
        <v>23.175000000000001</v>
      </c>
      <c r="P532" s="1">
        <v>1158750</v>
      </c>
      <c r="Q532" s="1">
        <v>-24.2</v>
      </c>
      <c r="R532" s="1" t="s">
        <v>83</v>
      </c>
      <c r="T532" s="50">
        <f>IF(ISNUMBER(VLOOKUP(U532,Blotter!B:C,2,0)),VLOOKUP(U532,Blotter!B:C,2,0),"")</f>
        <v>6</v>
      </c>
      <c r="U532" s="49" t="str">
        <f t="shared" si="564"/>
        <v>SIZ3</v>
      </c>
      <c r="V532" s="49">
        <f t="shared" si="565"/>
        <v>10</v>
      </c>
      <c r="W532" s="49">
        <f t="shared" si="566"/>
        <v>23.175000000000001</v>
      </c>
      <c r="X532" s="49">
        <f t="shared" si="567"/>
        <v>-24.2</v>
      </c>
    </row>
    <row r="533" spans="1:24" x14ac:dyDescent="0.4">
      <c r="A533" s="1" t="s">
        <v>138</v>
      </c>
      <c r="B533" s="1" t="s">
        <v>83</v>
      </c>
      <c r="C533" s="1" t="s">
        <v>82</v>
      </c>
      <c r="D533" s="1" t="s">
        <v>278</v>
      </c>
      <c r="E533" s="1" t="s">
        <v>279</v>
      </c>
      <c r="F533" s="1" t="s">
        <v>126</v>
      </c>
      <c r="G533" s="1" t="s">
        <v>27</v>
      </c>
      <c r="H533" s="1">
        <v>5000</v>
      </c>
      <c r="J533" s="51">
        <v>45287</v>
      </c>
      <c r="L533" s="51">
        <v>45195</v>
      </c>
      <c r="M533" s="1" t="s">
        <v>135</v>
      </c>
      <c r="N533" s="1">
        <v>10</v>
      </c>
      <c r="O533" s="1">
        <v>23.17</v>
      </c>
      <c r="P533" s="1">
        <v>1158500</v>
      </c>
      <c r="Q533" s="1">
        <v>-24.2</v>
      </c>
      <c r="R533" s="1" t="s">
        <v>83</v>
      </c>
      <c r="T533" s="50">
        <f>IF(ISNUMBER(VLOOKUP(U533,Blotter!B:C,2,0)),VLOOKUP(U533,Blotter!B:C,2,0),"")</f>
        <v>6</v>
      </c>
      <c r="U533" s="49" t="str">
        <f t="shared" si="564"/>
        <v>SIZ3</v>
      </c>
      <c r="V533" s="49">
        <f t="shared" si="565"/>
        <v>10</v>
      </c>
      <c r="W533" s="49">
        <f t="shared" si="566"/>
        <v>23.17</v>
      </c>
      <c r="X533" s="49">
        <f t="shared" si="567"/>
        <v>-24.2</v>
      </c>
    </row>
    <row r="534" spans="1:24" x14ac:dyDescent="0.4">
      <c r="A534" s="1" t="s">
        <v>138</v>
      </c>
      <c r="B534" s="1" t="s">
        <v>83</v>
      </c>
      <c r="C534" s="1" t="s">
        <v>82</v>
      </c>
      <c r="D534" s="1" t="s">
        <v>278</v>
      </c>
      <c r="E534" s="1" t="s">
        <v>279</v>
      </c>
      <c r="F534" s="1" t="s">
        <v>126</v>
      </c>
      <c r="G534" s="1" t="s">
        <v>27</v>
      </c>
      <c r="H534" s="1">
        <v>5000</v>
      </c>
      <c r="J534" s="51">
        <v>45287</v>
      </c>
      <c r="L534" s="51">
        <v>45195</v>
      </c>
      <c r="M534" s="1" t="s">
        <v>139</v>
      </c>
      <c r="N534" s="1">
        <v>-20</v>
      </c>
      <c r="O534" s="1">
        <v>23.3</v>
      </c>
      <c r="P534" s="1">
        <v>-2330000</v>
      </c>
      <c r="Q534" s="1">
        <v>-48.4</v>
      </c>
      <c r="R534" s="1" t="s">
        <v>83</v>
      </c>
      <c r="T534" s="50">
        <f>IF(ISNUMBER(VLOOKUP(U534,Blotter!B:C,2,0)),VLOOKUP(U534,Blotter!B:C,2,0),"")</f>
        <v>6</v>
      </c>
      <c r="U534" s="49" t="str">
        <f t="shared" si="564"/>
        <v>SIZ3</v>
      </c>
      <c r="V534" s="49">
        <f t="shared" si="565"/>
        <v>-20</v>
      </c>
      <c r="W534" s="49">
        <f t="shared" si="566"/>
        <v>23.3</v>
      </c>
      <c r="X534" s="49">
        <f t="shared" si="567"/>
        <v>-48.4</v>
      </c>
    </row>
    <row r="535" spans="1:24" x14ac:dyDescent="0.4">
      <c r="A535" s="1" t="s">
        <v>138</v>
      </c>
      <c r="B535" s="1" t="s">
        <v>83</v>
      </c>
      <c r="C535" s="1" t="s">
        <v>82</v>
      </c>
      <c r="D535" s="1" t="s">
        <v>278</v>
      </c>
      <c r="E535" s="1" t="s">
        <v>279</v>
      </c>
      <c r="F535" s="1" t="s">
        <v>126</v>
      </c>
      <c r="G535" s="1" t="s">
        <v>27</v>
      </c>
      <c r="H535" s="1">
        <v>5000</v>
      </c>
      <c r="J535" s="51">
        <v>45287</v>
      </c>
      <c r="L535" s="51">
        <v>45196</v>
      </c>
      <c r="M535" s="1" t="s">
        <v>135</v>
      </c>
      <c r="N535" s="1">
        <v>10</v>
      </c>
      <c r="O535" s="1">
        <v>22.945</v>
      </c>
      <c r="P535" s="1">
        <v>1147250</v>
      </c>
      <c r="Q535" s="1">
        <v>-24.2</v>
      </c>
      <c r="R535" s="1" t="s">
        <v>83</v>
      </c>
      <c r="T535" s="50">
        <f>IF(ISNUMBER(VLOOKUP(U535,Blotter!B:C,2,0)),VLOOKUP(U535,Blotter!B:C,2,0),"")</f>
        <v>6</v>
      </c>
      <c r="U535" s="49" t="str">
        <f t="shared" si="564"/>
        <v>SIZ3</v>
      </c>
      <c r="V535" s="49">
        <f t="shared" si="565"/>
        <v>10</v>
      </c>
      <c r="W535" s="49">
        <f t="shared" si="566"/>
        <v>22.945</v>
      </c>
      <c r="X535" s="49">
        <f t="shared" si="567"/>
        <v>-24.2</v>
      </c>
    </row>
    <row r="536" spans="1:24" x14ac:dyDescent="0.4">
      <c r="A536" s="1" t="s">
        <v>138</v>
      </c>
      <c r="B536" s="1" t="s">
        <v>83</v>
      </c>
      <c r="C536" s="1" t="s">
        <v>82</v>
      </c>
      <c r="D536" s="1" t="s">
        <v>278</v>
      </c>
      <c r="E536" s="1" t="s">
        <v>279</v>
      </c>
      <c r="F536" s="1" t="s">
        <v>126</v>
      </c>
      <c r="G536" s="1" t="s">
        <v>27</v>
      </c>
      <c r="H536" s="1">
        <v>5000</v>
      </c>
      <c r="J536" s="51">
        <v>45287</v>
      </c>
      <c r="L536" s="51">
        <v>45196</v>
      </c>
      <c r="M536" s="1" t="s">
        <v>135</v>
      </c>
      <c r="N536" s="1">
        <v>20</v>
      </c>
      <c r="O536" s="1">
        <v>22.82</v>
      </c>
      <c r="P536" s="1">
        <v>2282000</v>
      </c>
      <c r="Q536" s="1">
        <v>-48.4</v>
      </c>
      <c r="R536" s="1" t="s">
        <v>83</v>
      </c>
      <c r="T536" s="50">
        <f>IF(ISNUMBER(VLOOKUP(U536,Blotter!B:C,2,0)),VLOOKUP(U536,Blotter!B:C,2,0),"")</f>
        <v>6</v>
      </c>
      <c r="U536" s="49" t="str">
        <f t="shared" si="564"/>
        <v>SIZ3</v>
      </c>
      <c r="V536" s="49">
        <f t="shared" si="565"/>
        <v>20</v>
      </c>
      <c r="W536" s="49">
        <f t="shared" si="566"/>
        <v>22.82</v>
      </c>
      <c r="X536" s="49">
        <f t="shared" si="567"/>
        <v>-48.4</v>
      </c>
    </row>
    <row r="537" spans="1:24" x14ac:dyDescent="0.4">
      <c r="A537" s="1" t="s">
        <v>138</v>
      </c>
      <c r="B537" s="1" t="s">
        <v>83</v>
      </c>
      <c r="C537" s="1" t="s">
        <v>82</v>
      </c>
      <c r="D537" s="1" t="s">
        <v>278</v>
      </c>
      <c r="E537" s="1" t="s">
        <v>279</v>
      </c>
      <c r="F537" s="1" t="s">
        <v>126</v>
      </c>
      <c r="G537" s="1" t="s">
        <v>27</v>
      </c>
      <c r="H537" s="1">
        <v>5000</v>
      </c>
      <c r="J537" s="51">
        <v>45287</v>
      </c>
      <c r="L537" s="51">
        <v>45196</v>
      </c>
      <c r="M537" s="1" t="s">
        <v>135</v>
      </c>
      <c r="N537" s="1">
        <v>10</v>
      </c>
      <c r="O537" s="1">
        <v>22.79</v>
      </c>
      <c r="P537" s="1">
        <v>1139500</v>
      </c>
      <c r="Q537" s="1">
        <v>-24.2</v>
      </c>
      <c r="R537" s="1" t="s">
        <v>83</v>
      </c>
      <c r="T537" s="50">
        <f>IF(ISNUMBER(VLOOKUP(U537,Blotter!B:C,2,0)),VLOOKUP(U537,Blotter!B:C,2,0),"")</f>
        <v>6</v>
      </c>
      <c r="U537" s="49" t="str">
        <f t="shared" si="564"/>
        <v>SIZ3</v>
      </c>
      <c r="V537" s="49">
        <f t="shared" si="565"/>
        <v>10</v>
      </c>
      <c r="W537" s="49">
        <f t="shared" si="566"/>
        <v>22.79</v>
      </c>
      <c r="X537" s="49">
        <f t="shared" si="567"/>
        <v>-24.2</v>
      </c>
    </row>
    <row r="538" spans="1:24" x14ac:dyDescent="0.4">
      <c r="A538" s="1" t="s">
        <v>138</v>
      </c>
      <c r="B538" s="1" t="s">
        <v>83</v>
      </c>
      <c r="C538" s="1" t="s">
        <v>82</v>
      </c>
      <c r="D538" s="1" t="s">
        <v>278</v>
      </c>
      <c r="E538" s="1" t="s">
        <v>279</v>
      </c>
      <c r="F538" s="1" t="s">
        <v>126</v>
      </c>
      <c r="G538" s="1" t="s">
        <v>27</v>
      </c>
      <c r="H538" s="1">
        <v>5000</v>
      </c>
      <c r="J538" s="51">
        <v>45287</v>
      </c>
      <c r="L538" s="51">
        <v>45196</v>
      </c>
      <c r="M538" s="1" t="s">
        <v>135</v>
      </c>
      <c r="N538" s="1">
        <v>10</v>
      </c>
      <c r="O538" s="1">
        <v>22.75</v>
      </c>
      <c r="P538" s="1">
        <v>1137500</v>
      </c>
      <c r="Q538" s="1">
        <v>-24.2</v>
      </c>
      <c r="R538" s="1" t="s">
        <v>83</v>
      </c>
      <c r="T538" s="50">
        <f>IF(ISNUMBER(VLOOKUP(U538,Blotter!B:C,2,0)),VLOOKUP(U538,Blotter!B:C,2,0),"")</f>
        <v>6</v>
      </c>
      <c r="U538" s="49" t="str">
        <f t="shared" si="564"/>
        <v>SIZ3</v>
      </c>
      <c r="V538" s="49">
        <f t="shared" si="565"/>
        <v>10</v>
      </c>
      <c r="W538" s="49">
        <f t="shared" si="566"/>
        <v>22.75</v>
      </c>
      <c r="X538" s="49">
        <f t="shared" si="567"/>
        <v>-24.2</v>
      </c>
    </row>
    <row r="539" spans="1:24" x14ac:dyDescent="0.4">
      <c r="A539" s="1" t="s">
        <v>138</v>
      </c>
      <c r="B539" s="1" t="s">
        <v>83</v>
      </c>
      <c r="C539" s="1" t="s">
        <v>82</v>
      </c>
      <c r="D539" s="1" t="s">
        <v>278</v>
      </c>
      <c r="E539" s="1" t="s">
        <v>279</v>
      </c>
      <c r="F539" s="1" t="s">
        <v>126</v>
      </c>
      <c r="G539" s="1" t="s">
        <v>27</v>
      </c>
      <c r="H539" s="1">
        <v>5000</v>
      </c>
      <c r="J539" s="51">
        <v>45287</v>
      </c>
      <c r="L539" s="51">
        <v>45196</v>
      </c>
      <c r="M539" s="1" t="s">
        <v>139</v>
      </c>
      <c r="N539" s="1">
        <v>-10</v>
      </c>
      <c r="O539" s="1">
        <v>23.05</v>
      </c>
      <c r="P539" s="1">
        <v>-1152500</v>
      </c>
      <c r="Q539" s="1">
        <v>-24.2</v>
      </c>
      <c r="R539" s="1" t="s">
        <v>83</v>
      </c>
      <c r="T539" s="50">
        <f>IF(ISNUMBER(VLOOKUP(U539,Blotter!B:C,2,0)),VLOOKUP(U539,Blotter!B:C,2,0),"")</f>
        <v>6</v>
      </c>
      <c r="U539" s="49" t="str">
        <f t="shared" si="564"/>
        <v>SIZ3</v>
      </c>
      <c r="V539" s="49">
        <f t="shared" si="565"/>
        <v>-10</v>
      </c>
      <c r="W539" s="49">
        <f t="shared" si="566"/>
        <v>23.05</v>
      </c>
      <c r="X539" s="49">
        <f t="shared" si="567"/>
        <v>-24.2</v>
      </c>
    </row>
    <row r="540" spans="1:24" x14ac:dyDescent="0.4">
      <c r="A540" s="1" t="s">
        <v>138</v>
      </c>
      <c r="B540" s="1" t="s">
        <v>83</v>
      </c>
      <c r="C540" s="1" t="s">
        <v>82</v>
      </c>
      <c r="D540" s="1" t="s">
        <v>278</v>
      </c>
      <c r="E540" s="1" t="s">
        <v>279</v>
      </c>
      <c r="F540" s="1" t="s">
        <v>126</v>
      </c>
      <c r="G540" s="1" t="s">
        <v>27</v>
      </c>
      <c r="H540" s="1">
        <v>5000</v>
      </c>
      <c r="J540" s="51">
        <v>45287</v>
      </c>
      <c r="L540" s="51">
        <v>45196</v>
      </c>
      <c r="M540" s="1" t="s">
        <v>139</v>
      </c>
      <c r="N540" s="1">
        <v>-30</v>
      </c>
      <c r="O540" s="1">
        <v>22.95</v>
      </c>
      <c r="P540" s="1">
        <v>-3442500</v>
      </c>
      <c r="Q540" s="1">
        <v>-72.599999999999994</v>
      </c>
      <c r="R540" s="1" t="s">
        <v>83</v>
      </c>
      <c r="T540" s="50">
        <f>IF(ISNUMBER(VLOOKUP(U540,Blotter!B:C,2,0)),VLOOKUP(U540,Blotter!B:C,2,0),"")</f>
        <v>6</v>
      </c>
      <c r="U540" s="49" t="str">
        <f t="shared" si="564"/>
        <v>SIZ3</v>
      </c>
      <c r="V540" s="49">
        <f t="shared" si="565"/>
        <v>-30</v>
      </c>
      <c r="W540" s="49">
        <f t="shared" si="566"/>
        <v>22.95</v>
      </c>
      <c r="X540" s="49">
        <f t="shared" si="567"/>
        <v>-72.599999999999994</v>
      </c>
    </row>
    <row r="541" spans="1:24" x14ac:dyDescent="0.4">
      <c r="A541" s="1" t="s">
        <v>138</v>
      </c>
      <c r="B541" s="1" t="s">
        <v>83</v>
      </c>
      <c r="C541" s="1" t="s">
        <v>82</v>
      </c>
      <c r="D541" s="1" t="s">
        <v>278</v>
      </c>
      <c r="E541" s="1" t="s">
        <v>279</v>
      </c>
      <c r="F541" s="1" t="s">
        <v>126</v>
      </c>
      <c r="G541" s="1" t="s">
        <v>27</v>
      </c>
      <c r="H541" s="1">
        <v>5000</v>
      </c>
      <c r="J541" s="51">
        <v>45287</v>
      </c>
      <c r="L541" s="51">
        <v>45196</v>
      </c>
      <c r="M541" s="1" t="s">
        <v>139</v>
      </c>
      <c r="N541" s="1">
        <v>-20</v>
      </c>
      <c r="O541" s="1">
        <v>22.9</v>
      </c>
      <c r="P541" s="1">
        <v>-2290000</v>
      </c>
      <c r="Q541" s="1">
        <v>-48.4</v>
      </c>
      <c r="R541" s="1" t="s">
        <v>83</v>
      </c>
      <c r="T541" s="50">
        <f>IF(ISNUMBER(VLOOKUP(U541,Blotter!B:C,2,0)),VLOOKUP(U541,Blotter!B:C,2,0),"")</f>
        <v>6</v>
      </c>
      <c r="U541" s="49" t="str">
        <f t="shared" si="564"/>
        <v>SIZ3</v>
      </c>
      <c r="V541" s="49">
        <f t="shared" si="565"/>
        <v>-20</v>
      </c>
      <c r="W541" s="49">
        <f t="shared" si="566"/>
        <v>22.9</v>
      </c>
      <c r="X541" s="49">
        <f t="shared" si="567"/>
        <v>-48.4</v>
      </c>
    </row>
    <row r="542" spans="1:24" x14ac:dyDescent="0.4">
      <c r="A542" s="1" t="s">
        <v>138</v>
      </c>
      <c r="B542" s="1" t="s">
        <v>83</v>
      </c>
      <c r="C542" s="1" t="s">
        <v>82</v>
      </c>
      <c r="D542" s="1" t="s">
        <v>278</v>
      </c>
      <c r="E542" s="1" t="s">
        <v>279</v>
      </c>
      <c r="F542" s="1" t="s">
        <v>126</v>
      </c>
      <c r="G542" s="1" t="s">
        <v>27</v>
      </c>
      <c r="H542" s="1">
        <v>5000</v>
      </c>
      <c r="J542" s="51">
        <v>45287</v>
      </c>
      <c r="L542" s="51">
        <v>45197</v>
      </c>
      <c r="M542" s="1" t="s">
        <v>135</v>
      </c>
      <c r="N542" s="1">
        <v>20</v>
      </c>
      <c r="O542" s="1">
        <v>22.8</v>
      </c>
      <c r="P542" s="1">
        <v>2280000</v>
      </c>
      <c r="Q542" s="1">
        <v>-48.4</v>
      </c>
      <c r="R542" s="1" t="s">
        <v>83</v>
      </c>
      <c r="T542" s="50">
        <f>IF(ISNUMBER(VLOOKUP(U542,Blotter!B:C,2,0)),VLOOKUP(U542,Blotter!B:C,2,0),"")</f>
        <v>6</v>
      </c>
      <c r="U542" s="49" t="str">
        <f t="shared" si="564"/>
        <v>SIZ3</v>
      </c>
      <c r="V542" s="49">
        <f t="shared" si="565"/>
        <v>20</v>
      </c>
      <c r="W542" s="49">
        <f t="shared" si="566"/>
        <v>22.8</v>
      </c>
      <c r="X542" s="49">
        <f t="shared" si="567"/>
        <v>-48.4</v>
      </c>
    </row>
    <row r="543" spans="1:24" x14ac:dyDescent="0.4">
      <c r="A543" s="1" t="s">
        <v>138</v>
      </c>
      <c r="B543" s="1" t="s">
        <v>83</v>
      </c>
      <c r="C543" s="1" t="s">
        <v>82</v>
      </c>
      <c r="D543" s="1" t="s">
        <v>278</v>
      </c>
      <c r="E543" s="1" t="s">
        <v>279</v>
      </c>
      <c r="F543" s="1" t="s">
        <v>126</v>
      </c>
      <c r="G543" s="1" t="s">
        <v>27</v>
      </c>
      <c r="H543" s="1">
        <v>5000</v>
      </c>
      <c r="J543" s="51">
        <v>45287</v>
      </c>
      <c r="L543" s="51">
        <v>45197</v>
      </c>
      <c r="M543" s="1" t="s">
        <v>135</v>
      </c>
      <c r="N543" s="1">
        <v>10</v>
      </c>
      <c r="O543" s="1">
        <v>22.73</v>
      </c>
      <c r="P543" s="1">
        <v>1136500</v>
      </c>
      <c r="Q543" s="1">
        <v>-24.2</v>
      </c>
      <c r="R543" s="1" t="s">
        <v>83</v>
      </c>
      <c r="T543" s="50">
        <f>IF(ISNUMBER(VLOOKUP(U543,Blotter!B:C,2,0)),VLOOKUP(U543,Blotter!B:C,2,0),"")</f>
        <v>6</v>
      </c>
      <c r="U543" s="49" t="str">
        <f t="shared" si="564"/>
        <v>SIZ3</v>
      </c>
      <c r="V543" s="49">
        <f t="shared" si="565"/>
        <v>10</v>
      </c>
      <c r="W543" s="49">
        <f t="shared" si="566"/>
        <v>22.73</v>
      </c>
      <c r="X543" s="49">
        <f t="shared" si="567"/>
        <v>-24.2</v>
      </c>
    </row>
    <row r="544" spans="1:24" x14ac:dyDescent="0.4">
      <c r="A544" s="1" t="s">
        <v>138</v>
      </c>
      <c r="B544" s="1" t="s">
        <v>83</v>
      </c>
      <c r="C544" s="1" t="s">
        <v>82</v>
      </c>
      <c r="D544" s="1" t="s">
        <v>278</v>
      </c>
      <c r="E544" s="1" t="s">
        <v>279</v>
      </c>
      <c r="F544" s="1" t="s">
        <v>126</v>
      </c>
      <c r="G544" s="1" t="s">
        <v>27</v>
      </c>
      <c r="H544" s="1">
        <v>5000</v>
      </c>
      <c r="J544" s="51">
        <v>45287</v>
      </c>
      <c r="L544" s="51">
        <v>45197</v>
      </c>
      <c r="M544" s="1" t="s">
        <v>135</v>
      </c>
      <c r="N544" s="1">
        <v>10</v>
      </c>
      <c r="O544" s="1">
        <v>22.79</v>
      </c>
      <c r="P544" s="1">
        <v>1139500</v>
      </c>
      <c r="Q544" s="1">
        <v>-24.2</v>
      </c>
      <c r="R544" s="1" t="s">
        <v>83</v>
      </c>
      <c r="T544" s="50">
        <f>IF(ISNUMBER(VLOOKUP(U544,Blotter!B:C,2,0)),VLOOKUP(U544,Blotter!B:C,2,0),"")</f>
        <v>6</v>
      </c>
      <c r="U544" s="49" t="str">
        <f t="shared" si="564"/>
        <v>SIZ3</v>
      </c>
      <c r="V544" s="49">
        <f t="shared" si="565"/>
        <v>10</v>
      </c>
      <c r="W544" s="49">
        <f t="shared" si="566"/>
        <v>22.79</v>
      </c>
      <c r="X544" s="49">
        <f t="shared" si="567"/>
        <v>-24.2</v>
      </c>
    </row>
    <row r="545" spans="1:24" x14ac:dyDescent="0.4">
      <c r="A545" s="1" t="s">
        <v>138</v>
      </c>
      <c r="B545" s="1" t="s">
        <v>83</v>
      </c>
      <c r="C545" s="1" t="s">
        <v>82</v>
      </c>
      <c r="D545" s="1" t="s">
        <v>278</v>
      </c>
      <c r="E545" s="1" t="s">
        <v>279</v>
      </c>
      <c r="F545" s="1" t="s">
        <v>126</v>
      </c>
      <c r="G545" s="1" t="s">
        <v>27</v>
      </c>
      <c r="H545" s="1">
        <v>5000</v>
      </c>
      <c r="J545" s="51">
        <v>45287</v>
      </c>
      <c r="L545" s="51">
        <v>45197</v>
      </c>
      <c r="M545" s="1" t="s">
        <v>135</v>
      </c>
      <c r="N545" s="1">
        <v>5</v>
      </c>
      <c r="O545" s="1">
        <v>22.63</v>
      </c>
      <c r="P545" s="1">
        <v>565750</v>
      </c>
      <c r="Q545" s="1">
        <v>-12.1</v>
      </c>
      <c r="R545" s="1" t="s">
        <v>83</v>
      </c>
      <c r="T545" s="50">
        <f>IF(ISNUMBER(VLOOKUP(U545,Blotter!B:C,2,0)),VLOOKUP(U545,Blotter!B:C,2,0),"")</f>
        <v>6</v>
      </c>
      <c r="U545" s="49" t="str">
        <f t="shared" si="564"/>
        <v>SIZ3</v>
      </c>
      <c r="V545" s="49">
        <f t="shared" si="565"/>
        <v>5</v>
      </c>
      <c r="W545" s="49">
        <f t="shared" si="566"/>
        <v>22.63</v>
      </c>
      <c r="X545" s="49">
        <f t="shared" si="567"/>
        <v>-12.1</v>
      </c>
    </row>
    <row r="546" spans="1:24" x14ac:dyDescent="0.4">
      <c r="A546" s="1" t="s">
        <v>138</v>
      </c>
      <c r="B546" s="1" t="s">
        <v>83</v>
      </c>
      <c r="C546" s="1" t="s">
        <v>82</v>
      </c>
      <c r="D546" s="1" t="s">
        <v>278</v>
      </c>
      <c r="E546" s="1" t="s">
        <v>279</v>
      </c>
      <c r="F546" s="1" t="s">
        <v>126</v>
      </c>
      <c r="G546" s="1" t="s">
        <v>27</v>
      </c>
      <c r="H546" s="1">
        <v>5000</v>
      </c>
      <c r="J546" s="51">
        <v>45287</v>
      </c>
      <c r="L546" s="51">
        <v>45197</v>
      </c>
      <c r="M546" s="1" t="s">
        <v>139</v>
      </c>
      <c r="N546" s="1">
        <v>-20</v>
      </c>
      <c r="O546" s="1">
        <v>22.824999999999999</v>
      </c>
      <c r="P546" s="1">
        <v>-2282500</v>
      </c>
      <c r="Q546" s="1">
        <v>-48.4</v>
      </c>
      <c r="R546" s="1" t="s">
        <v>83</v>
      </c>
      <c r="T546" s="50">
        <f>IF(ISNUMBER(VLOOKUP(U546,Blotter!B:C,2,0)),VLOOKUP(U546,Blotter!B:C,2,0),"")</f>
        <v>6</v>
      </c>
      <c r="U546" s="49" t="str">
        <f t="shared" si="564"/>
        <v>SIZ3</v>
      </c>
      <c r="V546" s="49">
        <f t="shared" si="565"/>
        <v>-20</v>
      </c>
      <c r="W546" s="49">
        <f t="shared" si="566"/>
        <v>22.824999999999999</v>
      </c>
      <c r="X546" s="49">
        <f t="shared" si="567"/>
        <v>-48.4</v>
      </c>
    </row>
    <row r="547" spans="1:24" x14ac:dyDescent="0.4">
      <c r="A547" s="1" t="s">
        <v>138</v>
      </c>
      <c r="B547" s="1" t="s">
        <v>83</v>
      </c>
      <c r="C547" s="1" t="s">
        <v>82</v>
      </c>
      <c r="D547" s="1" t="s">
        <v>278</v>
      </c>
      <c r="E547" s="1" t="s">
        <v>279</v>
      </c>
      <c r="F547" s="1" t="s">
        <v>126</v>
      </c>
      <c r="G547" s="1" t="s">
        <v>27</v>
      </c>
      <c r="H547" s="1">
        <v>5000</v>
      </c>
      <c r="J547" s="51">
        <v>45287</v>
      </c>
      <c r="L547" s="51">
        <v>45197</v>
      </c>
      <c r="M547" s="1" t="s">
        <v>139</v>
      </c>
      <c r="N547" s="1">
        <v>-20</v>
      </c>
      <c r="O547" s="1">
        <v>22.83</v>
      </c>
      <c r="P547" s="1">
        <v>-2283000</v>
      </c>
      <c r="Q547" s="1">
        <v>-48.4</v>
      </c>
      <c r="R547" s="1" t="s">
        <v>83</v>
      </c>
      <c r="T547" s="50">
        <f>IF(ISNUMBER(VLOOKUP(U547,Blotter!B:C,2,0)),VLOOKUP(U547,Blotter!B:C,2,0),"")</f>
        <v>6</v>
      </c>
      <c r="U547" s="49" t="str">
        <f t="shared" si="564"/>
        <v>SIZ3</v>
      </c>
      <c r="V547" s="49">
        <f t="shared" si="565"/>
        <v>-20</v>
      </c>
      <c r="W547" s="49">
        <f t="shared" si="566"/>
        <v>22.83</v>
      </c>
      <c r="X547" s="49">
        <f t="shared" si="567"/>
        <v>-48.4</v>
      </c>
    </row>
    <row r="548" spans="1:24" x14ac:dyDescent="0.4">
      <c r="A548" s="1" t="s">
        <v>138</v>
      </c>
      <c r="B548" s="1" t="s">
        <v>83</v>
      </c>
      <c r="C548" s="1" t="s">
        <v>82</v>
      </c>
      <c r="D548" s="1" t="s">
        <v>278</v>
      </c>
      <c r="E548" s="1" t="s">
        <v>279</v>
      </c>
      <c r="F548" s="1" t="s">
        <v>126</v>
      </c>
      <c r="G548" s="1" t="s">
        <v>27</v>
      </c>
      <c r="H548" s="1">
        <v>5000</v>
      </c>
      <c r="J548" s="51">
        <v>45287</v>
      </c>
      <c r="L548" s="51">
        <v>45197</v>
      </c>
      <c r="M548" s="1" t="s">
        <v>139</v>
      </c>
      <c r="N548" s="1">
        <v>-5</v>
      </c>
      <c r="O548" s="1">
        <v>22.75</v>
      </c>
      <c r="P548" s="1">
        <v>-568750</v>
      </c>
      <c r="Q548" s="1">
        <v>-12.1</v>
      </c>
      <c r="R548" s="1" t="s">
        <v>83</v>
      </c>
      <c r="T548" s="50">
        <f>IF(ISNUMBER(VLOOKUP(U548,Blotter!B:C,2,0)),VLOOKUP(U548,Blotter!B:C,2,0),"")</f>
        <v>6</v>
      </c>
      <c r="U548" s="49" t="str">
        <f t="shared" si="564"/>
        <v>SIZ3</v>
      </c>
      <c r="V548" s="49">
        <f t="shared" si="565"/>
        <v>-5</v>
      </c>
      <c r="W548" s="49">
        <f t="shared" si="566"/>
        <v>22.75</v>
      </c>
      <c r="X548" s="49">
        <f t="shared" si="567"/>
        <v>-12.1</v>
      </c>
    </row>
    <row r="549" spans="1:24" x14ac:dyDescent="0.4">
      <c r="A549" s="1" t="s">
        <v>138</v>
      </c>
      <c r="B549" s="1" t="s">
        <v>83</v>
      </c>
      <c r="C549" s="1" t="s">
        <v>82</v>
      </c>
      <c r="D549" s="1" t="s">
        <v>278</v>
      </c>
      <c r="E549" s="1" t="s">
        <v>279</v>
      </c>
      <c r="F549" s="1" t="s">
        <v>126</v>
      </c>
      <c r="G549" s="1" t="s">
        <v>27</v>
      </c>
      <c r="H549" s="1">
        <v>5000</v>
      </c>
      <c r="J549" s="51">
        <v>45287</v>
      </c>
      <c r="L549" s="51">
        <v>45197</v>
      </c>
      <c r="M549" s="1" t="s">
        <v>139</v>
      </c>
      <c r="N549" s="1">
        <v>-10</v>
      </c>
      <c r="O549" s="1">
        <v>22.84</v>
      </c>
      <c r="P549" s="1">
        <v>-1142000</v>
      </c>
      <c r="Q549" s="1">
        <v>-24.2</v>
      </c>
      <c r="R549" s="1" t="s">
        <v>83</v>
      </c>
      <c r="T549" s="50">
        <f>IF(ISNUMBER(VLOOKUP(U549,Blotter!B:C,2,0)),VLOOKUP(U549,Blotter!B:C,2,0),"")</f>
        <v>6</v>
      </c>
      <c r="U549" s="49" t="str">
        <f t="shared" si="564"/>
        <v>SIZ3</v>
      </c>
      <c r="V549" s="49">
        <f t="shared" si="565"/>
        <v>-10</v>
      </c>
      <c r="W549" s="49">
        <f t="shared" si="566"/>
        <v>22.84</v>
      </c>
      <c r="X549" s="49">
        <f t="shared" si="567"/>
        <v>-24.2</v>
      </c>
    </row>
    <row r="550" spans="1:24" x14ac:dyDescent="0.4">
      <c r="A550" s="1" t="s">
        <v>138</v>
      </c>
      <c r="B550" s="1" t="s">
        <v>83</v>
      </c>
      <c r="C550" s="1" t="s">
        <v>82</v>
      </c>
      <c r="D550" s="1" t="s">
        <v>278</v>
      </c>
      <c r="E550" s="1" t="s">
        <v>279</v>
      </c>
      <c r="F550" s="1" t="s">
        <v>126</v>
      </c>
      <c r="G550" s="1" t="s">
        <v>27</v>
      </c>
      <c r="H550" s="1">
        <v>5000</v>
      </c>
      <c r="J550" s="51">
        <v>45287</v>
      </c>
      <c r="L550" s="51">
        <v>45198</v>
      </c>
      <c r="M550" s="1" t="s">
        <v>135</v>
      </c>
      <c r="N550" s="1">
        <v>5</v>
      </c>
      <c r="O550" s="1">
        <v>23.24</v>
      </c>
      <c r="P550" s="1">
        <v>581000</v>
      </c>
      <c r="Q550" s="1">
        <v>-12.1</v>
      </c>
      <c r="R550" s="1" t="s">
        <v>83</v>
      </c>
      <c r="T550" s="50">
        <f>IF(ISNUMBER(VLOOKUP(U550,Blotter!B:C,2,0)),VLOOKUP(U550,Blotter!B:C,2,0),"")</f>
        <v>6</v>
      </c>
      <c r="U550" s="49" t="str">
        <f t="shared" si="564"/>
        <v>SIZ3</v>
      </c>
      <c r="V550" s="49">
        <f t="shared" si="565"/>
        <v>5</v>
      </c>
      <c r="W550" s="49">
        <f t="shared" si="566"/>
        <v>23.24</v>
      </c>
      <c r="X550" s="49">
        <f t="shared" si="567"/>
        <v>-12.1</v>
      </c>
    </row>
    <row r="551" spans="1:24" x14ac:dyDescent="0.4">
      <c r="A551" s="1" t="s">
        <v>138</v>
      </c>
      <c r="B551" s="1" t="s">
        <v>83</v>
      </c>
      <c r="C551" s="1" t="s">
        <v>82</v>
      </c>
      <c r="D551" s="1" t="s">
        <v>278</v>
      </c>
      <c r="E551" s="1" t="s">
        <v>279</v>
      </c>
      <c r="F551" s="1" t="s">
        <v>126</v>
      </c>
      <c r="G551" s="1" t="s">
        <v>27</v>
      </c>
      <c r="H551" s="1">
        <v>5000</v>
      </c>
      <c r="J551" s="51">
        <v>45287</v>
      </c>
      <c r="L551" s="51">
        <v>45198</v>
      </c>
      <c r="M551" s="1" t="s">
        <v>135</v>
      </c>
      <c r="N551" s="1">
        <v>5</v>
      </c>
      <c r="O551" s="1">
        <v>23.18</v>
      </c>
      <c r="P551" s="1">
        <v>579500</v>
      </c>
      <c r="Q551" s="1">
        <v>-12.1</v>
      </c>
      <c r="R551" s="1" t="s">
        <v>83</v>
      </c>
      <c r="T551" s="50">
        <f>IF(ISNUMBER(VLOOKUP(U551,Blotter!B:C,2,0)),VLOOKUP(U551,Blotter!B:C,2,0),"")</f>
        <v>6</v>
      </c>
      <c r="U551" s="49" t="str">
        <f t="shared" si="564"/>
        <v>SIZ3</v>
      </c>
      <c r="V551" s="49">
        <f t="shared" si="565"/>
        <v>5</v>
      </c>
      <c r="W551" s="49">
        <f t="shared" si="566"/>
        <v>23.18</v>
      </c>
      <c r="X551" s="49">
        <f t="shared" si="567"/>
        <v>-12.1</v>
      </c>
    </row>
    <row r="552" spans="1:24" x14ac:dyDescent="0.4">
      <c r="A552" s="1" t="s">
        <v>138</v>
      </c>
      <c r="B552" s="1" t="s">
        <v>83</v>
      </c>
      <c r="C552" s="1" t="s">
        <v>82</v>
      </c>
      <c r="D552" s="1" t="s">
        <v>278</v>
      </c>
      <c r="E552" s="1" t="s">
        <v>279</v>
      </c>
      <c r="F552" s="1" t="s">
        <v>126</v>
      </c>
      <c r="G552" s="1" t="s">
        <v>27</v>
      </c>
      <c r="H552" s="1">
        <v>5000</v>
      </c>
      <c r="J552" s="51">
        <v>45287</v>
      </c>
      <c r="L552" s="51">
        <v>45198</v>
      </c>
      <c r="M552" s="1" t="s">
        <v>135</v>
      </c>
      <c r="N552" s="1">
        <v>10</v>
      </c>
      <c r="O552" s="1">
        <v>23.05</v>
      </c>
      <c r="P552" s="1">
        <v>1152500</v>
      </c>
      <c r="Q552" s="1">
        <v>-24.2</v>
      </c>
      <c r="R552" s="1" t="s">
        <v>83</v>
      </c>
      <c r="T552" s="50">
        <f>IF(ISNUMBER(VLOOKUP(U552,Blotter!B:C,2,0)),VLOOKUP(U552,Blotter!B:C,2,0),"")</f>
        <v>6</v>
      </c>
      <c r="U552" s="49" t="str">
        <f t="shared" si="564"/>
        <v>SIZ3</v>
      </c>
      <c r="V552" s="49">
        <f t="shared" si="565"/>
        <v>10</v>
      </c>
      <c r="W552" s="49">
        <f t="shared" si="566"/>
        <v>23.05</v>
      </c>
      <c r="X552" s="49">
        <f t="shared" si="567"/>
        <v>-24.2</v>
      </c>
    </row>
    <row r="553" spans="1:24" x14ac:dyDescent="0.4">
      <c r="A553" s="1" t="s">
        <v>138</v>
      </c>
      <c r="B553" s="1" t="s">
        <v>83</v>
      </c>
      <c r="C553" s="1" t="s">
        <v>82</v>
      </c>
      <c r="D553" s="1" t="s">
        <v>278</v>
      </c>
      <c r="E553" s="1" t="s">
        <v>279</v>
      </c>
      <c r="F553" s="1" t="s">
        <v>126</v>
      </c>
      <c r="G553" s="1" t="s">
        <v>27</v>
      </c>
      <c r="H553" s="1">
        <v>5000</v>
      </c>
      <c r="J553" s="51">
        <v>45287</v>
      </c>
      <c r="L553" s="51">
        <v>45198</v>
      </c>
      <c r="M553" s="1" t="s">
        <v>135</v>
      </c>
      <c r="N553" s="1">
        <v>10</v>
      </c>
      <c r="O553" s="1">
        <v>22.89</v>
      </c>
      <c r="P553" s="1">
        <v>1144500</v>
      </c>
      <c r="Q553" s="1">
        <v>-24.2</v>
      </c>
      <c r="R553" s="1" t="s">
        <v>83</v>
      </c>
      <c r="T553" s="50">
        <f>IF(ISNUMBER(VLOOKUP(U553,Blotter!B:C,2,0)),VLOOKUP(U553,Blotter!B:C,2,0),"")</f>
        <v>6</v>
      </c>
      <c r="U553" s="49" t="str">
        <f t="shared" si="564"/>
        <v>SIZ3</v>
      </c>
      <c r="V553" s="49">
        <f t="shared" si="565"/>
        <v>10</v>
      </c>
      <c r="W553" s="49">
        <f t="shared" si="566"/>
        <v>22.89</v>
      </c>
      <c r="X553" s="49">
        <f t="shared" si="567"/>
        <v>-24.2</v>
      </c>
    </row>
    <row r="554" spans="1:24" x14ac:dyDescent="0.4">
      <c r="A554" s="1" t="s">
        <v>138</v>
      </c>
      <c r="B554" s="1" t="s">
        <v>83</v>
      </c>
      <c r="C554" s="1" t="s">
        <v>82</v>
      </c>
      <c r="D554" s="1" t="s">
        <v>278</v>
      </c>
      <c r="E554" s="1" t="s">
        <v>279</v>
      </c>
      <c r="F554" s="1" t="s">
        <v>126</v>
      </c>
      <c r="G554" s="1" t="s">
        <v>27</v>
      </c>
      <c r="H554" s="1">
        <v>5000</v>
      </c>
      <c r="J554" s="51">
        <v>45287</v>
      </c>
      <c r="L554" s="51">
        <v>45198</v>
      </c>
      <c r="M554" s="1" t="s">
        <v>135</v>
      </c>
      <c r="N554" s="1">
        <v>5</v>
      </c>
      <c r="O554" s="1">
        <v>22.7</v>
      </c>
      <c r="P554" s="1">
        <v>567500</v>
      </c>
      <c r="Q554" s="1">
        <v>-12.1</v>
      </c>
      <c r="R554" s="1" t="s">
        <v>83</v>
      </c>
      <c r="T554" s="50">
        <f>IF(ISNUMBER(VLOOKUP(U554,Blotter!B:C,2,0)),VLOOKUP(U554,Blotter!B:C,2,0),"")</f>
        <v>6</v>
      </c>
      <c r="U554" s="49" t="str">
        <f t="shared" si="564"/>
        <v>SIZ3</v>
      </c>
      <c r="V554" s="49">
        <f t="shared" si="565"/>
        <v>5</v>
      </c>
      <c r="W554" s="49">
        <f t="shared" si="566"/>
        <v>22.7</v>
      </c>
      <c r="X554" s="49">
        <f t="shared" si="567"/>
        <v>-12.1</v>
      </c>
    </row>
    <row r="555" spans="1:24" x14ac:dyDescent="0.4">
      <c r="A555" s="1" t="s">
        <v>138</v>
      </c>
      <c r="B555" s="1" t="s">
        <v>83</v>
      </c>
      <c r="C555" s="1" t="s">
        <v>82</v>
      </c>
      <c r="D555" s="1" t="s">
        <v>278</v>
      </c>
      <c r="E555" s="1" t="s">
        <v>279</v>
      </c>
      <c r="F555" s="1" t="s">
        <v>126</v>
      </c>
      <c r="G555" s="1" t="s">
        <v>27</v>
      </c>
      <c r="H555" s="1">
        <v>5000</v>
      </c>
      <c r="J555" s="51">
        <v>45287</v>
      </c>
      <c r="L555" s="51">
        <v>45198</v>
      </c>
      <c r="M555" s="1" t="s">
        <v>135</v>
      </c>
      <c r="N555" s="1">
        <v>5</v>
      </c>
      <c r="O555" s="1">
        <v>22.53</v>
      </c>
      <c r="P555" s="1">
        <v>563250</v>
      </c>
      <c r="Q555" s="1">
        <v>-12.1</v>
      </c>
      <c r="R555" s="1" t="s">
        <v>83</v>
      </c>
      <c r="T555" s="50">
        <f>IF(ISNUMBER(VLOOKUP(U555,Blotter!B:C,2,0)),VLOOKUP(U555,Blotter!B:C,2,0),"")</f>
        <v>6</v>
      </c>
      <c r="U555" s="49" t="str">
        <f t="shared" si="564"/>
        <v>SIZ3</v>
      </c>
      <c r="V555" s="49">
        <f t="shared" si="565"/>
        <v>5</v>
      </c>
      <c r="W555" s="49">
        <f t="shared" si="566"/>
        <v>22.53</v>
      </c>
      <c r="X555" s="49">
        <f t="shared" si="567"/>
        <v>-12.1</v>
      </c>
    </row>
    <row r="556" spans="1:24" x14ac:dyDescent="0.4">
      <c r="A556" s="1" t="s">
        <v>138</v>
      </c>
      <c r="B556" s="1" t="s">
        <v>83</v>
      </c>
      <c r="C556" s="1" t="s">
        <v>82</v>
      </c>
      <c r="D556" s="1" t="s">
        <v>278</v>
      </c>
      <c r="E556" s="1" t="s">
        <v>279</v>
      </c>
      <c r="F556" s="1" t="s">
        <v>126</v>
      </c>
      <c r="G556" s="1" t="s">
        <v>27</v>
      </c>
      <c r="H556" s="1">
        <v>5000</v>
      </c>
      <c r="J556" s="51">
        <v>45287</v>
      </c>
      <c r="L556" s="51">
        <v>45198</v>
      </c>
      <c r="M556" s="1" t="s">
        <v>135</v>
      </c>
      <c r="N556" s="1">
        <v>5</v>
      </c>
      <c r="O556" s="1">
        <v>22.33</v>
      </c>
      <c r="P556" s="1">
        <v>558250</v>
      </c>
      <c r="Q556" s="1">
        <v>-12.1</v>
      </c>
      <c r="R556" s="1" t="s">
        <v>83</v>
      </c>
      <c r="T556" s="50">
        <f>IF(ISNUMBER(VLOOKUP(U556,Blotter!B:C,2,0)),VLOOKUP(U556,Blotter!B:C,2,0),"")</f>
        <v>6</v>
      </c>
      <c r="U556" s="49" t="str">
        <f t="shared" si="564"/>
        <v>SIZ3</v>
      </c>
      <c r="V556" s="49">
        <f t="shared" si="565"/>
        <v>5</v>
      </c>
      <c r="W556" s="49">
        <f t="shared" si="566"/>
        <v>22.33</v>
      </c>
      <c r="X556" s="49">
        <f t="shared" si="567"/>
        <v>-12.1</v>
      </c>
    </row>
    <row r="557" spans="1:24" x14ac:dyDescent="0.4">
      <c r="A557" s="1" t="s">
        <v>138</v>
      </c>
      <c r="B557" s="1" t="s">
        <v>83</v>
      </c>
      <c r="C557" s="1" t="s">
        <v>82</v>
      </c>
      <c r="D557" s="1" t="s">
        <v>278</v>
      </c>
      <c r="E557" s="1" t="s">
        <v>279</v>
      </c>
      <c r="F557" s="1" t="s">
        <v>126</v>
      </c>
      <c r="G557" s="1" t="s">
        <v>27</v>
      </c>
      <c r="H557" s="1">
        <v>5000</v>
      </c>
      <c r="J557" s="51">
        <v>45287</v>
      </c>
      <c r="L557" s="51">
        <v>45198</v>
      </c>
      <c r="M557" s="1" t="s">
        <v>139</v>
      </c>
      <c r="N557" s="1">
        <v>-10</v>
      </c>
      <c r="O557" s="1">
        <v>23.08</v>
      </c>
      <c r="P557" s="1">
        <v>-1154000</v>
      </c>
      <c r="Q557" s="1">
        <v>-24.2</v>
      </c>
      <c r="R557" s="1" t="s">
        <v>83</v>
      </c>
      <c r="T557" s="50">
        <f>IF(ISNUMBER(VLOOKUP(U557,Blotter!B:C,2,0)),VLOOKUP(U557,Blotter!B:C,2,0),"")</f>
        <v>6</v>
      </c>
      <c r="U557" s="49" t="str">
        <f t="shared" si="564"/>
        <v>SIZ3</v>
      </c>
      <c r="V557" s="49">
        <f t="shared" si="565"/>
        <v>-10</v>
      </c>
      <c r="W557" s="49">
        <f t="shared" si="566"/>
        <v>23.08</v>
      </c>
      <c r="X557" s="49">
        <f t="shared" si="567"/>
        <v>-24.2</v>
      </c>
    </row>
    <row r="558" spans="1:24" x14ac:dyDescent="0.4">
      <c r="A558" s="1" t="s">
        <v>138</v>
      </c>
      <c r="B558" s="1" t="s">
        <v>83</v>
      </c>
      <c r="C558" s="1" t="s">
        <v>82</v>
      </c>
      <c r="D558" s="1" t="s">
        <v>278</v>
      </c>
      <c r="E558" s="1" t="s">
        <v>279</v>
      </c>
      <c r="F558" s="1" t="s">
        <v>126</v>
      </c>
      <c r="G558" s="1" t="s">
        <v>27</v>
      </c>
      <c r="H558" s="1">
        <v>5000</v>
      </c>
      <c r="J558" s="51">
        <v>45287</v>
      </c>
      <c r="L558" s="51">
        <v>45198</v>
      </c>
      <c r="M558" s="1" t="s">
        <v>139</v>
      </c>
      <c r="N558" s="1">
        <v>-5</v>
      </c>
      <c r="O558" s="1">
        <v>23.28</v>
      </c>
      <c r="P558" s="1">
        <v>-582000</v>
      </c>
      <c r="Q558" s="1">
        <v>-12.1</v>
      </c>
      <c r="R558" s="1" t="s">
        <v>83</v>
      </c>
      <c r="T558" s="50">
        <f>IF(ISNUMBER(VLOOKUP(U558,Blotter!B:C,2,0)),VLOOKUP(U558,Blotter!B:C,2,0),"")</f>
        <v>6</v>
      </c>
      <c r="U558" s="49" t="str">
        <f t="shared" si="564"/>
        <v>SIZ3</v>
      </c>
      <c r="V558" s="49">
        <f t="shared" si="565"/>
        <v>-5</v>
      </c>
      <c r="W558" s="49">
        <f t="shared" si="566"/>
        <v>23.28</v>
      </c>
      <c r="X558" s="49">
        <f t="shared" si="567"/>
        <v>-12.1</v>
      </c>
    </row>
    <row r="559" spans="1:24" x14ac:dyDescent="0.4">
      <c r="A559" s="1" t="s">
        <v>138</v>
      </c>
      <c r="B559" s="1" t="s">
        <v>83</v>
      </c>
      <c r="C559" s="1" t="s">
        <v>82</v>
      </c>
      <c r="D559" s="1" t="s">
        <v>278</v>
      </c>
      <c r="E559" s="1" t="s">
        <v>279</v>
      </c>
      <c r="F559" s="1" t="s">
        <v>126</v>
      </c>
      <c r="G559" s="1" t="s">
        <v>27</v>
      </c>
      <c r="H559" s="1">
        <v>5000</v>
      </c>
      <c r="J559" s="51">
        <v>45287</v>
      </c>
      <c r="L559" s="51">
        <v>45198</v>
      </c>
      <c r="M559" s="1" t="s">
        <v>139</v>
      </c>
      <c r="N559" s="1">
        <v>-5</v>
      </c>
      <c r="O559" s="1">
        <v>23.34</v>
      </c>
      <c r="P559" s="1">
        <v>-583500</v>
      </c>
      <c r="Q559" s="1">
        <v>-12.1</v>
      </c>
      <c r="R559" s="1" t="s">
        <v>83</v>
      </c>
      <c r="T559" s="50">
        <f>IF(ISNUMBER(VLOOKUP(U559,Blotter!B:C,2,0)),VLOOKUP(U559,Blotter!B:C,2,0),"")</f>
        <v>6</v>
      </c>
      <c r="U559" s="49" t="str">
        <f t="shared" si="564"/>
        <v>SIZ3</v>
      </c>
      <c r="V559" s="49">
        <f t="shared" si="565"/>
        <v>-5</v>
      </c>
      <c r="W559" s="49">
        <f t="shared" si="566"/>
        <v>23.34</v>
      </c>
      <c r="X559" s="49">
        <f t="shared" si="567"/>
        <v>-12.1</v>
      </c>
    </row>
    <row r="560" spans="1:24" x14ac:dyDescent="0.4">
      <c r="A560" s="1" t="s">
        <v>138</v>
      </c>
      <c r="B560" s="1" t="s">
        <v>83</v>
      </c>
      <c r="C560" s="1" t="s">
        <v>82</v>
      </c>
      <c r="D560" s="1" t="s">
        <v>278</v>
      </c>
      <c r="E560" s="1" t="s">
        <v>279</v>
      </c>
      <c r="F560" s="1" t="s">
        <v>126</v>
      </c>
      <c r="G560" s="1" t="s">
        <v>27</v>
      </c>
      <c r="H560" s="1">
        <v>5000</v>
      </c>
      <c r="J560" s="51">
        <v>45287</v>
      </c>
      <c r="L560" s="51">
        <v>45198</v>
      </c>
      <c r="M560" s="1" t="s">
        <v>139</v>
      </c>
      <c r="N560" s="1">
        <v>-5</v>
      </c>
      <c r="O560" s="1">
        <v>22.39</v>
      </c>
      <c r="P560" s="1">
        <v>-559750</v>
      </c>
      <c r="Q560" s="1">
        <v>-12.1</v>
      </c>
      <c r="R560" s="1" t="s">
        <v>83</v>
      </c>
      <c r="T560" s="50">
        <f>IF(ISNUMBER(VLOOKUP(U560,Blotter!B:C,2,0)),VLOOKUP(U560,Blotter!B:C,2,0),"")</f>
        <v>6</v>
      </c>
      <c r="U560" s="49" t="str">
        <f t="shared" si="564"/>
        <v>SIZ3</v>
      </c>
      <c r="V560" s="49">
        <f t="shared" si="565"/>
        <v>-5</v>
      </c>
      <c r="W560" s="49">
        <f t="shared" si="566"/>
        <v>22.39</v>
      </c>
      <c r="X560" s="49">
        <f t="shared" si="567"/>
        <v>-12.1</v>
      </c>
    </row>
    <row r="561" spans="1:30" x14ac:dyDescent="0.4">
      <c r="A561" s="1" t="s">
        <v>138</v>
      </c>
      <c r="B561" s="1" t="s">
        <v>83</v>
      </c>
      <c r="C561" s="1" t="s">
        <v>82</v>
      </c>
      <c r="D561" s="1" t="s">
        <v>285</v>
      </c>
      <c r="E561" s="1" t="s">
        <v>289</v>
      </c>
      <c r="F561" s="1" t="s">
        <v>100</v>
      </c>
      <c r="G561" s="1" t="s">
        <v>101</v>
      </c>
      <c r="H561" s="1">
        <v>50000</v>
      </c>
      <c r="J561" s="51">
        <v>45273</v>
      </c>
      <c r="L561" s="51">
        <v>45201</v>
      </c>
      <c r="M561" s="1" t="s">
        <v>139</v>
      </c>
      <c r="N561" s="1">
        <v>-5</v>
      </c>
      <c r="O561" s="59">
        <v>86.75</v>
      </c>
      <c r="P561" s="1">
        <v>-216875</v>
      </c>
      <c r="Q561" s="1">
        <v>-14.85</v>
      </c>
      <c r="R561" s="1" t="s">
        <v>83</v>
      </c>
      <c r="T561" s="50">
        <f>IF(ISNUMBER(VLOOKUP(U561,Blotter!B:C,2,0)),VLOOKUP(U561,Blotter!B:C,2,0),"")</f>
        <v>24</v>
      </c>
      <c r="U561" s="49" t="str">
        <f t="shared" si="564"/>
        <v>CTZ3</v>
      </c>
      <c r="V561" s="49">
        <f t="shared" si="565"/>
        <v>-5</v>
      </c>
      <c r="W561" s="49">
        <f t="shared" si="566"/>
        <v>86.75</v>
      </c>
      <c r="X561" s="49">
        <f t="shared" si="567"/>
        <v>-14.85</v>
      </c>
    </row>
    <row r="562" spans="1:30" x14ac:dyDescent="0.4">
      <c r="A562" s="1" t="s">
        <v>138</v>
      </c>
      <c r="B562" s="1" t="s">
        <v>83</v>
      </c>
      <c r="C562" s="1" t="s">
        <v>82</v>
      </c>
      <c r="D562" s="1" t="s">
        <v>278</v>
      </c>
      <c r="E562" s="1" t="s">
        <v>279</v>
      </c>
      <c r="F562" s="1" t="s">
        <v>126</v>
      </c>
      <c r="G562" s="1" t="s">
        <v>27</v>
      </c>
      <c r="H562" s="1">
        <v>5000</v>
      </c>
      <c r="J562" s="51">
        <v>45287</v>
      </c>
      <c r="L562" s="51">
        <v>45201</v>
      </c>
      <c r="M562" s="1" t="s">
        <v>139</v>
      </c>
      <c r="N562" s="1">
        <v>-10</v>
      </c>
      <c r="O562" s="1">
        <v>21.83</v>
      </c>
      <c r="P562" s="1">
        <v>-1091500</v>
      </c>
      <c r="Q562" s="1">
        <v>-24.2</v>
      </c>
      <c r="R562" s="1" t="s">
        <v>83</v>
      </c>
      <c r="T562" s="50">
        <f>IF(ISNUMBER(VLOOKUP(U562,Blotter!B:C,2,0)),VLOOKUP(U562,Blotter!B:C,2,0),"")</f>
        <v>6</v>
      </c>
      <c r="U562" s="49" t="str">
        <f t="shared" si="564"/>
        <v>SIZ3</v>
      </c>
      <c r="V562" s="49">
        <f t="shared" si="565"/>
        <v>-10</v>
      </c>
      <c r="W562" s="49">
        <f t="shared" si="566"/>
        <v>21.83</v>
      </c>
      <c r="X562" s="49">
        <f t="shared" si="567"/>
        <v>-24.2</v>
      </c>
    </row>
    <row r="563" spans="1:30" x14ac:dyDescent="0.4">
      <c r="A563" s="1" t="s">
        <v>138</v>
      </c>
      <c r="B563" s="1" t="s">
        <v>83</v>
      </c>
      <c r="C563" s="1" t="s">
        <v>82</v>
      </c>
      <c r="D563" s="1" t="s">
        <v>278</v>
      </c>
      <c r="E563" s="1" t="s">
        <v>279</v>
      </c>
      <c r="F563" s="1" t="s">
        <v>126</v>
      </c>
      <c r="G563" s="1" t="s">
        <v>27</v>
      </c>
      <c r="H563" s="1">
        <v>5000</v>
      </c>
      <c r="J563" s="51">
        <v>45287</v>
      </c>
      <c r="L563" s="51">
        <v>45201</v>
      </c>
      <c r="M563" s="1" t="s">
        <v>139</v>
      </c>
      <c r="N563" s="1">
        <v>-10</v>
      </c>
      <c r="O563" s="59">
        <v>25.6</v>
      </c>
      <c r="P563" s="1">
        <v>-1092500</v>
      </c>
      <c r="Q563" s="1">
        <v>-24.2</v>
      </c>
      <c r="R563" s="1" t="s">
        <v>83</v>
      </c>
      <c r="T563" s="50">
        <f>IF(ISNUMBER(VLOOKUP(U563,Blotter!B:C,2,0)),VLOOKUP(U563,Blotter!B:C,2,0),"")</f>
        <v>6</v>
      </c>
      <c r="U563" s="49" t="str">
        <f t="shared" si="564"/>
        <v>SIZ3</v>
      </c>
      <c r="V563" s="49">
        <f t="shared" si="565"/>
        <v>-10</v>
      </c>
      <c r="W563" s="49">
        <f t="shared" si="566"/>
        <v>25.6</v>
      </c>
      <c r="X563" s="49">
        <f t="shared" si="567"/>
        <v>-24.2</v>
      </c>
      <c r="Z563" s="1" t="s">
        <v>391</v>
      </c>
      <c r="AA563" s="1">
        <v>21.85</v>
      </c>
      <c r="AB563" s="1">
        <v>25.6</v>
      </c>
      <c r="AD563" s="1">
        <f>(AB563-AA563)*V563*5000</f>
        <v>-187500</v>
      </c>
    </row>
    <row r="564" spans="1:30" x14ac:dyDescent="0.4">
      <c r="A564" s="1" t="s">
        <v>138</v>
      </c>
      <c r="B564" s="1" t="s">
        <v>83</v>
      </c>
      <c r="C564" s="1" t="s">
        <v>86</v>
      </c>
      <c r="D564" s="1" t="s">
        <v>293</v>
      </c>
      <c r="E564" s="1" t="s">
        <v>294</v>
      </c>
      <c r="F564" s="1" t="s">
        <v>126</v>
      </c>
      <c r="G564" s="1" t="s">
        <v>278</v>
      </c>
      <c r="H564" s="1">
        <v>5000</v>
      </c>
      <c r="I564" s="1">
        <v>22.2</v>
      </c>
      <c r="J564" s="51">
        <v>45257</v>
      </c>
      <c r="K564" s="1" t="s">
        <v>57</v>
      </c>
      <c r="L564" s="51">
        <v>45203</v>
      </c>
      <c r="M564" s="1" t="s">
        <v>135</v>
      </c>
      <c r="N564" s="1">
        <v>15</v>
      </c>
      <c r="O564" s="1">
        <v>0.52</v>
      </c>
      <c r="P564" s="1">
        <v>39000</v>
      </c>
      <c r="Q564" s="1">
        <v>-35.549999999999997</v>
      </c>
      <c r="R564" s="1" t="s">
        <v>83</v>
      </c>
      <c r="T564" s="50">
        <f>IF(ISNUMBER(VLOOKUP(U564,Blotter!B:C,2,0)),VLOOKUP(U564,Blotter!B:C,2,0),"")</f>
        <v>6</v>
      </c>
      <c r="U564" s="49" t="str">
        <f t="shared" si="564"/>
        <v>SOZ3 C2220</v>
      </c>
      <c r="V564" s="49">
        <f t="shared" si="565"/>
        <v>15</v>
      </c>
      <c r="W564" s="49">
        <f t="shared" si="566"/>
        <v>0.52</v>
      </c>
      <c r="X564" s="49">
        <f t="shared" si="567"/>
        <v>-35.549999999999997</v>
      </c>
    </row>
    <row r="565" spans="1:30" x14ac:dyDescent="0.4">
      <c r="A565" s="1" t="s">
        <v>138</v>
      </c>
      <c r="B565" s="1" t="s">
        <v>83</v>
      </c>
      <c r="C565" s="1" t="s">
        <v>86</v>
      </c>
      <c r="D565" s="1" t="s">
        <v>295</v>
      </c>
      <c r="E565" s="1" t="s">
        <v>296</v>
      </c>
      <c r="F565" s="1" t="s">
        <v>126</v>
      </c>
      <c r="G565" s="1" t="s">
        <v>278</v>
      </c>
      <c r="H565" s="1">
        <v>5000</v>
      </c>
      <c r="I565" s="1">
        <v>20</v>
      </c>
      <c r="J565" s="51">
        <v>45257</v>
      </c>
      <c r="K565" s="1" t="s">
        <v>89</v>
      </c>
      <c r="L565" s="51">
        <v>45203</v>
      </c>
      <c r="M565" s="1" t="s">
        <v>139</v>
      </c>
      <c r="N565" s="1">
        <v>-1</v>
      </c>
      <c r="O565" s="1">
        <v>0.36</v>
      </c>
      <c r="P565" s="1">
        <v>-1800</v>
      </c>
      <c r="Q565" s="1">
        <v>-2.37</v>
      </c>
      <c r="R565" s="1" t="s">
        <v>83</v>
      </c>
      <c r="T565" s="50">
        <f>IF(ISNUMBER(VLOOKUP(U565,Blotter!B:C,2,0)),VLOOKUP(U565,Blotter!B:C,2,0),"")</f>
        <v>6</v>
      </c>
      <c r="U565" s="49" t="str">
        <f t="shared" si="564"/>
        <v>SOZ3 P2000</v>
      </c>
      <c r="V565" s="49">
        <f t="shared" si="565"/>
        <v>-1</v>
      </c>
      <c r="W565" s="49">
        <f t="shared" si="566"/>
        <v>0.36</v>
      </c>
      <c r="X565" s="49">
        <f t="shared" si="567"/>
        <v>-2.37</v>
      </c>
    </row>
    <row r="566" spans="1:30" x14ac:dyDescent="0.4">
      <c r="A566" s="1" t="s">
        <v>138</v>
      </c>
      <c r="B566" s="1" t="s">
        <v>83</v>
      </c>
      <c r="C566" s="1" t="s">
        <v>86</v>
      </c>
      <c r="D566" s="1" t="s">
        <v>295</v>
      </c>
      <c r="E566" s="1" t="s">
        <v>296</v>
      </c>
      <c r="F566" s="1" t="s">
        <v>126</v>
      </c>
      <c r="G566" s="1" t="s">
        <v>278</v>
      </c>
      <c r="H566" s="1">
        <v>5000</v>
      </c>
      <c r="I566" s="1">
        <v>20</v>
      </c>
      <c r="J566" s="51">
        <v>45257</v>
      </c>
      <c r="K566" s="1" t="s">
        <v>89</v>
      </c>
      <c r="L566" s="51">
        <v>45203</v>
      </c>
      <c r="M566" s="1" t="s">
        <v>139</v>
      </c>
      <c r="N566" s="1">
        <v>-1</v>
      </c>
      <c r="O566" s="1">
        <v>0.36</v>
      </c>
      <c r="P566" s="1">
        <v>-1800</v>
      </c>
      <c r="Q566" s="1">
        <v>-2.37</v>
      </c>
      <c r="R566" s="1" t="s">
        <v>83</v>
      </c>
      <c r="T566" s="50">
        <f>IF(ISNUMBER(VLOOKUP(U566,Blotter!B:C,2,0)),VLOOKUP(U566,Blotter!B:C,2,0),"")</f>
        <v>6</v>
      </c>
      <c r="U566" s="49" t="str">
        <f t="shared" si="564"/>
        <v>SOZ3 P2000</v>
      </c>
      <c r="V566" s="49">
        <f t="shared" si="565"/>
        <v>-1</v>
      </c>
      <c r="W566" s="49">
        <f t="shared" si="566"/>
        <v>0.36</v>
      </c>
      <c r="X566" s="49">
        <f t="shared" si="567"/>
        <v>-2.37</v>
      </c>
    </row>
    <row r="567" spans="1:30" x14ac:dyDescent="0.4">
      <c r="A567" s="1" t="s">
        <v>138</v>
      </c>
      <c r="B567" s="1" t="s">
        <v>83</v>
      </c>
      <c r="C567" s="1" t="s">
        <v>86</v>
      </c>
      <c r="D567" s="1" t="s">
        <v>295</v>
      </c>
      <c r="E567" s="1" t="s">
        <v>296</v>
      </c>
      <c r="F567" s="1" t="s">
        <v>126</v>
      </c>
      <c r="G567" s="1" t="s">
        <v>278</v>
      </c>
      <c r="H567" s="1">
        <v>5000</v>
      </c>
      <c r="I567" s="1">
        <v>20</v>
      </c>
      <c r="J567" s="51">
        <v>45257</v>
      </c>
      <c r="K567" s="1" t="s">
        <v>89</v>
      </c>
      <c r="L567" s="51">
        <v>45203</v>
      </c>
      <c r="M567" s="1" t="s">
        <v>139</v>
      </c>
      <c r="N567" s="1">
        <v>-9</v>
      </c>
      <c r="O567" s="1">
        <v>0.36</v>
      </c>
      <c r="P567" s="1">
        <v>-16200</v>
      </c>
      <c r="Q567" s="1">
        <v>-21.33</v>
      </c>
      <c r="R567" s="1" t="s">
        <v>83</v>
      </c>
      <c r="T567" s="50">
        <f>IF(ISNUMBER(VLOOKUP(U567,Blotter!B:C,2,0)),VLOOKUP(U567,Blotter!B:C,2,0),"")</f>
        <v>6</v>
      </c>
      <c r="U567" s="49" t="str">
        <f t="shared" si="564"/>
        <v>SOZ3 P2000</v>
      </c>
      <c r="V567" s="49">
        <f t="shared" si="565"/>
        <v>-9</v>
      </c>
      <c r="W567" s="49">
        <f t="shared" si="566"/>
        <v>0.36</v>
      </c>
      <c r="X567" s="49">
        <f t="shared" si="567"/>
        <v>-21.33</v>
      </c>
    </row>
    <row r="568" spans="1:30" x14ac:dyDescent="0.4">
      <c r="A568" s="1" t="s">
        <v>138</v>
      </c>
      <c r="B568" s="1" t="s">
        <v>83</v>
      </c>
      <c r="C568" s="1" t="s">
        <v>86</v>
      </c>
      <c r="D568" s="1" t="s">
        <v>295</v>
      </c>
      <c r="E568" s="1" t="s">
        <v>296</v>
      </c>
      <c r="F568" s="1" t="s">
        <v>126</v>
      </c>
      <c r="G568" s="1" t="s">
        <v>278</v>
      </c>
      <c r="H568" s="1">
        <v>5000</v>
      </c>
      <c r="I568" s="1">
        <v>20</v>
      </c>
      <c r="J568" s="51">
        <v>45257</v>
      </c>
      <c r="K568" s="1" t="s">
        <v>89</v>
      </c>
      <c r="L568" s="51">
        <v>45203</v>
      </c>
      <c r="M568" s="1" t="s">
        <v>139</v>
      </c>
      <c r="N568" s="1">
        <v>-4</v>
      </c>
      <c r="O568" s="1">
        <v>0.36</v>
      </c>
      <c r="P568" s="1">
        <v>-7200</v>
      </c>
      <c r="Q568" s="1">
        <v>-9.48</v>
      </c>
      <c r="R568" s="1" t="s">
        <v>83</v>
      </c>
      <c r="T568" s="50">
        <f>IF(ISNUMBER(VLOOKUP(U568,Blotter!B:C,2,0)),VLOOKUP(U568,Blotter!B:C,2,0),"")</f>
        <v>6</v>
      </c>
      <c r="U568" s="49" t="str">
        <f t="shared" si="564"/>
        <v>SOZ3 P2000</v>
      </c>
      <c r="V568" s="49">
        <f t="shared" si="565"/>
        <v>-4</v>
      </c>
      <c r="W568" s="49">
        <f t="shared" si="566"/>
        <v>0.36</v>
      </c>
      <c r="X568" s="49">
        <f t="shared" si="567"/>
        <v>-9.48</v>
      </c>
    </row>
    <row r="569" spans="1:30" x14ac:dyDescent="0.4">
      <c r="A569" s="1" t="s">
        <v>138</v>
      </c>
      <c r="B569" s="1" t="s">
        <v>83</v>
      </c>
      <c r="C569" s="1" t="s">
        <v>86</v>
      </c>
      <c r="D569" s="1" t="s">
        <v>297</v>
      </c>
      <c r="E569" s="1" t="s">
        <v>298</v>
      </c>
      <c r="F569" s="1" t="s">
        <v>126</v>
      </c>
      <c r="G569" s="1" t="s">
        <v>278</v>
      </c>
      <c r="H569" s="1">
        <v>5000</v>
      </c>
      <c r="I569" s="1">
        <v>24.7</v>
      </c>
      <c r="J569" s="51">
        <v>45257</v>
      </c>
      <c r="K569" s="1" t="s">
        <v>57</v>
      </c>
      <c r="L569" s="51">
        <v>45211</v>
      </c>
      <c r="M569" s="1" t="s">
        <v>139</v>
      </c>
      <c r="N569" s="1">
        <v>-4</v>
      </c>
      <c r="O569" s="1">
        <v>0.182</v>
      </c>
      <c r="P569" s="1">
        <v>-3640</v>
      </c>
      <c r="Q569" s="1">
        <v>-9.48</v>
      </c>
      <c r="R569" s="1" t="s">
        <v>83</v>
      </c>
      <c r="T569" s="50">
        <f>IF(ISNUMBER(VLOOKUP(U569,Blotter!B:C,2,0)),VLOOKUP(U569,Blotter!B:C,2,0),"")</f>
        <v>6</v>
      </c>
      <c r="U569" s="49" t="str">
        <f t="shared" si="564"/>
        <v>SOZ3 C2470</v>
      </c>
      <c r="V569" s="49">
        <f t="shared" si="565"/>
        <v>-4</v>
      </c>
      <c r="W569" s="49">
        <f t="shared" si="566"/>
        <v>0.182</v>
      </c>
      <c r="X569" s="49">
        <f t="shared" si="567"/>
        <v>-9.48</v>
      </c>
    </row>
    <row r="570" spans="1:30" x14ac:dyDescent="0.4">
      <c r="A570" s="1" t="s">
        <v>138</v>
      </c>
      <c r="B570" s="1" t="s">
        <v>83</v>
      </c>
      <c r="C570" s="1" t="s">
        <v>86</v>
      </c>
      <c r="D570" s="1" t="s">
        <v>297</v>
      </c>
      <c r="E570" s="1" t="s">
        <v>298</v>
      </c>
      <c r="F570" s="1" t="s">
        <v>126</v>
      </c>
      <c r="G570" s="1" t="s">
        <v>278</v>
      </c>
      <c r="H570" s="1">
        <v>5000</v>
      </c>
      <c r="I570" s="1">
        <v>24.7</v>
      </c>
      <c r="J570" s="51">
        <v>45257</v>
      </c>
      <c r="K570" s="1" t="s">
        <v>57</v>
      </c>
      <c r="L570" s="51">
        <v>45211</v>
      </c>
      <c r="M570" s="1" t="s">
        <v>139</v>
      </c>
      <c r="N570" s="1">
        <v>-4</v>
      </c>
      <c r="O570" s="1">
        <v>0.182</v>
      </c>
      <c r="P570" s="1">
        <v>-3640</v>
      </c>
      <c r="Q570" s="1">
        <v>-9.48</v>
      </c>
      <c r="R570" s="1" t="s">
        <v>83</v>
      </c>
      <c r="T570" s="50">
        <f>IF(ISNUMBER(VLOOKUP(U570,Blotter!B:C,2,0)),VLOOKUP(U570,Blotter!B:C,2,0),"")</f>
        <v>6</v>
      </c>
      <c r="U570" s="49" t="str">
        <f t="shared" si="564"/>
        <v>SOZ3 C2470</v>
      </c>
      <c r="V570" s="49">
        <f t="shared" si="565"/>
        <v>-4</v>
      </c>
      <c r="W570" s="49">
        <f t="shared" si="566"/>
        <v>0.182</v>
      </c>
      <c r="X570" s="49">
        <f t="shared" si="567"/>
        <v>-9.48</v>
      </c>
    </row>
    <row r="571" spans="1:30" x14ac:dyDescent="0.4">
      <c r="A571" s="1" t="s">
        <v>138</v>
      </c>
      <c r="B571" s="1" t="s">
        <v>83</v>
      </c>
      <c r="C571" s="1" t="s">
        <v>86</v>
      </c>
      <c r="D571" s="1" t="s">
        <v>297</v>
      </c>
      <c r="E571" s="1" t="s">
        <v>298</v>
      </c>
      <c r="F571" s="1" t="s">
        <v>126</v>
      </c>
      <c r="G571" s="1" t="s">
        <v>278</v>
      </c>
      <c r="H571" s="1">
        <v>5000</v>
      </c>
      <c r="I571" s="1">
        <v>24.7</v>
      </c>
      <c r="J571" s="51">
        <v>45257</v>
      </c>
      <c r="K571" s="1" t="s">
        <v>57</v>
      </c>
      <c r="L571" s="51">
        <v>45211</v>
      </c>
      <c r="M571" s="1" t="s">
        <v>139</v>
      </c>
      <c r="N571" s="1">
        <v>-5</v>
      </c>
      <c r="O571" s="1">
        <v>0.182</v>
      </c>
      <c r="P571" s="1">
        <v>-4550</v>
      </c>
      <c r="Q571" s="1">
        <v>-11.85</v>
      </c>
      <c r="R571" s="1" t="s">
        <v>83</v>
      </c>
      <c r="T571" s="50">
        <f>IF(ISNUMBER(VLOOKUP(U571,Blotter!B:C,2,0)),VLOOKUP(U571,Blotter!B:C,2,0),"")</f>
        <v>6</v>
      </c>
      <c r="U571" s="49" t="str">
        <f t="shared" si="564"/>
        <v>SOZ3 C2470</v>
      </c>
      <c r="V571" s="49">
        <f t="shared" si="565"/>
        <v>-5</v>
      </c>
      <c r="W571" s="49">
        <f t="shared" si="566"/>
        <v>0.182</v>
      </c>
      <c r="X571" s="49">
        <f t="shared" si="567"/>
        <v>-11.85</v>
      </c>
    </row>
    <row r="572" spans="1:30" x14ac:dyDescent="0.4">
      <c r="A572" s="1" t="s">
        <v>138</v>
      </c>
      <c r="B572" s="1" t="s">
        <v>83</v>
      </c>
      <c r="C572" s="1" t="s">
        <v>86</v>
      </c>
      <c r="D572" s="1" t="s">
        <v>297</v>
      </c>
      <c r="E572" s="1" t="s">
        <v>298</v>
      </c>
      <c r="F572" s="1" t="s">
        <v>126</v>
      </c>
      <c r="G572" s="1" t="s">
        <v>278</v>
      </c>
      <c r="H572" s="1">
        <v>5000</v>
      </c>
      <c r="I572" s="1">
        <v>24.7</v>
      </c>
      <c r="J572" s="51">
        <v>45257</v>
      </c>
      <c r="K572" s="1" t="s">
        <v>57</v>
      </c>
      <c r="L572" s="51">
        <v>45211</v>
      </c>
      <c r="M572" s="1" t="s">
        <v>139</v>
      </c>
      <c r="N572" s="1">
        <v>-2</v>
      </c>
      <c r="O572" s="1">
        <v>0.182</v>
      </c>
      <c r="P572" s="1">
        <v>-1820</v>
      </c>
      <c r="Q572" s="1">
        <v>-4.74</v>
      </c>
      <c r="R572" s="1" t="s">
        <v>83</v>
      </c>
      <c r="T572" s="50">
        <f>IF(ISNUMBER(VLOOKUP(U572,Blotter!B:C,2,0)),VLOOKUP(U572,Blotter!B:C,2,0),"")</f>
        <v>6</v>
      </c>
      <c r="U572" s="49" t="str">
        <f t="shared" si="564"/>
        <v>SOZ3 C2470</v>
      </c>
      <c r="V572" s="49">
        <f t="shared" si="565"/>
        <v>-2</v>
      </c>
      <c r="W572" s="49">
        <f t="shared" si="566"/>
        <v>0.182</v>
      </c>
      <c r="X572" s="49">
        <f t="shared" si="567"/>
        <v>-4.74</v>
      </c>
    </row>
    <row r="573" spans="1:30" x14ac:dyDescent="0.4">
      <c r="A573" s="1" t="s">
        <v>138</v>
      </c>
      <c r="B573" s="1" t="s">
        <v>83</v>
      </c>
      <c r="C573" s="1" t="s">
        <v>86</v>
      </c>
      <c r="D573" s="1" t="s">
        <v>295</v>
      </c>
      <c r="E573" s="1" t="s">
        <v>296</v>
      </c>
      <c r="F573" s="1" t="s">
        <v>126</v>
      </c>
      <c r="G573" s="1" t="s">
        <v>278</v>
      </c>
      <c r="H573" s="1">
        <v>5000</v>
      </c>
      <c r="I573" s="1">
        <v>20</v>
      </c>
      <c r="J573" s="51">
        <v>45257</v>
      </c>
      <c r="K573" s="1" t="s">
        <v>89</v>
      </c>
      <c r="L573" s="51">
        <v>45211</v>
      </c>
      <c r="M573" s="1" t="s">
        <v>135</v>
      </c>
      <c r="N573" s="1">
        <v>12</v>
      </c>
      <c r="O573" s="1">
        <v>0.13</v>
      </c>
      <c r="P573" s="1">
        <v>7800</v>
      </c>
      <c r="Q573" s="1">
        <v>-28.44</v>
      </c>
      <c r="R573" s="1" t="s">
        <v>83</v>
      </c>
      <c r="T573" s="50">
        <f>IF(ISNUMBER(VLOOKUP(U573,Blotter!B:C,2,0)),VLOOKUP(U573,Blotter!B:C,2,0),"")</f>
        <v>6</v>
      </c>
      <c r="U573" s="49" t="str">
        <f t="shared" si="564"/>
        <v>SOZ3 P2000</v>
      </c>
      <c r="V573" s="49">
        <f t="shared" si="565"/>
        <v>12</v>
      </c>
      <c r="W573" s="49">
        <f t="shared" si="566"/>
        <v>0.13</v>
      </c>
      <c r="X573" s="49">
        <f t="shared" si="567"/>
        <v>-28.44</v>
      </c>
    </row>
    <row r="574" spans="1:30" x14ac:dyDescent="0.4">
      <c r="A574" s="1" t="s">
        <v>138</v>
      </c>
      <c r="B574" s="1" t="s">
        <v>83</v>
      </c>
      <c r="C574" s="1" t="s">
        <v>86</v>
      </c>
      <c r="D574" s="1" t="s">
        <v>295</v>
      </c>
      <c r="E574" s="1" t="s">
        <v>296</v>
      </c>
      <c r="F574" s="1" t="s">
        <v>126</v>
      </c>
      <c r="G574" s="1" t="s">
        <v>278</v>
      </c>
      <c r="H574" s="1">
        <v>5000</v>
      </c>
      <c r="I574" s="1">
        <v>20</v>
      </c>
      <c r="J574" s="51">
        <v>45257</v>
      </c>
      <c r="K574" s="1" t="s">
        <v>89</v>
      </c>
      <c r="L574" s="51">
        <v>45211</v>
      </c>
      <c r="M574" s="1" t="s">
        <v>135</v>
      </c>
      <c r="N574" s="1">
        <v>3</v>
      </c>
      <c r="O574" s="1">
        <v>0.13</v>
      </c>
      <c r="P574" s="1">
        <v>1950</v>
      </c>
      <c r="Q574" s="1">
        <v>-7.11</v>
      </c>
      <c r="R574" s="1" t="s">
        <v>83</v>
      </c>
      <c r="T574" s="50">
        <f>IF(ISNUMBER(VLOOKUP(U574,Blotter!B:C,2,0)),VLOOKUP(U574,Blotter!B:C,2,0),"")</f>
        <v>6</v>
      </c>
      <c r="U574" s="49" t="str">
        <f t="shared" si="564"/>
        <v>SOZ3 P2000</v>
      </c>
      <c r="V574" s="49">
        <f t="shared" si="565"/>
        <v>3</v>
      </c>
      <c r="W574" s="49">
        <f t="shared" si="566"/>
        <v>0.13</v>
      </c>
      <c r="X574" s="49">
        <f t="shared" si="567"/>
        <v>-7.11</v>
      </c>
    </row>
    <row r="575" spans="1:30" x14ac:dyDescent="0.4">
      <c r="A575" s="1" t="s">
        <v>138</v>
      </c>
      <c r="B575" s="1" t="s">
        <v>83</v>
      </c>
      <c r="C575" s="1" t="s">
        <v>86</v>
      </c>
      <c r="D575" s="1" t="s">
        <v>299</v>
      </c>
      <c r="E575" s="1" t="s">
        <v>300</v>
      </c>
      <c r="F575" s="1" t="s">
        <v>93</v>
      </c>
      <c r="G575" s="1" t="s">
        <v>301</v>
      </c>
      <c r="H575" s="1">
        <v>1000</v>
      </c>
      <c r="I575" s="1">
        <v>90</v>
      </c>
      <c r="J575" s="51">
        <v>45245</v>
      </c>
      <c r="K575" s="1" t="s">
        <v>57</v>
      </c>
      <c r="L575" s="51">
        <v>45212</v>
      </c>
      <c r="M575" s="1" t="s">
        <v>135</v>
      </c>
      <c r="N575" s="1">
        <v>10</v>
      </c>
      <c r="O575" s="1">
        <v>2.2999999999999998</v>
      </c>
      <c r="P575" s="1">
        <v>23000</v>
      </c>
      <c r="Q575" s="1">
        <v>-23.7</v>
      </c>
      <c r="R575" s="1" t="s">
        <v>83</v>
      </c>
      <c r="T575" s="50">
        <f>IF(ISNUMBER(VLOOKUP(U575,Blotter!B:C,2,0)),VLOOKUP(U575,Blotter!B:C,2,0),"")</f>
        <v>27</v>
      </c>
      <c r="U575" s="49" t="str">
        <f t="shared" si="564"/>
        <v>LOZ3 C9000</v>
      </c>
      <c r="V575" s="49">
        <f t="shared" si="565"/>
        <v>10</v>
      </c>
      <c r="W575" s="49">
        <f t="shared" si="566"/>
        <v>2.2999999999999998</v>
      </c>
      <c r="X575" s="49">
        <f t="shared" si="567"/>
        <v>-23.7</v>
      </c>
    </row>
    <row r="576" spans="1:30" x14ac:dyDescent="0.4">
      <c r="A576" s="1" t="s">
        <v>138</v>
      </c>
      <c r="B576" s="1" t="s">
        <v>83</v>
      </c>
      <c r="C576" s="1" t="s">
        <v>86</v>
      </c>
      <c r="D576" s="1" t="s">
        <v>302</v>
      </c>
      <c r="E576" s="1" t="s">
        <v>303</v>
      </c>
      <c r="F576" s="1" t="s">
        <v>93</v>
      </c>
      <c r="G576" s="1" t="s">
        <v>301</v>
      </c>
      <c r="H576" s="1">
        <v>1000</v>
      </c>
      <c r="I576" s="1">
        <v>95</v>
      </c>
      <c r="J576" s="51">
        <v>45245</v>
      </c>
      <c r="K576" s="1" t="s">
        <v>57</v>
      </c>
      <c r="L576" s="51">
        <v>45212</v>
      </c>
      <c r="M576" s="1" t="s">
        <v>139</v>
      </c>
      <c r="N576" s="1">
        <v>-10</v>
      </c>
      <c r="O576" s="1">
        <v>1.5</v>
      </c>
      <c r="P576" s="1">
        <v>-15000</v>
      </c>
      <c r="Q576" s="1">
        <v>-23.7</v>
      </c>
      <c r="R576" s="1" t="s">
        <v>83</v>
      </c>
      <c r="T576" s="50">
        <f>IF(ISNUMBER(VLOOKUP(U576,Blotter!B:C,2,0)),VLOOKUP(U576,Blotter!B:C,2,0),"")</f>
        <v>27</v>
      </c>
      <c r="U576" s="49" t="str">
        <f t="shared" si="564"/>
        <v>LOZ3 C9500</v>
      </c>
      <c r="V576" s="49">
        <f t="shared" si="565"/>
        <v>-10</v>
      </c>
      <c r="W576" s="49">
        <f t="shared" si="566"/>
        <v>1.5</v>
      </c>
      <c r="X576" s="49">
        <f t="shared" si="567"/>
        <v>-23.7</v>
      </c>
    </row>
    <row r="577" spans="1:24" x14ac:dyDescent="0.4">
      <c r="A577" s="1" t="s">
        <v>138</v>
      </c>
      <c r="B577" s="1" t="s">
        <v>83</v>
      </c>
      <c r="C577" s="1" t="s">
        <v>86</v>
      </c>
      <c r="D577" s="1" t="s">
        <v>312</v>
      </c>
      <c r="E577" s="1" t="s">
        <v>318</v>
      </c>
      <c r="F577" s="1" t="s">
        <v>124</v>
      </c>
      <c r="G577" s="1" t="s">
        <v>319</v>
      </c>
      <c r="H577" s="1">
        <v>50</v>
      </c>
      <c r="I577" s="1">
        <v>4400</v>
      </c>
      <c r="J577" s="51">
        <v>45260</v>
      </c>
      <c r="K577" s="1" t="s">
        <v>57</v>
      </c>
      <c r="L577" s="51">
        <v>45217</v>
      </c>
      <c r="M577" s="1" t="s">
        <v>135</v>
      </c>
      <c r="N577" s="1">
        <v>10</v>
      </c>
      <c r="O577" s="1">
        <v>81.75</v>
      </c>
      <c r="P577" s="1">
        <v>40875</v>
      </c>
      <c r="Q577" s="1">
        <v>-14.2</v>
      </c>
      <c r="R577" s="1" t="s">
        <v>83</v>
      </c>
      <c r="T577" s="50">
        <f>IF(ISNUMBER(VLOOKUP(U577,Blotter!B:C,2,0)),VLOOKUP(U577,Blotter!B:C,2,0),"")</f>
        <v>28</v>
      </c>
      <c r="U577" s="49" t="str">
        <f t="shared" ref="U577" si="568">D577</f>
        <v>EWX3 C4400</v>
      </c>
      <c r="V577" s="49">
        <f t="shared" ref="V577" si="569">N577</f>
        <v>10</v>
      </c>
      <c r="W577" s="49">
        <f t="shared" ref="W577" si="570">O577</f>
        <v>81.75</v>
      </c>
      <c r="X577" s="49">
        <f t="shared" ref="X577" si="571">Q577</f>
        <v>-14.2</v>
      </c>
    </row>
    <row r="578" spans="1:24" x14ac:dyDescent="0.4">
      <c r="A578" s="1" t="s">
        <v>138</v>
      </c>
      <c r="B578" s="1" t="s">
        <v>83</v>
      </c>
      <c r="C578" s="1" t="s">
        <v>86</v>
      </c>
      <c r="D578" s="1" t="s">
        <v>311</v>
      </c>
      <c r="E578" s="1" t="s">
        <v>320</v>
      </c>
      <c r="F578" s="1" t="s">
        <v>124</v>
      </c>
      <c r="G578" s="1" t="s">
        <v>319</v>
      </c>
      <c r="H578" s="1">
        <v>50</v>
      </c>
      <c r="I578" s="1">
        <v>4200</v>
      </c>
      <c r="J578" s="51">
        <v>45260</v>
      </c>
      <c r="K578" s="1" t="s">
        <v>89</v>
      </c>
      <c r="L578" s="51">
        <v>45217</v>
      </c>
      <c r="M578" s="1" t="s">
        <v>139</v>
      </c>
      <c r="N578" s="1">
        <v>-10</v>
      </c>
      <c r="O578" s="1">
        <v>40</v>
      </c>
      <c r="P578" s="1">
        <v>-20000</v>
      </c>
      <c r="Q578" s="1">
        <v>-14.2</v>
      </c>
      <c r="R578" s="1" t="s">
        <v>83</v>
      </c>
      <c r="T578" s="50">
        <f>IF(ISNUMBER(VLOOKUP(U578,Blotter!B:C,2,0)),VLOOKUP(U578,Blotter!B:C,2,0),"")</f>
        <v>28</v>
      </c>
      <c r="U578" s="49" t="str">
        <f t="shared" ref="U578" si="572">D578</f>
        <v>EWX3 P4200</v>
      </c>
      <c r="V578" s="49">
        <f t="shared" ref="V578" si="573">N578</f>
        <v>-10</v>
      </c>
      <c r="W578" s="49">
        <f t="shared" ref="W578" si="574">O578</f>
        <v>40</v>
      </c>
      <c r="X578" s="49">
        <f t="shared" ref="X578" si="575">Q578</f>
        <v>-14.2</v>
      </c>
    </row>
    <row r="579" spans="1:24" x14ac:dyDescent="0.4">
      <c r="A579" s="1" t="s">
        <v>138</v>
      </c>
      <c r="B579" s="1" t="s">
        <v>83</v>
      </c>
      <c r="C579" s="1" t="s">
        <v>86</v>
      </c>
      <c r="D579" s="1" t="s">
        <v>313</v>
      </c>
      <c r="E579" s="1" t="s">
        <v>321</v>
      </c>
      <c r="F579" s="1" t="s">
        <v>100</v>
      </c>
      <c r="G579" s="1" t="s">
        <v>322</v>
      </c>
      <c r="H579" s="1">
        <v>37500</v>
      </c>
      <c r="I579" s="1">
        <v>1.65</v>
      </c>
      <c r="J579" s="51">
        <v>45268</v>
      </c>
      <c r="K579" s="1" t="s">
        <v>57</v>
      </c>
      <c r="L579" s="51">
        <v>45217</v>
      </c>
      <c r="M579" s="1" t="s">
        <v>135</v>
      </c>
      <c r="N579" s="1">
        <v>15</v>
      </c>
      <c r="O579" s="59">
        <v>3.3</v>
      </c>
      <c r="P579" s="1">
        <v>18562.5</v>
      </c>
      <c r="Q579" s="1">
        <v>-44.55</v>
      </c>
      <c r="R579" s="1" t="s">
        <v>83</v>
      </c>
      <c r="T579" s="50">
        <f>IF(ISNUMBER(VLOOKUP(U579,Blotter!B:C,2,0)),VLOOKUP(U579,Blotter!B:C,2,0),"")</f>
        <v>28</v>
      </c>
      <c r="U579" s="49" t="str">
        <f t="shared" ref="U579" si="576">D579</f>
        <v>KOF4 C1.65</v>
      </c>
      <c r="V579" s="49">
        <f t="shared" ref="V579" si="577">N579</f>
        <v>15</v>
      </c>
      <c r="W579" s="49">
        <f t="shared" ref="W579" si="578">O579</f>
        <v>3.3</v>
      </c>
      <c r="X579" s="49">
        <f t="shared" ref="X579" si="579">Q579</f>
        <v>-44.55</v>
      </c>
    </row>
    <row r="580" spans="1:24" x14ac:dyDescent="0.4">
      <c r="A580" s="1" t="s">
        <v>138</v>
      </c>
      <c r="B580" s="1" t="s">
        <v>83</v>
      </c>
      <c r="C580" s="1" t="s">
        <v>86</v>
      </c>
      <c r="D580" s="1" t="s">
        <v>314</v>
      </c>
      <c r="E580" s="1" t="s">
        <v>323</v>
      </c>
      <c r="F580" s="1" t="s">
        <v>100</v>
      </c>
      <c r="G580" s="1" t="s">
        <v>322</v>
      </c>
      <c r="H580" s="1">
        <v>37500</v>
      </c>
      <c r="I580" s="1">
        <v>1.75</v>
      </c>
      <c r="J580" s="51">
        <v>45268</v>
      </c>
      <c r="K580" s="1" t="s">
        <v>57</v>
      </c>
      <c r="L580" s="51">
        <v>45217</v>
      </c>
      <c r="M580" s="1" t="s">
        <v>139</v>
      </c>
      <c r="N580" s="1">
        <v>-9</v>
      </c>
      <c r="O580" s="59">
        <v>1.6</v>
      </c>
      <c r="P580" s="1">
        <v>-5400</v>
      </c>
      <c r="Q580" s="1">
        <v>-26.73</v>
      </c>
      <c r="R580" s="1" t="s">
        <v>83</v>
      </c>
      <c r="T580" s="50">
        <f>IF(ISNUMBER(VLOOKUP(U580,Blotter!B:C,2,0)),VLOOKUP(U580,Blotter!B:C,2,0),"")</f>
        <v>28</v>
      </c>
      <c r="U580" s="49" t="str">
        <f t="shared" ref="U580" si="580">D580</f>
        <v>KOF4 C1.75</v>
      </c>
      <c r="V580" s="49">
        <f t="shared" ref="V580" si="581">N580</f>
        <v>-9</v>
      </c>
      <c r="W580" s="49">
        <f t="shared" ref="W580" si="582">O580</f>
        <v>1.6</v>
      </c>
      <c r="X580" s="49">
        <f t="shared" ref="X580" si="583">Q580</f>
        <v>-26.73</v>
      </c>
    </row>
    <row r="581" spans="1:24" x14ac:dyDescent="0.4">
      <c r="A581" s="1" t="s">
        <v>138</v>
      </c>
      <c r="B581" s="1" t="s">
        <v>83</v>
      </c>
      <c r="C581" s="1" t="s">
        <v>86</v>
      </c>
      <c r="D581" s="1" t="s">
        <v>314</v>
      </c>
      <c r="E581" s="1" t="s">
        <v>323</v>
      </c>
      <c r="F581" s="1" t="s">
        <v>100</v>
      </c>
      <c r="G581" s="1" t="s">
        <v>322</v>
      </c>
      <c r="H581" s="1">
        <v>37500</v>
      </c>
      <c r="I581" s="1">
        <v>1.75</v>
      </c>
      <c r="J581" s="51">
        <v>45268</v>
      </c>
      <c r="K581" s="1" t="s">
        <v>57</v>
      </c>
      <c r="L581" s="51">
        <v>45217</v>
      </c>
      <c r="M581" s="1" t="s">
        <v>139</v>
      </c>
      <c r="N581" s="1">
        <v>-6</v>
      </c>
      <c r="O581" s="59">
        <v>1.6</v>
      </c>
      <c r="P581" s="1">
        <v>-3600</v>
      </c>
      <c r="Q581" s="1">
        <v>-17.82</v>
      </c>
      <c r="R581" s="1" t="s">
        <v>83</v>
      </c>
      <c r="T581" s="50">
        <f>IF(ISNUMBER(VLOOKUP(U581,Blotter!B:C,2,0)),VLOOKUP(U581,Blotter!B:C,2,0),"")</f>
        <v>28</v>
      </c>
      <c r="U581" s="49" t="str">
        <f t="shared" ref="U581" si="584">D581</f>
        <v>KOF4 C1.75</v>
      </c>
      <c r="V581" s="49">
        <f t="shared" ref="V581" si="585">N581</f>
        <v>-6</v>
      </c>
      <c r="W581" s="49">
        <f t="shared" ref="W581" si="586">O581</f>
        <v>1.6</v>
      </c>
      <c r="X581" s="49">
        <f t="shared" ref="X581" si="587">Q581</f>
        <v>-17.82</v>
      </c>
    </row>
    <row r="582" spans="1:24" x14ac:dyDescent="0.4">
      <c r="A582" s="1" t="s">
        <v>138</v>
      </c>
      <c r="B582" s="1" t="s">
        <v>83</v>
      </c>
      <c r="C582" s="1" t="s">
        <v>86</v>
      </c>
      <c r="D582" s="1" t="s">
        <v>311</v>
      </c>
      <c r="E582" s="1" t="s">
        <v>320</v>
      </c>
      <c r="F582" s="1" t="s">
        <v>124</v>
      </c>
      <c r="G582" s="1" t="s">
        <v>319</v>
      </c>
      <c r="H582" s="1">
        <v>50</v>
      </c>
      <c r="I582" s="1">
        <v>4200</v>
      </c>
      <c r="J582" s="51">
        <v>45260</v>
      </c>
      <c r="K582" s="1" t="s">
        <v>89</v>
      </c>
      <c r="L582" s="51">
        <v>45219</v>
      </c>
      <c r="M582" s="1" t="s">
        <v>135</v>
      </c>
      <c r="N582" s="1">
        <v>10</v>
      </c>
      <c r="O582" s="1">
        <v>84.5</v>
      </c>
      <c r="P582" s="1">
        <v>42250</v>
      </c>
      <c r="Q582" s="1">
        <v>-14.2</v>
      </c>
      <c r="R582" s="1" t="s">
        <v>83</v>
      </c>
      <c r="T582" s="50">
        <f>IF(ISNUMBER(VLOOKUP(U582,Blotter!B:C,2,0)),VLOOKUP(U582,Blotter!B:C,2,0),"")</f>
        <v>28</v>
      </c>
      <c r="U582" s="49" t="str">
        <f t="shared" ref="U582:U589" si="588">D582</f>
        <v>EWX3 P4200</v>
      </c>
      <c r="V582" s="49">
        <f t="shared" ref="V582:V589" si="589">N582</f>
        <v>10</v>
      </c>
      <c r="W582" s="49">
        <f t="shared" ref="W582:W589" si="590">O582</f>
        <v>84.5</v>
      </c>
      <c r="X582" s="49">
        <f t="shared" ref="X582:X589" si="591">Q582</f>
        <v>-14.2</v>
      </c>
    </row>
    <row r="583" spans="1:24" x14ac:dyDescent="0.4">
      <c r="A583" s="1" t="s">
        <v>138</v>
      </c>
      <c r="B583" s="1" t="s">
        <v>83</v>
      </c>
      <c r="C583" s="1" t="s">
        <v>86</v>
      </c>
      <c r="D583" s="1" t="s">
        <v>293</v>
      </c>
      <c r="E583" s="1" t="s">
        <v>294</v>
      </c>
      <c r="F583" s="1" t="s">
        <v>126</v>
      </c>
      <c r="G583" s="1" t="s">
        <v>278</v>
      </c>
      <c r="H583" s="1">
        <v>5000</v>
      </c>
      <c r="I583" s="1">
        <v>22.2</v>
      </c>
      <c r="J583" s="51">
        <v>45257</v>
      </c>
      <c r="K583" s="1" t="s">
        <v>57</v>
      </c>
      <c r="L583" s="51">
        <v>45219</v>
      </c>
      <c r="M583" s="1" t="s">
        <v>139</v>
      </c>
      <c r="N583" s="1">
        <v>-1</v>
      </c>
      <c r="O583" s="1">
        <v>1.855</v>
      </c>
      <c r="P583" s="1">
        <v>-9275</v>
      </c>
      <c r="Q583" s="1">
        <v>-2.37</v>
      </c>
      <c r="R583" s="1" t="s">
        <v>83</v>
      </c>
      <c r="T583" s="50">
        <f>IF(ISNUMBER(VLOOKUP(U583,Blotter!B:C,2,0)),VLOOKUP(U583,Blotter!B:C,2,0),"")</f>
        <v>6</v>
      </c>
      <c r="U583" s="49" t="str">
        <f t="shared" si="588"/>
        <v>SOZ3 C2220</v>
      </c>
      <c r="V583" s="49">
        <f t="shared" si="589"/>
        <v>-1</v>
      </c>
      <c r="W583" s="49">
        <f t="shared" si="590"/>
        <v>1.855</v>
      </c>
      <c r="X583" s="49">
        <f t="shared" si="591"/>
        <v>-2.37</v>
      </c>
    </row>
    <row r="584" spans="1:24" x14ac:dyDescent="0.4">
      <c r="A584" s="1" t="s">
        <v>138</v>
      </c>
      <c r="B584" s="1" t="s">
        <v>83</v>
      </c>
      <c r="C584" s="1" t="s">
        <v>86</v>
      </c>
      <c r="D584" s="1" t="s">
        <v>293</v>
      </c>
      <c r="E584" s="1" t="s">
        <v>294</v>
      </c>
      <c r="F584" s="1" t="s">
        <v>126</v>
      </c>
      <c r="G584" s="1" t="s">
        <v>278</v>
      </c>
      <c r="H584" s="1">
        <v>5000</v>
      </c>
      <c r="I584" s="1">
        <v>22.2</v>
      </c>
      <c r="J584" s="51">
        <v>45257</v>
      </c>
      <c r="K584" s="1" t="s">
        <v>57</v>
      </c>
      <c r="L584" s="51">
        <v>45219</v>
      </c>
      <c r="M584" s="1" t="s">
        <v>139</v>
      </c>
      <c r="N584" s="1">
        <v>-4</v>
      </c>
      <c r="O584" s="1">
        <v>1.855</v>
      </c>
      <c r="P584" s="1">
        <v>-37100</v>
      </c>
      <c r="Q584" s="1">
        <v>-9.48</v>
      </c>
      <c r="R584" s="1" t="s">
        <v>83</v>
      </c>
      <c r="T584" s="50">
        <f>IF(ISNUMBER(VLOOKUP(U584,Blotter!B:C,2,0)),VLOOKUP(U584,Blotter!B:C,2,0),"")</f>
        <v>6</v>
      </c>
      <c r="U584" s="49" t="str">
        <f t="shared" si="588"/>
        <v>SOZ3 C2220</v>
      </c>
      <c r="V584" s="49">
        <f t="shared" si="589"/>
        <v>-4</v>
      </c>
      <c r="W584" s="49">
        <f t="shared" si="590"/>
        <v>1.855</v>
      </c>
      <c r="X584" s="49">
        <f t="shared" si="591"/>
        <v>-9.48</v>
      </c>
    </row>
    <row r="585" spans="1:24" x14ac:dyDescent="0.4">
      <c r="A585" s="1" t="s">
        <v>138</v>
      </c>
      <c r="B585" s="1" t="s">
        <v>83</v>
      </c>
      <c r="C585" s="1" t="s">
        <v>86</v>
      </c>
      <c r="D585" s="1" t="s">
        <v>297</v>
      </c>
      <c r="E585" s="1" t="s">
        <v>298</v>
      </c>
      <c r="F585" s="1" t="s">
        <v>126</v>
      </c>
      <c r="G585" s="1" t="s">
        <v>278</v>
      </c>
      <c r="H585" s="1">
        <v>5000</v>
      </c>
      <c r="I585" s="1">
        <v>24.7</v>
      </c>
      <c r="J585" s="51">
        <v>45257</v>
      </c>
      <c r="K585" s="1" t="s">
        <v>57</v>
      </c>
      <c r="L585" s="51">
        <v>45219</v>
      </c>
      <c r="M585" s="1" t="s">
        <v>135</v>
      </c>
      <c r="N585" s="1">
        <v>5</v>
      </c>
      <c r="O585" s="1">
        <v>0.54500000000000004</v>
      </c>
      <c r="P585" s="1">
        <v>13625</v>
      </c>
      <c r="Q585" s="1">
        <v>-11.85</v>
      </c>
      <c r="R585" s="1" t="s">
        <v>83</v>
      </c>
      <c r="T585" s="50">
        <f>IF(ISNUMBER(VLOOKUP(U585,Blotter!B:C,2,0)),VLOOKUP(U585,Blotter!B:C,2,0),"")</f>
        <v>6</v>
      </c>
      <c r="U585" s="49" t="str">
        <f t="shared" si="588"/>
        <v>SOZ3 C2470</v>
      </c>
      <c r="V585" s="49">
        <f t="shared" si="589"/>
        <v>5</v>
      </c>
      <c r="W585" s="49">
        <f t="shared" si="590"/>
        <v>0.54500000000000004</v>
      </c>
      <c r="X585" s="49">
        <f t="shared" si="591"/>
        <v>-11.85</v>
      </c>
    </row>
    <row r="586" spans="1:24" x14ac:dyDescent="0.4">
      <c r="A586" s="1" t="s">
        <v>138</v>
      </c>
      <c r="B586" s="1" t="s">
        <v>83</v>
      </c>
      <c r="C586" s="1" t="s">
        <v>86</v>
      </c>
      <c r="D586" s="1" t="s">
        <v>299</v>
      </c>
      <c r="E586" s="1" t="s">
        <v>300</v>
      </c>
      <c r="F586" s="1" t="s">
        <v>93</v>
      </c>
      <c r="G586" s="1" t="s">
        <v>301</v>
      </c>
      <c r="H586" s="1">
        <v>1000</v>
      </c>
      <c r="I586" s="1">
        <v>90</v>
      </c>
      <c r="J586" s="51">
        <v>45245</v>
      </c>
      <c r="K586" s="1" t="s">
        <v>57</v>
      </c>
      <c r="L586" s="51">
        <v>45222</v>
      </c>
      <c r="M586" s="1" t="s">
        <v>139</v>
      </c>
      <c r="N586" s="1">
        <v>-10</v>
      </c>
      <c r="O586" s="1">
        <v>1.85</v>
      </c>
      <c r="P586" s="1">
        <v>-18500</v>
      </c>
      <c r="Q586" s="1">
        <v>-23.7</v>
      </c>
      <c r="R586" s="1" t="s">
        <v>83</v>
      </c>
      <c r="T586" s="50">
        <f>IF(ISNUMBER(VLOOKUP(U586,Blotter!B:C,2,0)),VLOOKUP(U586,Blotter!B:C,2,0),"")</f>
        <v>27</v>
      </c>
      <c r="U586" s="49" t="str">
        <f t="shared" si="588"/>
        <v>LOZ3 C9000</v>
      </c>
      <c r="V586" s="49">
        <f t="shared" si="589"/>
        <v>-10</v>
      </c>
      <c r="W586" s="49">
        <f t="shared" si="590"/>
        <v>1.85</v>
      </c>
      <c r="X586" s="49">
        <f t="shared" si="591"/>
        <v>-23.7</v>
      </c>
    </row>
    <row r="587" spans="1:24" x14ac:dyDescent="0.4">
      <c r="A587" s="1" t="s">
        <v>138</v>
      </c>
      <c r="B587" s="1" t="s">
        <v>83</v>
      </c>
      <c r="C587" s="1" t="s">
        <v>86</v>
      </c>
      <c r="D587" s="1" t="s">
        <v>311</v>
      </c>
      <c r="E587" s="1" t="s">
        <v>320</v>
      </c>
      <c r="F587" s="1" t="s">
        <v>124</v>
      </c>
      <c r="G587" s="1" t="s">
        <v>319</v>
      </c>
      <c r="H587" s="1">
        <v>50</v>
      </c>
      <c r="I587" s="1">
        <v>4200</v>
      </c>
      <c r="J587" s="51">
        <v>45260</v>
      </c>
      <c r="K587" s="1" t="s">
        <v>89</v>
      </c>
      <c r="L587" s="51">
        <v>45225</v>
      </c>
      <c r="M587" s="1" t="s">
        <v>139</v>
      </c>
      <c r="N587" s="1">
        <v>-5</v>
      </c>
      <c r="O587" s="1">
        <v>100</v>
      </c>
      <c r="P587" s="1">
        <v>-25000</v>
      </c>
      <c r="Q587" s="1">
        <v>-7.1</v>
      </c>
      <c r="R587" s="1" t="s">
        <v>83</v>
      </c>
      <c r="T587" s="50">
        <f>IF(ISNUMBER(VLOOKUP(U587,Blotter!B:C,2,0)),VLOOKUP(U587,Blotter!B:C,2,0),"")</f>
        <v>28</v>
      </c>
      <c r="U587" s="49" t="str">
        <f t="shared" si="588"/>
        <v>EWX3 P4200</v>
      </c>
      <c r="V587" s="49">
        <f t="shared" si="589"/>
        <v>-5</v>
      </c>
      <c r="W587" s="49">
        <f t="shared" si="590"/>
        <v>100</v>
      </c>
      <c r="X587" s="49">
        <f t="shared" si="591"/>
        <v>-7.1</v>
      </c>
    </row>
    <row r="588" spans="1:24" x14ac:dyDescent="0.4">
      <c r="A588" s="1" t="s">
        <v>138</v>
      </c>
      <c r="B588" s="1" t="s">
        <v>83</v>
      </c>
      <c r="C588" s="1" t="s">
        <v>86</v>
      </c>
      <c r="D588" s="1" t="s">
        <v>311</v>
      </c>
      <c r="E588" s="1" t="s">
        <v>320</v>
      </c>
      <c r="F588" s="1" t="s">
        <v>124</v>
      </c>
      <c r="G588" s="1" t="s">
        <v>319</v>
      </c>
      <c r="H588" s="1">
        <v>50</v>
      </c>
      <c r="I588" s="1">
        <v>4200</v>
      </c>
      <c r="J588" s="51">
        <v>45260</v>
      </c>
      <c r="K588" s="1" t="s">
        <v>89</v>
      </c>
      <c r="L588" s="51">
        <v>45225</v>
      </c>
      <c r="M588" s="1" t="s">
        <v>139</v>
      </c>
      <c r="N588" s="1">
        <v>-5</v>
      </c>
      <c r="O588" s="1">
        <v>104</v>
      </c>
      <c r="P588" s="1">
        <v>-26000</v>
      </c>
      <c r="Q588" s="1">
        <v>-7.1</v>
      </c>
      <c r="R588" s="1" t="s">
        <v>83</v>
      </c>
      <c r="T588" s="50">
        <f>IF(ISNUMBER(VLOOKUP(U588,Blotter!B:C,2,0)),VLOOKUP(U588,Blotter!B:C,2,0),"")</f>
        <v>28</v>
      </c>
      <c r="U588" s="49" t="str">
        <f t="shared" si="588"/>
        <v>EWX3 P4200</v>
      </c>
      <c r="V588" s="49">
        <f t="shared" si="589"/>
        <v>-5</v>
      </c>
      <c r="W588" s="49">
        <f t="shared" si="590"/>
        <v>104</v>
      </c>
      <c r="X588" s="49">
        <f t="shared" si="591"/>
        <v>-7.1</v>
      </c>
    </row>
    <row r="589" spans="1:24" x14ac:dyDescent="0.4">
      <c r="A589" s="1" t="s">
        <v>138</v>
      </c>
      <c r="B589" s="1" t="s">
        <v>83</v>
      </c>
      <c r="C589" s="1" t="s">
        <v>137</v>
      </c>
      <c r="D589" s="1" t="s">
        <v>324</v>
      </c>
      <c r="E589" s="1" t="s">
        <v>324</v>
      </c>
      <c r="H589" s="1">
        <v>1</v>
      </c>
      <c r="L589" s="51">
        <v>45229</v>
      </c>
      <c r="M589" s="1" t="s">
        <v>135</v>
      </c>
      <c r="N589" s="1">
        <v>900000</v>
      </c>
      <c r="O589" s="1">
        <v>96.222991250000007</v>
      </c>
      <c r="P589" s="1">
        <v>866006.92</v>
      </c>
      <c r="Q589" s="1">
        <v>-18</v>
      </c>
      <c r="R589" s="1" t="s">
        <v>83</v>
      </c>
      <c r="T589" s="50" t="str">
        <f>IF(ISNUMBER(VLOOKUP(U589,Blotter!B:C,2,0)),VLOOKUP(U589,Blotter!B:C,2,0),"")</f>
        <v/>
      </c>
      <c r="U589" s="49" t="str">
        <f t="shared" si="588"/>
        <v>T 1 1/2 10/31/24</v>
      </c>
      <c r="V589" s="49">
        <f t="shared" si="589"/>
        <v>900000</v>
      </c>
      <c r="W589" s="49">
        <f t="shared" si="590"/>
        <v>96.222991250000007</v>
      </c>
      <c r="X589" s="49">
        <f t="shared" si="591"/>
        <v>-18</v>
      </c>
    </row>
    <row r="590" spans="1:24" x14ac:dyDescent="0.4">
      <c r="A590" s="1" t="s">
        <v>138</v>
      </c>
      <c r="B590" s="1" t="s">
        <v>83</v>
      </c>
      <c r="C590" s="1" t="s">
        <v>86</v>
      </c>
      <c r="D590" s="1" t="s">
        <v>312</v>
      </c>
      <c r="E590" s="1" t="s">
        <v>318</v>
      </c>
      <c r="F590" s="1" t="s">
        <v>124</v>
      </c>
      <c r="G590" s="1" t="s">
        <v>319</v>
      </c>
      <c r="H590" s="1">
        <v>50</v>
      </c>
      <c r="I590" s="1">
        <v>4400</v>
      </c>
      <c r="J590" s="51">
        <v>45260</v>
      </c>
      <c r="K590" s="1" t="s">
        <v>57</v>
      </c>
      <c r="L590" s="51">
        <v>45232</v>
      </c>
      <c r="M590" s="1" t="s">
        <v>139</v>
      </c>
      <c r="N590" s="1">
        <v>-5</v>
      </c>
      <c r="O590" s="1">
        <v>25</v>
      </c>
      <c r="P590" s="1">
        <v>-6250</v>
      </c>
      <c r="Q590" s="1">
        <v>-7.1</v>
      </c>
      <c r="R590" s="1" t="s">
        <v>83</v>
      </c>
      <c r="T590" s="50">
        <f>IF(ISNUMBER(VLOOKUP(U590,Blotter!B:C,2,0)),VLOOKUP(U590,Blotter!B:C,2,0),"")</f>
        <v>28</v>
      </c>
      <c r="U590" s="49" t="str">
        <f t="shared" ref="U590:U592" si="592">D590</f>
        <v>EWX3 C4400</v>
      </c>
      <c r="V590" s="49">
        <f t="shared" ref="V590:V592" si="593">N590</f>
        <v>-5</v>
      </c>
      <c r="W590" s="49">
        <f t="shared" ref="W590:W592" si="594">O590</f>
        <v>25</v>
      </c>
      <c r="X590" s="49">
        <f t="shared" ref="X590:X592" si="595">Q590</f>
        <v>-7.1</v>
      </c>
    </row>
    <row r="591" spans="1:24" x14ac:dyDescent="0.4">
      <c r="A591" s="1" t="s">
        <v>138</v>
      </c>
      <c r="B591" s="1" t="s">
        <v>83</v>
      </c>
      <c r="C591" s="1" t="s">
        <v>86</v>
      </c>
      <c r="D591" s="1" t="s">
        <v>312</v>
      </c>
      <c r="E591" s="1" t="s">
        <v>318</v>
      </c>
      <c r="F591" s="1" t="s">
        <v>124</v>
      </c>
      <c r="G591" s="1" t="s">
        <v>319</v>
      </c>
      <c r="H591" s="1">
        <v>50</v>
      </c>
      <c r="I591" s="1">
        <v>4400</v>
      </c>
      <c r="J591" s="51">
        <v>45260</v>
      </c>
      <c r="K591" s="1" t="s">
        <v>57</v>
      </c>
      <c r="L591" s="51">
        <v>45232</v>
      </c>
      <c r="M591" s="1" t="s">
        <v>139</v>
      </c>
      <c r="N591" s="1">
        <v>-5</v>
      </c>
      <c r="O591" s="1">
        <v>32.5</v>
      </c>
      <c r="P591" s="1">
        <v>-8125</v>
      </c>
      <c r="Q591" s="1">
        <v>-7.1</v>
      </c>
      <c r="R591" s="1" t="s">
        <v>83</v>
      </c>
      <c r="T591" s="50">
        <f>IF(ISNUMBER(VLOOKUP(U591,Blotter!B:C,2,0)),VLOOKUP(U591,Blotter!B:C,2,0),"")</f>
        <v>28</v>
      </c>
      <c r="U591" s="49" t="str">
        <f t="shared" si="592"/>
        <v>EWX3 C4400</v>
      </c>
      <c r="V591" s="49">
        <f t="shared" si="593"/>
        <v>-5</v>
      </c>
      <c r="W591" s="49">
        <f t="shared" si="594"/>
        <v>32.5</v>
      </c>
      <c r="X591" s="49">
        <f t="shared" si="595"/>
        <v>-7.1</v>
      </c>
    </row>
    <row r="592" spans="1:24" x14ac:dyDescent="0.4">
      <c r="A592" s="1" t="s">
        <v>138</v>
      </c>
      <c r="B592" s="1" t="s">
        <v>83</v>
      </c>
      <c r="C592" s="1" t="s">
        <v>86</v>
      </c>
      <c r="D592" s="1" t="s">
        <v>311</v>
      </c>
      <c r="E592" s="1" t="s">
        <v>320</v>
      </c>
      <c r="F592" s="1" t="s">
        <v>124</v>
      </c>
      <c r="G592" s="1" t="s">
        <v>319</v>
      </c>
      <c r="H592" s="1">
        <v>50</v>
      </c>
      <c r="I592" s="1">
        <v>4200</v>
      </c>
      <c r="J592" s="51">
        <v>45260</v>
      </c>
      <c r="K592" s="1" t="s">
        <v>89</v>
      </c>
      <c r="L592" s="51">
        <v>45232</v>
      </c>
      <c r="M592" s="1" t="s">
        <v>135</v>
      </c>
      <c r="N592" s="1">
        <v>5</v>
      </c>
      <c r="O592" s="1">
        <v>33</v>
      </c>
      <c r="P592" s="1">
        <v>8250</v>
      </c>
      <c r="Q592" s="1">
        <v>-7.1</v>
      </c>
      <c r="R592" s="1" t="s">
        <v>83</v>
      </c>
      <c r="T592" s="50">
        <f>IF(ISNUMBER(VLOOKUP(U592,Blotter!B:C,2,0)),VLOOKUP(U592,Blotter!B:C,2,0),"")</f>
        <v>28</v>
      </c>
      <c r="U592" s="49" t="str">
        <f t="shared" si="592"/>
        <v>EWX3 P4200</v>
      </c>
      <c r="V592" s="49">
        <f t="shared" si="593"/>
        <v>5</v>
      </c>
      <c r="W592" s="49">
        <f t="shared" si="594"/>
        <v>33</v>
      </c>
      <c r="X592" s="49">
        <f t="shared" si="595"/>
        <v>-7.1</v>
      </c>
    </row>
    <row r="593" spans="1:24" x14ac:dyDescent="0.4">
      <c r="A593" s="1" t="s">
        <v>138</v>
      </c>
      <c r="B593" s="1" t="s">
        <v>83</v>
      </c>
      <c r="C593" s="1" t="s">
        <v>86</v>
      </c>
      <c r="D593" s="1" t="s">
        <v>311</v>
      </c>
      <c r="E593" s="1" t="s">
        <v>320</v>
      </c>
      <c r="F593" s="1" t="s">
        <v>124</v>
      </c>
      <c r="G593" s="1" t="s">
        <v>319</v>
      </c>
      <c r="H593" s="1">
        <v>50</v>
      </c>
      <c r="I593" s="1">
        <v>4200</v>
      </c>
      <c r="J593" s="51">
        <v>45260</v>
      </c>
      <c r="K593" s="1" t="s">
        <v>89</v>
      </c>
      <c r="L593" s="51">
        <v>45232</v>
      </c>
      <c r="M593" s="1" t="s">
        <v>135</v>
      </c>
      <c r="N593" s="1">
        <v>5</v>
      </c>
      <c r="O593" s="1">
        <v>24.75</v>
      </c>
      <c r="P593" s="1">
        <v>6187.5</v>
      </c>
      <c r="Q593" s="1">
        <v>-7.1</v>
      </c>
      <c r="R593" s="1" t="s">
        <v>83</v>
      </c>
      <c r="T593" s="50">
        <f>IF(ISNUMBER(VLOOKUP(U593,Blotter!B:C,2,0)),VLOOKUP(U593,Blotter!B:C,2,0),"")</f>
        <v>28</v>
      </c>
      <c r="U593" s="49" t="str">
        <f t="shared" ref="U593" si="596">D593</f>
        <v>EWX3 P4200</v>
      </c>
      <c r="V593" s="49">
        <f t="shared" ref="V593" si="597">N593</f>
        <v>5</v>
      </c>
      <c r="W593" s="49">
        <f t="shared" ref="W593" si="598">O593</f>
        <v>24.75</v>
      </c>
      <c r="X593" s="49">
        <f t="shared" ref="X593" si="599">Q593</f>
        <v>-7.1</v>
      </c>
    </row>
    <row r="594" spans="1:24" x14ac:dyDescent="0.4">
      <c r="A594" s="1" t="s">
        <v>138</v>
      </c>
      <c r="B594" s="1" t="s">
        <v>83</v>
      </c>
      <c r="C594" s="1" t="s">
        <v>87</v>
      </c>
      <c r="D594" s="1" t="s">
        <v>329</v>
      </c>
      <c r="E594" s="1" t="s">
        <v>330</v>
      </c>
      <c r="F594" s="1" t="s">
        <v>129</v>
      </c>
      <c r="G594" s="1" t="s">
        <v>331</v>
      </c>
      <c r="H594" s="1">
        <v>100</v>
      </c>
      <c r="I594" s="1">
        <v>32</v>
      </c>
      <c r="J594" s="51">
        <v>45401</v>
      </c>
      <c r="K594" s="1" t="s">
        <v>57</v>
      </c>
      <c r="L594" s="51">
        <v>45236</v>
      </c>
      <c r="M594" s="1" t="s">
        <v>135</v>
      </c>
      <c r="N594" s="1">
        <v>100</v>
      </c>
      <c r="O594" s="1">
        <v>1.4</v>
      </c>
      <c r="P594" s="1">
        <v>14000</v>
      </c>
      <c r="Q594" s="1">
        <v>36.075000000000003</v>
      </c>
      <c r="R594" s="1" t="s">
        <v>83</v>
      </c>
      <c r="T594" s="50">
        <f>IF(ISNUMBER(VLOOKUP(U594,Blotter!B:C,2,0)),VLOOKUP(U594,Blotter!B:C,2,0),"")</f>
        <v>31</v>
      </c>
      <c r="U594" s="49" t="str">
        <f t="shared" ref="U594:U595" si="600">D594</f>
        <v>URA   240419C00032000</v>
      </c>
      <c r="V594" s="49">
        <f t="shared" ref="V594:V595" si="601">N594</f>
        <v>100</v>
      </c>
      <c r="W594" s="49">
        <f t="shared" ref="W594:W595" si="602">O594</f>
        <v>1.4</v>
      </c>
      <c r="X594" s="49">
        <f t="shared" ref="X594:X595" si="603">Q594</f>
        <v>36.075000000000003</v>
      </c>
    </row>
    <row r="595" spans="1:24" x14ac:dyDescent="0.4">
      <c r="A595" s="1" t="s">
        <v>138</v>
      </c>
      <c r="B595" s="1" t="s">
        <v>83</v>
      </c>
      <c r="C595" s="1" t="s">
        <v>87</v>
      </c>
      <c r="D595" s="1" t="s">
        <v>329</v>
      </c>
      <c r="E595" s="1" t="s">
        <v>330</v>
      </c>
      <c r="F595" s="1" t="s">
        <v>129</v>
      </c>
      <c r="G595" s="1" t="s">
        <v>331</v>
      </c>
      <c r="H595" s="1">
        <v>100</v>
      </c>
      <c r="I595" s="1">
        <v>32</v>
      </c>
      <c r="J595" s="51">
        <v>45401</v>
      </c>
      <c r="K595" s="1" t="s">
        <v>57</v>
      </c>
      <c r="L595" s="51">
        <v>45236</v>
      </c>
      <c r="M595" s="1" t="s">
        <v>135</v>
      </c>
      <c r="N595" s="1">
        <v>50</v>
      </c>
      <c r="O595" s="1">
        <v>1.3</v>
      </c>
      <c r="P595" s="1">
        <v>6500</v>
      </c>
      <c r="Q595" s="1">
        <v>15.5375</v>
      </c>
      <c r="R595" s="1" t="s">
        <v>83</v>
      </c>
      <c r="T595" s="50">
        <f>IF(ISNUMBER(VLOOKUP(U595,Blotter!B:C,2,0)),VLOOKUP(U595,Blotter!B:C,2,0),"")</f>
        <v>31</v>
      </c>
      <c r="U595" s="49" t="str">
        <f t="shared" si="600"/>
        <v>URA   240419C00032000</v>
      </c>
      <c r="V595" s="49">
        <f t="shared" si="601"/>
        <v>50</v>
      </c>
      <c r="W595" s="49">
        <f t="shared" si="602"/>
        <v>1.3</v>
      </c>
      <c r="X595" s="49">
        <f t="shared" si="603"/>
        <v>15.5375</v>
      </c>
    </row>
    <row r="596" spans="1:24" x14ac:dyDescent="0.4">
      <c r="A596" s="1" t="s">
        <v>138</v>
      </c>
      <c r="B596" s="1" t="s">
        <v>83</v>
      </c>
      <c r="C596" s="1" t="s">
        <v>86</v>
      </c>
      <c r="D596" s="1" t="s">
        <v>302</v>
      </c>
      <c r="E596" s="1" t="s">
        <v>303</v>
      </c>
      <c r="F596" s="1" t="s">
        <v>93</v>
      </c>
      <c r="G596" s="1" t="s">
        <v>301</v>
      </c>
      <c r="H596" s="1">
        <v>1000</v>
      </c>
      <c r="I596" s="1">
        <v>95</v>
      </c>
      <c r="J596" s="51">
        <v>45245</v>
      </c>
      <c r="K596" s="1" t="s">
        <v>57</v>
      </c>
      <c r="L596" s="51">
        <v>45237</v>
      </c>
      <c r="M596" s="1" t="s">
        <v>135</v>
      </c>
      <c r="N596" s="1">
        <v>1</v>
      </c>
      <c r="O596" s="1">
        <v>0.04</v>
      </c>
      <c r="P596" s="1">
        <v>40</v>
      </c>
      <c r="Q596" s="1">
        <v>-2.37</v>
      </c>
      <c r="R596" s="1" t="s">
        <v>83</v>
      </c>
      <c r="T596" s="50">
        <f>IF(ISNUMBER(VLOOKUP(U596,Blotter!B:C,2,0)),VLOOKUP(U596,Blotter!B:C,2,0),"")</f>
        <v>27</v>
      </c>
      <c r="U596" s="49" t="str">
        <f t="shared" ref="U596:U598" si="604">D596</f>
        <v>LOZ3 C9500</v>
      </c>
      <c r="V596" s="49">
        <f t="shared" ref="V596:V598" si="605">N596</f>
        <v>1</v>
      </c>
      <c r="W596" s="49">
        <f t="shared" ref="W596:W598" si="606">O596</f>
        <v>0.04</v>
      </c>
      <c r="X596" s="49">
        <f t="shared" ref="X596:X598" si="607">Q596</f>
        <v>-2.37</v>
      </c>
    </row>
    <row r="597" spans="1:24" x14ac:dyDescent="0.4">
      <c r="A597" s="1" t="s">
        <v>138</v>
      </c>
      <c r="B597" s="1" t="s">
        <v>83</v>
      </c>
      <c r="C597" s="1" t="s">
        <v>86</v>
      </c>
      <c r="D597" s="1" t="s">
        <v>302</v>
      </c>
      <c r="E597" s="1" t="s">
        <v>303</v>
      </c>
      <c r="F597" s="1" t="s">
        <v>93</v>
      </c>
      <c r="G597" s="1" t="s">
        <v>301</v>
      </c>
      <c r="H597" s="1">
        <v>1000</v>
      </c>
      <c r="I597" s="1">
        <v>95</v>
      </c>
      <c r="J597" s="51">
        <v>45245</v>
      </c>
      <c r="K597" s="1" t="s">
        <v>57</v>
      </c>
      <c r="L597" s="51">
        <v>45237</v>
      </c>
      <c r="M597" s="1" t="s">
        <v>135</v>
      </c>
      <c r="N597" s="1">
        <v>9</v>
      </c>
      <c r="O597" s="1">
        <v>0.05</v>
      </c>
      <c r="P597" s="1">
        <v>450</v>
      </c>
      <c r="Q597" s="1">
        <v>-21.33</v>
      </c>
      <c r="R597" s="1" t="s">
        <v>83</v>
      </c>
      <c r="T597" s="50">
        <f>IF(ISNUMBER(VLOOKUP(U597,Blotter!B:C,2,0)),VLOOKUP(U597,Blotter!B:C,2,0),"")</f>
        <v>27</v>
      </c>
      <c r="U597" s="49" t="str">
        <f t="shared" si="604"/>
        <v>LOZ3 C9500</v>
      </c>
      <c r="V597" s="49">
        <f t="shared" si="605"/>
        <v>9</v>
      </c>
      <c r="W597" s="49">
        <f t="shared" si="606"/>
        <v>0.05</v>
      </c>
      <c r="X597" s="49">
        <f t="shared" si="607"/>
        <v>-21.33</v>
      </c>
    </row>
    <row r="598" spans="1:24" x14ac:dyDescent="0.4">
      <c r="A598" s="1" t="s">
        <v>138</v>
      </c>
      <c r="B598" s="1" t="s">
        <v>83</v>
      </c>
      <c r="C598" s="1" t="s">
        <v>86</v>
      </c>
      <c r="D598" s="1" t="s">
        <v>297</v>
      </c>
      <c r="E598" s="1" t="s">
        <v>298</v>
      </c>
      <c r="F598" s="1" t="s">
        <v>126</v>
      </c>
      <c r="G598" s="1" t="s">
        <v>278</v>
      </c>
      <c r="H598" s="1">
        <v>5000</v>
      </c>
      <c r="I598" s="1">
        <v>24.7</v>
      </c>
      <c r="J598" s="51">
        <v>45257</v>
      </c>
      <c r="K598" s="1" t="s">
        <v>57</v>
      </c>
      <c r="L598" s="51">
        <v>45237</v>
      </c>
      <c r="M598" s="1" t="s">
        <v>135</v>
      </c>
      <c r="N598" s="1">
        <v>5</v>
      </c>
      <c r="O598" s="1">
        <v>5.2999999999999999E-2</v>
      </c>
      <c r="P598" s="1">
        <v>1325</v>
      </c>
      <c r="Q598" s="1">
        <v>-11.85</v>
      </c>
      <c r="R598" s="1" t="s">
        <v>83</v>
      </c>
      <c r="T598" s="50">
        <f>IF(ISNUMBER(VLOOKUP(U598,Blotter!B:C,2,0)),VLOOKUP(U598,Blotter!B:C,2,0),"")</f>
        <v>6</v>
      </c>
      <c r="U598" s="49" t="str">
        <f t="shared" si="604"/>
        <v>SOZ3 C2470</v>
      </c>
      <c r="V598" s="49">
        <f t="shared" si="605"/>
        <v>5</v>
      </c>
      <c r="W598" s="49">
        <f t="shared" si="606"/>
        <v>5.2999999999999999E-2</v>
      </c>
      <c r="X598" s="49">
        <f t="shared" si="607"/>
        <v>-11.85</v>
      </c>
    </row>
    <row r="599" spans="1:24" x14ac:dyDescent="0.4">
      <c r="A599" s="1" t="s">
        <v>138</v>
      </c>
      <c r="B599" s="1" t="s">
        <v>83</v>
      </c>
      <c r="C599" s="1" t="s">
        <v>87</v>
      </c>
      <c r="D599" s="1" t="s">
        <v>196</v>
      </c>
      <c r="E599" s="1" t="s">
        <v>197</v>
      </c>
      <c r="F599" s="1" t="s">
        <v>129</v>
      </c>
      <c r="G599" s="1" t="s">
        <v>195</v>
      </c>
      <c r="H599" s="1">
        <v>100</v>
      </c>
      <c r="I599" s="1">
        <v>44</v>
      </c>
      <c r="J599" s="51">
        <v>45275</v>
      </c>
      <c r="K599" s="1" t="s">
        <v>57</v>
      </c>
      <c r="L599" s="51">
        <v>45244</v>
      </c>
      <c r="M599" s="1" t="s">
        <v>139</v>
      </c>
      <c r="N599" s="1">
        <v>-5</v>
      </c>
      <c r="O599" s="1">
        <v>1.45</v>
      </c>
      <c r="P599" s="1">
        <v>-725</v>
      </c>
      <c r="Q599" s="1">
        <v>1.5357499999999999</v>
      </c>
      <c r="R599" s="1" t="s">
        <v>83</v>
      </c>
      <c r="T599" s="50">
        <f>IF(ISNUMBER(VLOOKUP(U599,Blotter!B:C,2,0)),VLOOKUP(U599,Blotter!B:C,2,0),"")</f>
        <v>9</v>
      </c>
      <c r="U599" s="49" t="str">
        <f t="shared" ref="U599:U606" si="608">D599</f>
        <v>INDA  231215C00044000</v>
      </c>
      <c r="V599" s="49">
        <f t="shared" ref="V599:V606" si="609">N599</f>
        <v>-5</v>
      </c>
      <c r="W599" s="49">
        <f t="shared" ref="W599:W606" si="610">O599</f>
        <v>1.45</v>
      </c>
      <c r="X599" s="49">
        <f t="shared" ref="X599:X606" si="611">Q599</f>
        <v>1.5357499999999999</v>
      </c>
    </row>
    <row r="600" spans="1:24" x14ac:dyDescent="0.4">
      <c r="A600" s="1" t="s">
        <v>138</v>
      </c>
      <c r="B600" s="1" t="s">
        <v>83</v>
      </c>
      <c r="C600" s="1" t="s">
        <v>87</v>
      </c>
      <c r="D600" s="1" t="s">
        <v>196</v>
      </c>
      <c r="E600" s="1" t="s">
        <v>197</v>
      </c>
      <c r="F600" s="1" t="s">
        <v>129</v>
      </c>
      <c r="G600" s="1" t="s">
        <v>195</v>
      </c>
      <c r="H600" s="1">
        <v>100</v>
      </c>
      <c r="I600" s="1">
        <v>44</v>
      </c>
      <c r="J600" s="51">
        <v>45275</v>
      </c>
      <c r="K600" s="1" t="s">
        <v>57</v>
      </c>
      <c r="L600" s="51">
        <v>45244</v>
      </c>
      <c r="M600" s="1" t="s">
        <v>139</v>
      </c>
      <c r="N600" s="1">
        <v>-1</v>
      </c>
      <c r="O600" s="1">
        <v>1.45</v>
      </c>
      <c r="P600" s="1">
        <v>-145</v>
      </c>
      <c r="Q600" s="1">
        <v>0.30714999999999998</v>
      </c>
      <c r="R600" s="1" t="s">
        <v>83</v>
      </c>
      <c r="T600" s="50">
        <f>IF(ISNUMBER(VLOOKUP(U600,Blotter!B:C,2,0)),VLOOKUP(U600,Blotter!B:C,2,0),"")</f>
        <v>9</v>
      </c>
      <c r="U600" s="49" t="str">
        <f t="shared" si="608"/>
        <v>INDA  231215C00044000</v>
      </c>
      <c r="V600" s="49">
        <f t="shared" si="609"/>
        <v>-1</v>
      </c>
      <c r="W600" s="49">
        <f t="shared" si="610"/>
        <v>1.45</v>
      </c>
      <c r="X600" s="49">
        <f t="shared" si="611"/>
        <v>0.30714999999999998</v>
      </c>
    </row>
    <row r="601" spans="1:24" x14ac:dyDescent="0.4">
      <c r="A601" s="1" t="s">
        <v>138</v>
      </c>
      <c r="B601" s="1" t="s">
        <v>83</v>
      </c>
      <c r="C601" s="1" t="s">
        <v>87</v>
      </c>
      <c r="D601" s="1" t="s">
        <v>196</v>
      </c>
      <c r="E601" s="1" t="s">
        <v>197</v>
      </c>
      <c r="F601" s="1" t="s">
        <v>129</v>
      </c>
      <c r="G601" s="1" t="s">
        <v>195</v>
      </c>
      <c r="H601" s="1">
        <v>100</v>
      </c>
      <c r="I601" s="1">
        <v>44</v>
      </c>
      <c r="J601" s="51">
        <v>45275</v>
      </c>
      <c r="K601" s="1" t="s">
        <v>57</v>
      </c>
      <c r="L601" s="51">
        <v>45244</v>
      </c>
      <c r="M601" s="1" t="s">
        <v>139</v>
      </c>
      <c r="N601" s="1">
        <v>-1</v>
      </c>
      <c r="O601" s="1">
        <v>1.45</v>
      </c>
      <c r="P601" s="1">
        <v>-145</v>
      </c>
      <c r="Q601" s="1">
        <v>0.30714999999999998</v>
      </c>
      <c r="R601" s="1" t="s">
        <v>83</v>
      </c>
      <c r="T601" s="50">
        <f>IF(ISNUMBER(VLOOKUP(U601,Blotter!B:C,2,0)),VLOOKUP(U601,Blotter!B:C,2,0),"")</f>
        <v>9</v>
      </c>
      <c r="U601" s="49" t="str">
        <f t="shared" si="608"/>
        <v>INDA  231215C00044000</v>
      </c>
      <c r="V601" s="49">
        <f t="shared" si="609"/>
        <v>-1</v>
      </c>
      <c r="W601" s="49">
        <f t="shared" si="610"/>
        <v>1.45</v>
      </c>
      <c r="X601" s="49">
        <f t="shared" si="611"/>
        <v>0.30714999999999998</v>
      </c>
    </row>
    <row r="602" spans="1:24" x14ac:dyDescent="0.4">
      <c r="A602" s="1" t="s">
        <v>138</v>
      </c>
      <c r="B602" s="1" t="s">
        <v>83</v>
      </c>
      <c r="C602" s="1" t="s">
        <v>87</v>
      </c>
      <c r="D602" s="1" t="s">
        <v>196</v>
      </c>
      <c r="E602" s="1" t="s">
        <v>197</v>
      </c>
      <c r="F602" s="1" t="s">
        <v>129</v>
      </c>
      <c r="G602" s="1" t="s">
        <v>195</v>
      </c>
      <c r="H602" s="1">
        <v>100</v>
      </c>
      <c r="I602" s="1">
        <v>44</v>
      </c>
      <c r="J602" s="51">
        <v>45275</v>
      </c>
      <c r="K602" s="1" t="s">
        <v>57</v>
      </c>
      <c r="L602" s="51">
        <v>45244</v>
      </c>
      <c r="M602" s="1" t="s">
        <v>139</v>
      </c>
      <c r="N602" s="1">
        <v>-2</v>
      </c>
      <c r="O602" s="1">
        <v>1.45</v>
      </c>
      <c r="P602" s="1">
        <v>-290</v>
      </c>
      <c r="Q602" s="1">
        <v>0.61429999999999996</v>
      </c>
      <c r="R602" s="1" t="s">
        <v>83</v>
      </c>
      <c r="T602" s="50">
        <f>IF(ISNUMBER(VLOOKUP(U602,Blotter!B:C,2,0)),VLOOKUP(U602,Blotter!B:C,2,0),"")</f>
        <v>9</v>
      </c>
      <c r="U602" s="49" t="str">
        <f t="shared" si="608"/>
        <v>INDA  231215C00044000</v>
      </c>
      <c r="V602" s="49">
        <f t="shared" si="609"/>
        <v>-2</v>
      </c>
      <c r="W602" s="49">
        <f t="shared" si="610"/>
        <v>1.45</v>
      </c>
      <c r="X602" s="49">
        <f t="shared" si="611"/>
        <v>0.61429999999999996</v>
      </c>
    </row>
    <row r="603" spans="1:24" x14ac:dyDescent="0.4">
      <c r="A603" s="1" t="s">
        <v>138</v>
      </c>
      <c r="B603" s="1" t="s">
        <v>83</v>
      </c>
      <c r="C603" s="1" t="s">
        <v>87</v>
      </c>
      <c r="D603" s="1" t="s">
        <v>196</v>
      </c>
      <c r="E603" s="1" t="s">
        <v>197</v>
      </c>
      <c r="F603" s="1" t="s">
        <v>129</v>
      </c>
      <c r="G603" s="1" t="s">
        <v>195</v>
      </c>
      <c r="H603" s="1">
        <v>100</v>
      </c>
      <c r="I603" s="1">
        <v>44</v>
      </c>
      <c r="J603" s="51">
        <v>45275</v>
      </c>
      <c r="K603" s="1" t="s">
        <v>57</v>
      </c>
      <c r="L603" s="51">
        <v>45244</v>
      </c>
      <c r="M603" s="1" t="s">
        <v>139</v>
      </c>
      <c r="N603" s="1">
        <v>-1</v>
      </c>
      <c r="O603" s="1">
        <v>1.45</v>
      </c>
      <c r="P603" s="1">
        <v>-145</v>
      </c>
      <c r="Q603" s="1">
        <v>0.30714999999999998</v>
      </c>
      <c r="R603" s="1" t="s">
        <v>83</v>
      </c>
      <c r="T603" s="50">
        <f>IF(ISNUMBER(VLOOKUP(U603,Blotter!B:C,2,0)),VLOOKUP(U603,Blotter!B:C,2,0),"")</f>
        <v>9</v>
      </c>
      <c r="U603" s="49" t="str">
        <f t="shared" si="608"/>
        <v>INDA  231215C00044000</v>
      </c>
      <c r="V603" s="49">
        <f t="shared" si="609"/>
        <v>-1</v>
      </c>
      <c r="W603" s="49">
        <f t="shared" si="610"/>
        <v>1.45</v>
      </c>
      <c r="X603" s="49">
        <f t="shared" si="611"/>
        <v>0.30714999999999998</v>
      </c>
    </row>
    <row r="604" spans="1:24" x14ac:dyDescent="0.4">
      <c r="A604" s="1" t="s">
        <v>138</v>
      </c>
      <c r="B604" s="1" t="s">
        <v>83</v>
      </c>
      <c r="C604" s="1" t="s">
        <v>87</v>
      </c>
      <c r="D604" s="1" t="s">
        <v>196</v>
      </c>
      <c r="E604" s="1" t="s">
        <v>197</v>
      </c>
      <c r="F604" s="1" t="s">
        <v>129</v>
      </c>
      <c r="G604" s="1" t="s">
        <v>195</v>
      </c>
      <c r="H604" s="1">
        <v>100</v>
      </c>
      <c r="I604" s="1">
        <v>44</v>
      </c>
      <c r="J604" s="51">
        <v>45275</v>
      </c>
      <c r="K604" s="1" t="s">
        <v>57</v>
      </c>
      <c r="L604" s="51">
        <v>45244</v>
      </c>
      <c r="M604" s="1" t="s">
        <v>139</v>
      </c>
      <c r="N604" s="1">
        <v>-1</v>
      </c>
      <c r="O604" s="1">
        <v>1.45</v>
      </c>
      <c r="P604" s="1">
        <v>-145</v>
      </c>
      <c r="Q604" s="1">
        <v>0.30714999999999998</v>
      </c>
      <c r="R604" s="1" t="s">
        <v>83</v>
      </c>
      <c r="T604" s="50">
        <f>IF(ISNUMBER(VLOOKUP(U604,Blotter!B:C,2,0)),VLOOKUP(U604,Blotter!B:C,2,0),"")</f>
        <v>9</v>
      </c>
      <c r="U604" s="49" t="str">
        <f t="shared" si="608"/>
        <v>INDA  231215C00044000</v>
      </c>
      <c r="V604" s="49">
        <f t="shared" si="609"/>
        <v>-1</v>
      </c>
      <c r="W604" s="49">
        <f t="shared" si="610"/>
        <v>1.45</v>
      </c>
      <c r="X604" s="49">
        <f t="shared" si="611"/>
        <v>0.30714999999999998</v>
      </c>
    </row>
    <row r="605" spans="1:24" x14ac:dyDescent="0.4">
      <c r="A605" s="1" t="s">
        <v>138</v>
      </c>
      <c r="B605" s="1" t="s">
        <v>83</v>
      </c>
      <c r="C605" s="1" t="s">
        <v>87</v>
      </c>
      <c r="D605" s="1" t="s">
        <v>196</v>
      </c>
      <c r="E605" s="1" t="s">
        <v>197</v>
      </c>
      <c r="F605" s="1" t="s">
        <v>129</v>
      </c>
      <c r="G605" s="1" t="s">
        <v>195</v>
      </c>
      <c r="H605" s="1">
        <v>100</v>
      </c>
      <c r="I605" s="1">
        <v>44</v>
      </c>
      <c r="J605" s="51">
        <v>45275</v>
      </c>
      <c r="K605" s="1" t="s">
        <v>57</v>
      </c>
      <c r="L605" s="51">
        <v>45244</v>
      </c>
      <c r="M605" s="1" t="s">
        <v>139</v>
      </c>
      <c r="N605" s="1">
        <v>-24</v>
      </c>
      <c r="O605" s="1">
        <v>1.45</v>
      </c>
      <c r="P605" s="1">
        <v>-3480</v>
      </c>
      <c r="Q605" s="1">
        <v>7.3715999999999999</v>
      </c>
      <c r="R605" s="1" t="s">
        <v>83</v>
      </c>
      <c r="T605" s="50">
        <f>IF(ISNUMBER(VLOOKUP(U605,Blotter!B:C,2,0)),VLOOKUP(U605,Blotter!B:C,2,0),"")</f>
        <v>9</v>
      </c>
      <c r="U605" s="49" t="str">
        <f t="shared" si="608"/>
        <v>INDA  231215C00044000</v>
      </c>
      <c r="V605" s="49">
        <f t="shared" si="609"/>
        <v>-24</v>
      </c>
      <c r="W605" s="49">
        <f t="shared" si="610"/>
        <v>1.45</v>
      </c>
      <c r="X605" s="49">
        <f t="shared" si="611"/>
        <v>7.3715999999999999</v>
      </c>
    </row>
    <row r="606" spans="1:24" x14ac:dyDescent="0.4">
      <c r="A606" s="1" t="s">
        <v>138</v>
      </c>
      <c r="B606" s="1" t="s">
        <v>83</v>
      </c>
      <c r="C606" s="1" t="s">
        <v>86</v>
      </c>
      <c r="D606" s="1" t="s">
        <v>293</v>
      </c>
      <c r="E606" s="1" t="s">
        <v>294</v>
      </c>
      <c r="F606" s="1" t="s">
        <v>126</v>
      </c>
      <c r="G606" s="1" t="s">
        <v>278</v>
      </c>
      <c r="H606" s="1">
        <v>5000</v>
      </c>
      <c r="I606" s="1">
        <v>22.2</v>
      </c>
      <c r="J606" s="51">
        <v>45257</v>
      </c>
      <c r="K606" s="1" t="s">
        <v>57</v>
      </c>
      <c r="L606" s="51">
        <v>45244</v>
      </c>
      <c r="M606" s="1" t="s">
        <v>139</v>
      </c>
      <c r="N606" s="1">
        <v>-5</v>
      </c>
      <c r="O606" s="1">
        <v>1.0349999999999999</v>
      </c>
      <c r="P606" s="1">
        <v>-25875</v>
      </c>
      <c r="Q606" s="1">
        <v>-11.85</v>
      </c>
      <c r="R606" s="1" t="s">
        <v>83</v>
      </c>
      <c r="T606" s="50">
        <f>IF(ISNUMBER(VLOOKUP(U606,Blotter!B:C,2,0)),VLOOKUP(U606,Blotter!B:C,2,0),"")</f>
        <v>6</v>
      </c>
      <c r="U606" s="49" t="str">
        <f t="shared" si="608"/>
        <v>SOZ3 C2220</v>
      </c>
      <c r="V606" s="49">
        <f t="shared" si="609"/>
        <v>-5</v>
      </c>
      <c r="W606" s="49">
        <f t="shared" si="610"/>
        <v>1.0349999999999999</v>
      </c>
      <c r="X606" s="49">
        <f t="shared" si="611"/>
        <v>-11.85</v>
      </c>
    </row>
    <row r="607" spans="1:24" x14ac:dyDescent="0.4">
      <c r="A607" s="1" t="s">
        <v>138</v>
      </c>
      <c r="B607" s="1" t="s">
        <v>83</v>
      </c>
      <c r="C607" s="1" t="s">
        <v>86</v>
      </c>
      <c r="D607" s="1" t="s">
        <v>335</v>
      </c>
      <c r="E607" s="1" t="s">
        <v>341</v>
      </c>
      <c r="F607" s="1" t="s">
        <v>124</v>
      </c>
      <c r="G607" s="1" t="s">
        <v>342</v>
      </c>
      <c r="H607" s="1">
        <v>40000</v>
      </c>
      <c r="I607" s="1">
        <v>0.8</v>
      </c>
      <c r="J607" s="51">
        <v>45338</v>
      </c>
      <c r="K607" s="1" t="s">
        <v>57</v>
      </c>
      <c r="L607" s="51">
        <v>45245</v>
      </c>
      <c r="M607" s="1" t="s">
        <v>135</v>
      </c>
      <c r="N607" s="1">
        <v>20</v>
      </c>
      <c r="O607" s="59">
        <v>1.7</v>
      </c>
      <c r="P607" s="1">
        <v>13600</v>
      </c>
      <c r="Q607" s="1">
        <v>-59.4</v>
      </c>
      <c r="R607" s="1" t="s">
        <v>83</v>
      </c>
      <c r="T607" s="50">
        <f>IF(ISNUMBER(VLOOKUP(U607,Blotter!B:C,2,0)),VLOOKUP(U607,Blotter!B:C,2,0),"")</f>
        <v>32</v>
      </c>
      <c r="U607" s="49" t="str">
        <f t="shared" ref="U607:U608" si="612">D607</f>
        <v>HEG4 C0800</v>
      </c>
      <c r="V607" s="49">
        <f t="shared" ref="V607:V608" si="613">N607</f>
        <v>20</v>
      </c>
      <c r="W607" s="49">
        <f t="shared" ref="W607:W608" si="614">O607</f>
        <v>1.7</v>
      </c>
      <c r="X607" s="49">
        <f t="shared" ref="X607:X608" si="615">Q607</f>
        <v>-59.4</v>
      </c>
    </row>
    <row r="608" spans="1:24" x14ac:dyDescent="0.4">
      <c r="A608" s="1" t="s">
        <v>138</v>
      </c>
      <c r="B608" s="1" t="s">
        <v>83</v>
      </c>
      <c r="C608" s="1" t="s">
        <v>86</v>
      </c>
      <c r="D608" s="1" t="s">
        <v>335</v>
      </c>
      <c r="E608" s="1" t="s">
        <v>341</v>
      </c>
      <c r="F608" s="1" t="s">
        <v>124</v>
      </c>
      <c r="G608" s="1" t="s">
        <v>342</v>
      </c>
      <c r="H608" s="1">
        <v>40000</v>
      </c>
      <c r="I608" s="1">
        <v>0.8</v>
      </c>
      <c r="J608" s="51">
        <v>45338</v>
      </c>
      <c r="K608" s="1" t="s">
        <v>57</v>
      </c>
      <c r="L608" s="51">
        <v>45245</v>
      </c>
      <c r="M608" s="1" t="s">
        <v>135</v>
      </c>
      <c r="N608" s="1">
        <v>20</v>
      </c>
      <c r="O608" s="59">
        <v>1.7</v>
      </c>
      <c r="P608" s="1">
        <v>13600</v>
      </c>
      <c r="Q608" s="1">
        <v>-59.4</v>
      </c>
      <c r="R608" s="1" t="s">
        <v>83</v>
      </c>
      <c r="T608" s="50">
        <f>IF(ISNUMBER(VLOOKUP(U608,Blotter!B:C,2,0)),VLOOKUP(U608,Blotter!B:C,2,0),"")</f>
        <v>32</v>
      </c>
      <c r="U608" s="49" t="str">
        <f t="shared" si="612"/>
        <v>HEG4 C0800</v>
      </c>
      <c r="V608" s="49">
        <f t="shared" si="613"/>
        <v>20</v>
      </c>
      <c r="W608" s="49">
        <f t="shared" si="614"/>
        <v>1.7</v>
      </c>
      <c r="X608" s="49">
        <f t="shared" si="615"/>
        <v>-59.4</v>
      </c>
    </row>
    <row r="609" spans="1:24" x14ac:dyDescent="0.4">
      <c r="A609" s="1" t="s">
        <v>138</v>
      </c>
      <c r="B609" s="1" t="s">
        <v>83</v>
      </c>
      <c r="C609" s="1" t="s">
        <v>86</v>
      </c>
      <c r="D609" s="1" t="s">
        <v>336</v>
      </c>
      <c r="E609" s="1" t="s">
        <v>343</v>
      </c>
      <c r="F609" s="1" t="s">
        <v>124</v>
      </c>
      <c r="G609" s="1" t="s">
        <v>342</v>
      </c>
      <c r="H609" s="1">
        <v>40000</v>
      </c>
      <c r="I609" s="1">
        <v>0.86</v>
      </c>
      <c r="J609" s="51">
        <v>45338</v>
      </c>
      <c r="K609" s="1" t="s">
        <v>57</v>
      </c>
      <c r="L609" s="51">
        <v>45245</v>
      </c>
      <c r="M609" s="1" t="s">
        <v>139</v>
      </c>
      <c r="N609" s="1">
        <v>-12</v>
      </c>
      <c r="O609" s="59">
        <v>0.6</v>
      </c>
      <c r="P609" s="1">
        <v>-2880</v>
      </c>
      <c r="Q609" s="1">
        <v>-35.64</v>
      </c>
      <c r="R609" s="1" t="s">
        <v>83</v>
      </c>
      <c r="T609" s="50">
        <f>IF(ISNUMBER(VLOOKUP(U609,Blotter!B:C,2,0)),VLOOKUP(U609,Blotter!B:C,2,0),"")</f>
        <v>32</v>
      </c>
      <c r="U609" s="49" t="str">
        <f t="shared" ref="U609:U612" si="616">D609</f>
        <v>HEG4 C0860</v>
      </c>
      <c r="V609" s="49">
        <f t="shared" ref="V609:V612" si="617">N609</f>
        <v>-12</v>
      </c>
      <c r="W609" s="49">
        <f t="shared" ref="W609:W612" si="618">O609</f>
        <v>0.6</v>
      </c>
      <c r="X609" s="49">
        <f t="shared" ref="X609:X612" si="619">Q609</f>
        <v>-35.64</v>
      </c>
    </row>
    <row r="610" spans="1:24" x14ac:dyDescent="0.4">
      <c r="A610" s="1" t="s">
        <v>138</v>
      </c>
      <c r="B610" s="1" t="s">
        <v>83</v>
      </c>
      <c r="C610" s="1" t="s">
        <v>86</v>
      </c>
      <c r="D610" s="1" t="s">
        <v>336</v>
      </c>
      <c r="E610" s="1" t="s">
        <v>343</v>
      </c>
      <c r="F610" s="1" t="s">
        <v>124</v>
      </c>
      <c r="G610" s="1" t="s">
        <v>342</v>
      </c>
      <c r="H610" s="1">
        <v>40000</v>
      </c>
      <c r="I610" s="1">
        <v>0.86</v>
      </c>
      <c r="J610" s="51">
        <v>45338</v>
      </c>
      <c r="K610" s="1" t="s">
        <v>57</v>
      </c>
      <c r="L610" s="51">
        <v>45245</v>
      </c>
      <c r="M610" s="1" t="s">
        <v>139</v>
      </c>
      <c r="N610" s="1">
        <v>-28</v>
      </c>
      <c r="O610" s="59">
        <v>0.6</v>
      </c>
      <c r="P610" s="1">
        <v>-6720</v>
      </c>
      <c r="Q610" s="1">
        <v>-83.16</v>
      </c>
      <c r="R610" s="1" t="s">
        <v>83</v>
      </c>
      <c r="T610" s="50">
        <f>IF(ISNUMBER(VLOOKUP(U610,Blotter!B:C,2,0)),VLOOKUP(U610,Blotter!B:C,2,0),"")</f>
        <v>32</v>
      </c>
      <c r="U610" s="49" t="str">
        <f t="shared" si="616"/>
        <v>HEG4 C0860</v>
      </c>
      <c r="V610" s="49">
        <f t="shared" si="617"/>
        <v>-28</v>
      </c>
      <c r="W610" s="49">
        <f t="shared" si="618"/>
        <v>0.6</v>
      </c>
      <c r="X610" s="49">
        <f t="shared" si="619"/>
        <v>-83.16</v>
      </c>
    </row>
    <row r="611" spans="1:24" x14ac:dyDescent="0.4">
      <c r="A611" s="1" t="s">
        <v>138</v>
      </c>
      <c r="B611" s="1" t="s">
        <v>83</v>
      </c>
      <c r="C611" s="1" t="s">
        <v>86</v>
      </c>
      <c r="D611" s="1" t="s">
        <v>293</v>
      </c>
      <c r="E611" s="1" t="s">
        <v>294</v>
      </c>
      <c r="F611" s="1" t="s">
        <v>126</v>
      </c>
      <c r="G611" s="1" t="s">
        <v>278</v>
      </c>
      <c r="H611" s="1">
        <v>5000</v>
      </c>
      <c r="I611" s="1">
        <v>22.2</v>
      </c>
      <c r="J611" s="51">
        <v>45257</v>
      </c>
      <c r="K611" s="1" t="s">
        <v>57</v>
      </c>
      <c r="L611" s="51">
        <v>45245</v>
      </c>
      <c r="M611" s="1" t="s">
        <v>135</v>
      </c>
      <c r="N611" s="1">
        <v>5</v>
      </c>
      <c r="O611" s="1">
        <v>1.17</v>
      </c>
      <c r="P611" s="1">
        <v>29250</v>
      </c>
      <c r="Q611" s="1">
        <v>-11.85</v>
      </c>
      <c r="R611" s="1" t="s">
        <v>83</v>
      </c>
      <c r="T611" s="50">
        <f>IF(ISNUMBER(VLOOKUP(U611,Blotter!B:C,2,0)),VLOOKUP(U611,Blotter!B:C,2,0),"")</f>
        <v>6</v>
      </c>
      <c r="U611" s="49" t="str">
        <f t="shared" si="616"/>
        <v>SOZ3 C2220</v>
      </c>
      <c r="V611" s="49">
        <f t="shared" si="617"/>
        <v>5</v>
      </c>
      <c r="W611" s="49">
        <f t="shared" si="618"/>
        <v>1.17</v>
      </c>
      <c r="X611" s="49">
        <f t="shared" si="619"/>
        <v>-11.85</v>
      </c>
    </row>
    <row r="612" spans="1:24" x14ac:dyDescent="0.4">
      <c r="A612" s="1" t="s">
        <v>138</v>
      </c>
      <c r="B612" s="1" t="s">
        <v>83</v>
      </c>
      <c r="C612" s="1" t="s">
        <v>86</v>
      </c>
      <c r="D612" s="1" t="s">
        <v>293</v>
      </c>
      <c r="E612" s="1" t="s">
        <v>294</v>
      </c>
      <c r="F612" s="1" t="s">
        <v>126</v>
      </c>
      <c r="G612" s="1" t="s">
        <v>278</v>
      </c>
      <c r="H612" s="1">
        <v>5000</v>
      </c>
      <c r="I612" s="1">
        <v>22.2</v>
      </c>
      <c r="J612" s="51">
        <v>45257</v>
      </c>
      <c r="K612" s="1" t="s">
        <v>57</v>
      </c>
      <c r="L612" s="51">
        <v>45245</v>
      </c>
      <c r="M612" s="1" t="s">
        <v>139</v>
      </c>
      <c r="N612" s="1">
        <v>-5</v>
      </c>
      <c r="O612" s="1">
        <v>1.2</v>
      </c>
      <c r="P612" s="1">
        <v>-30000</v>
      </c>
      <c r="Q612" s="1">
        <v>-11.85</v>
      </c>
      <c r="R612" s="1" t="s">
        <v>83</v>
      </c>
      <c r="T612" s="50">
        <f>IF(ISNUMBER(VLOOKUP(U612,Blotter!B:C,2,0)),VLOOKUP(U612,Blotter!B:C,2,0),"")</f>
        <v>6</v>
      </c>
      <c r="U612" s="49" t="str">
        <f t="shared" si="616"/>
        <v>SOZ3 C2220</v>
      </c>
      <c r="V612" s="49">
        <f t="shared" si="617"/>
        <v>-5</v>
      </c>
      <c r="W612" s="49">
        <f t="shared" si="618"/>
        <v>1.2</v>
      </c>
      <c r="X612" s="49">
        <f t="shared" si="619"/>
        <v>-11.85</v>
      </c>
    </row>
    <row r="613" spans="1:24" x14ac:dyDescent="0.4">
      <c r="A613" s="1" t="s">
        <v>138</v>
      </c>
      <c r="B613" s="1" t="s">
        <v>83</v>
      </c>
      <c r="C613" s="1" t="s">
        <v>86</v>
      </c>
      <c r="D613" s="1" t="s">
        <v>243</v>
      </c>
      <c r="E613" s="1" t="s">
        <v>244</v>
      </c>
      <c r="F613" s="1" t="s">
        <v>127</v>
      </c>
      <c r="G613" s="1" t="s">
        <v>245</v>
      </c>
      <c r="H613" s="1">
        <v>5000</v>
      </c>
      <c r="I613" s="1">
        <v>6</v>
      </c>
      <c r="J613" s="51">
        <v>45254</v>
      </c>
      <c r="K613" s="1" t="s">
        <v>57</v>
      </c>
      <c r="L613" s="51">
        <v>45254</v>
      </c>
      <c r="M613" s="1" t="s">
        <v>139</v>
      </c>
      <c r="N613" s="1">
        <v>-8</v>
      </c>
      <c r="O613" s="1">
        <v>0</v>
      </c>
      <c r="P613" s="1">
        <v>0</v>
      </c>
      <c r="Q613" s="1">
        <v>0</v>
      </c>
      <c r="R613" s="1" t="s">
        <v>83</v>
      </c>
      <c r="T613" s="50">
        <f>IF(ISNUMBER(VLOOKUP(U613,Blotter!B:C,2,0)),VLOOKUP(U613,Blotter!B:C,2,0),"")</f>
        <v>13</v>
      </c>
      <c r="U613" s="49" t="str">
        <f t="shared" ref="U613:U614" si="620">D613</f>
        <v>C OZC  DEC 23   6000</v>
      </c>
      <c r="V613" s="49">
        <f t="shared" ref="V613:V614" si="621">N613</f>
        <v>-8</v>
      </c>
      <c r="W613" s="49">
        <f t="shared" ref="W613:W614" si="622">O613</f>
        <v>0</v>
      </c>
      <c r="X613" s="49">
        <f t="shared" ref="X613:X614" si="623">Q613</f>
        <v>0</v>
      </c>
    </row>
    <row r="614" spans="1:24" x14ac:dyDescent="0.4">
      <c r="A614" s="1" t="s">
        <v>138</v>
      </c>
      <c r="B614" s="1" t="s">
        <v>83</v>
      </c>
      <c r="C614" s="1" t="s">
        <v>137</v>
      </c>
      <c r="D614" s="1" t="s">
        <v>346</v>
      </c>
      <c r="E614" s="1" t="s">
        <v>346</v>
      </c>
      <c r="H614" s="1">
        <v>1</v>
      </c>
      <c r="L614" s="51">
        <v>45254</v>
      </c>
      <c r="M614" s="1" t="s">
        <v>135</v>
      </c>
      <c r="N614" s="1">
        <v>10000</v>
      </c>
      <c r="O614" s="1">
        <v>96.887053750000007</v>
      </c>
      <c r="P614" s="1">
        <v>9688.7099999999991</v>
      </c>
      <c r="Q614" s="1">
        <v>-5</v>
      </c>
      <c r="R614" s="1" t="s">
        <v>83</v>
      </c>
      <c r="T614" s="50" t="str">
        <f>IF(ISNUMBER(VLOOKUP(U614,Blotter!B:C,2,0)),VLOOKUP(U614,Blotter!B:C,2,0),"")</f>
        <v/>
      </c>
      <c r="U614" s="49" t="str">
        <f t="shared" si="620"/>
        <v>T 2 1/8 11/30/24</v>
      </c>
      <c r="V614" s="49">
        <f t="shared" si="621"/>
        <v>10000</v>
      </c>
      <c r="W614" s="49">
        <f t="shared" si="622"/>
        <v>96.887053750000007</v>
      </c>
      <c r="X614" s="49">
        <f t="shared" si="623"/>
        <v>-5</v>
      </c>
    </row>
    <row r="615" spans="1:24" x14ac:dyDescent="0.4">
      <c r="A615" s="1" t="s">
        <v>138</v>
      </c>
      <c r="B615" s="1" t="s">
        <v>83</v>
      </c>
      <c r="C615" s="1" t="s">
        <v>86</v>
      </c>
      <c r="D615" s="1" t="s">
        <v>335</v>
      </c>
      <c r="E615" s="1" t="s">
        <v>341</v>
      </c>
      <c r="F615" s="1" t="s">
        <v>124</v>
      </c>
      <c r="G615" s="1" t="s">
        <v>342</v>
      </c>
      <c r="H615" s="1">
        <v>40000</v>
      </c>
      <c r="I615" s="1">
        <v>0.8</v>
      </c>
      <c r="J615" s="51">
        <v>45338</v>
      </c>
      <c r="K615" s="1" t="s">
        <v>57</v>
      </c>
      <c r="L615" s="51">
        <v>45257</v>
      </c>
      <c r="M615" s="1" t="s">
        <v>139</v>
      </c>
      <c r="N615" s="1">
        <v>-14</v>
      </c>
      <c r="O615" s="59">
        <v>0.65</v>
      </c>
      <c r="P615" s="1">
        <v>-3640</v>
      </c>
      <c r="Q615" s="1">
        <v>-41.58</v>
      </c>
      <c r="R615" s="1" t="s">
        <v>83</v>
      </c>
      <c r="T615" s="50">
        <f>IF(ISNUMBER(VLOOKUP(U615,Blotter!B:C,2,0)),VLOOKUP(U615,Blotter!B:C,2,0),"")</f>
        <v>32</v>
      </c>
      <c r="U615" s="49" t="str">
        <f t="shared" ref="U615" si="624">D615</f>
        <v>HEG4 C0800</v>
      </c>
      <c r="V615" s="49">
        <f t="shared" ref="V615" si="625">N615</f>
        <v>-14</v>
      </c>
      <c r="W615" s="49">
        <f t="shared" ref="W615" si="626">O615</f>
        <v>0.65</v>
      </c>
      <c r="X615" s="49">
        <f t="shared" ref="X615" si="627">Q615</f>
        <v>-41.58</v>
      </c>
    </row>
    <row r="616" spans="1:24" x14ac:dyDescent="0.4">
      <c r="A616" s="1" t="s">
        <v>138</v>
      </c>
      <c r="B616" s="1" t="s">
        <v>83</v>
      </c>
      <c r="C616" s="1" t="s">
        <v>86</v>
      </c>
      <c r="D616" s="1" t="s">
        <v>335</v>
      </c>
      <c r="E616" s="1" t="s">
        <v>341</v>
      </c>
      <c r="F616" s="1" t="s">
        <v>124</v>
      </c>
      <c r="G616" s="1" t="s">
        <v>342</v>
      </c>
      <c r="H616" s="1">
        <v>40000</v>
      </c>
      <c r="I616" s="1">
        <v>0.8</v>
      </c>
      <c r="J616" s="51">
        <v>45338</v>
      </c>
      <c r="K616" s="1" t="s">
        <v>57</v>
      </c>
      <c r="L616" s="51">
        <v>45257</v>
      </c>
      <c r="M616" s="1" t="s">
        <v>139</v>
      </c>
      <c r="N616" s="1">
        <v>-26</v>
      </c>
      <c r="O616" s="59">
        <v>0.65</v>
      </c>
      <c r="P616" s="1">
        <v>-6760</v>
      </c>
      <c r="Q616" s="1">
        <v>-77.22</v>
      </c>
      <c r="R616" s="1" t="s">
        <v>83</v>
      </c>
      <c r="T616" s="50">
        <f>IF(ISNUMBER(VLOOKUP(U616,Blotter!B:C,2,0)),VLOOKUP(U616,Blotter!B:C,2,0),"")</f>
        <v>32</v>
      </c>
      <c r="U616" s="49" t="str">
        <f t="shared" ref="U616:U620" si="628">D616</f>
        <v>HEG4 C0800</v>
      </c>
      <c r="V616" s="49">
        <f t="shared" ref="V616:V620" si="629">N616</f>
        <v>-26</v>
      </c>
      <c r="W616" s="49">
        <f t="shared" ref="W616:W620" si="630">O616</f>
        <v>0.65</v>
      </c>
      <c r="X616" s="49">
        <f t="shared" ref="X616:X620" si="631">Q616</f>
        <v>-77.22</v>
      </c>
    </row>
    <row r="617" spans="1:24" x14ac:dyDescent="0.4">
      <c r="A617" s="1" t="s">
        <v>138</v>
      </c>
      <c r="B617" s="1" t="s">
        <v>83</v>
      </c>
      <c r="C617" s="1" t="s">
        <v>86</v>
      </c>
      <c r="D617" s="1" t="s">
        <v>351</v>
      </c>
      <c r="E617" s="1" t="s">
        <v>352</v>
      </c>
      <c r="F617" s="1" t="s">
        <v>126</v>
      </c>
      <c r="G617" s="1" t="s">
        <v>353</v>
      </c>
      <c r="H617" s="1">
        <v>5000</v>
      </c>
      <c r="I617" s="1">
        <v>26.5</v>
      </c>
      <c r="J617" s="51">
        <v>45376</v>
      </c>
      <c r="K617" s="1" t="s">
        <v>57</v>
      </c>
      <c r="L617" s="51">
        <v>45257</v>
      </c>
      <c r="M617" s="1" t="s">
        <v>135</v>
      </c>
      <c r="N617" s="1">
        <v>7</v>
      </c>
      <c r="O617" s="1">
        <v>0.95</v>
      </c>
      <c r="P617" s="1">
        <v>33250</v>
      </c>
      <c r="Q617" s="1">
        <v>-16.59</v>
      </c>
      <c r="R617" s="1" t="s">
        <v>83</v>
      </c>
      <c r="T617" s="50">
        <f>IF(ISNUMBER(VLOOKUP(U617,Blotter!B:C,2,0)),VLOOKUP(U617,Blotter!B:C,2,0),"")</f>
        <v>6</v>
      </c>
      <c r="U617" s="49" t="str">
        <f t="shared" si="628"/>
        <v>SOJ4 C2650</v>
      </c>
      <c r="V617" s="49">
        <f t="shared" si="629"/>
        <v>7</v>
      </c>
      <c r="W617" s="49">
        <f t="shared" si="630"/>
        <v>0.95</v>
      </c>
      <c r="X617" s="49">
        <f t="shared" si="631"/>
        <v>-16.59</v>
      </c>
    </row>
    <row r="618" spans="1:24" x14ac:dyDescent="0.4">
      <c r="A618" s="1" t="s">
        <v>138</v>
      </c>
      <c r="B618" s="1" t="s">
        <v>83</v>
      </c>
      <c r="C618" s="1" t="s">
        <v>86</v>
      </c>
      <c r="D618" s="1" t="s">
        <v>350</v>
      </c>
      <c r="E618" s="1" t="s">
        <v>354</v>
      </c>
      <c r="F618" s="1" t="s">
        <v>126</v>
      </c>
      <c r="G618" s="1" t="s">
        <v>353</v>
      </c>
      <c r="H618" s="1">
        <v>5000</v>
      </c>
      <c r="I618" s="1">
        <v>30</v>
      </c>
      <c r="J618" s="51">
        <v>45376</v>
      </c>
      <c r="K618" s="1" t="s">
        <v>57</v>
      </c>
      <c r="L618" s="51">
        <v>45257</v>
      </c>
      <c r="M618" s="1" t="s">
        <v>139</v>
      </c>
      <c r="N618" s="1">
        <v>-7</v>
      </c>
      <c r="O618" s="1">
        <v>0.38</v>
      </c>
      <c r="P618" s="1">
        <v>-13300</v>
      </c>
      <c r="Q618" s="1">
        <v>-16.59</v>
      </c>
      <c r="R618" s="1" t="s">
        <v>83</v>
      </c>
      <c r="T618" s="50">
        <f>IF(ISNUMBER(VLOOKUP(U618,Blotter!B:C,2,0)),VLOOKUP(U618,Blotter!B:C,2,0),"")</f>
        <v>6</v>
      </c>
      <c r="U618" s="49" t="str">
        <f t="shared" si="628"/>
        <v>SOJ4 C3000</v>
      </c>
      <c r="V618" s="49">
        <f t="shared" si="629"/>
        <v>-7</v>
      </c>
      <c r="W618" s="49">
        <f t="shared" si="630"/>
        <v>0.38</v>
      </c>
      <c r="X618" s="49">
        <f t="shared" si="631"/>
        <v>-16.59</v>
      </c>
    </row>
    <row r="619" spans="1:24" x14ac:dyDescent="0.4">
      <c r="A619" s="1" t="s">
        <v>138</v>
      </c>
      <c r="B619" s="1" t="s">
        <v>83</v>
      </c>
      <c r="C619" s="1" t="s">
        <v>86</v>
      </c>
      <c r="D619" s="1" t="s">
        <v>293</v>
      </c>
      <c r="E619" s="1" t="s">
        <v>294</v>
      </c>
      <c r="F619" s="1" t="s">
        <v>126</v>
      </c>
      <c r="G619" s="1" t="s">
        <v>278</v>
      </c>
      <c r="H619" s="1">
        <v>5000</v>
      </c>
      <c r="I619" s="1">
        <v>22.2</v>
      </c>
      <c r="J619" s="51">
        <v>45257</v>
      </c>
      <c r="K619" s="1" t="s">
        <v>57</v>
      </c>
      <c r="L619" s="51">
        <v>45257</v>
      </c>
      <c r="M619" s="1" t="s">
        <v>139</v>
      </c>
      <c r="N619" s="1">
        <v>-5</v>
      </c>
      <c r="O619" s="1">
        <v>2.65</v>
      </c>
      <c r="P619" s="1">
        <v>-66250</v>
      </c>
      <c r="Q619" s="1">
        <v>-11.85</v>
      </c>
      <c r="R619" s="1" t="s">
        <v>83</v>
      </c>
      <c r="T619" s="50">
        <f>IF(ISNUMBER(VLOOKUP(U619,Blotter!B:C,2,0)),VLOOKUP(U619,Blotter!B:C,2,0),"")</f>
        <v>6</v>
      </c>
      <c r="U619" s="49" t="str">
        <f t="shared" si="628"/>
        <v>SOZ3 C2220</v>
      </c>
      <c r="V619" s="49">
        <f t="shared" si="629"/>
        <v>-5</v>
      </c>
      <c r="W619" s="49">
        <f t="shared" si="630"/>
        <v>2.65</v>
      </c>
      <c r="X619" s="49">
        <f t="shared" si="631"/>
        <v>-11.85</v>
      </c>
    </row>
    <row r="620" spans="1:24" x14ac:dyDescent="0.4">
      <c r="A620" s="1" t="s">
        <v>138</v>
      </c>
      <c r="B620" s="1" t="s">
        <v>83</v>
      </c>
      <c r="C620" s="1" t="s">
        <v>86</v>
      </c>
      <c r="D620" s="1" t="s">
        <v>297</v>
      </c>
      <c r="E620" s="1" t="s">
        <v>298</v>
      </c>
      <c r="F620" s="1" t="s">
        <v>126</v>
      </c>
      <c r="G620" s="1" t="s">
        <v>278</v>
      </c>
      <c r="H620" s="1">
        <v>5000</v>
      </c>
      <c r="I620" s="1">
        <v>24.7</v>
      </c>
      <c r="J620" s="51">
        <v>45257</v>
      </c>
      <c r="K620" s="1" t="s">
        <v>57</v>
      </c>
      <c r="L620" s="51">
        <v>45257</v>
      </c>
      <c r="M620" s="1" t="s">
        <v>135</v>
      </c>
      <c r="N620" s="1">
        <v>5</v>
      </c>
      <c r="O620" s="1">
        <v>0.14000000000000001</v>
      </c>
      <c r="P620" s="1">
        <v>3500</v>
      </c>
      <c r="Q620" s="1">
        <v>-11.85</v>
      </c>
      <c r="R620" s="1" t="s">
        <v>83</v>
      </c>
      <c r="T620" s="50">
        <f>IF(ISNUMBER(VLOOKUP(U620,Blotter!B:C,2,0)),VLOOKUP(U620,Blotter!B:C,2,0),"")</f>
        <v>6</v>
      </c>
      <c r="U620" s="49" t="str">
        <f t="shared" si="628"/>
        <v>SOZ3 C2470</v>
      </c>
      <c r="V620" s="49">
        <f t="shared" si="629"/>
        <v>5</v>
      </c>
      <c r="W620" s="49">
        <f t="shared" si="630"/>
        <v>0.14000000000000001</v>
      </c>
      <c r="X620" s="49">
        <f t="shared" si="631"/>
        <v>-11.85</v>
      </c>
    </row>
    <row r="621" spans="1:24" x14ac:dyDescent="0.4">
      <c r="A621" s="1" t="s">
        <v>138</v>
      </c>
      <c r="B621" s="1" t="s">
        <v>83</v>
      </c>
      <c r="C621" s="1" t="s">
        <v>86</v>
      </c>
      <c r="D621" s="1" t="s">
        <v>313</v>
      </c>
      <c r="E621" s="1" t="s">
        <v>321</v>
      </c>
      <c r="F621" s="1" t="s">
        <v>100</v>
      </c>
      <c r="G621" s="1" t="s">
        <v>322</v>
      </c>
      <c r="H621" s="1">
        <v>37500</v>
      </c>
      <c r="I621" s="1">
        <v>1.65</v>
      </c>
      <c r="J621" s="51">
        <v>45268</v>
      </c>
      <c r="K621" s="1" t="s">
        <v>57</v>
      </c>
      <c r="L621" s="51">
        <v>45258</v>
      </c>
      <c r="M621" s="1" t="s">
        <v>139</v>
      </c>
      <c r="N621" s="1">
        <v>-5</v>
      </c>
      <c r="O621" s="59">
        <v>10.5</v>
      </c>
      <c r="P621" s="1">
        <v>-19687.5</v>
      </c>
      <c r="Q621" s="1">
        <v>-14.85</v>
      </c>
      <c r="R621" s="1" t="s">
        <v>83</v>
      </c>
      <c r="T621" s="50">
        <f>IF(ISNUMBER(VLOOKUP(U621,Blotter!B:C,2,0)),VLOOKUP(U621,Blotter!B:C,2,0),"")</f>
        <v>28</v>
      </c>
      <c r="U621" s="49" t="str">
        <f t="shared" ref="U621:U622" si="632">D621</f>
        <v>KOF4 C1.65</v>
      </c>
      <c r="V621" s="49">
        <f t="shared" ref="V621:V622" si="633">N621</f>
        <v>-5</v>
      </c>
      <c r="W621" s="49">
        <f t="shared" ref="W621:W622" si="634">O621</f>
        <v>10.5</v>
      </c>
      <c r="X621" s="49">
        <f t="shared" ref="X621:X622" si="635">Q621</f>
        <v>-14.85</v>
      </c>
    </row>
    <row r="622" spans="1:24" x14ac:dyDescent="0.4">
      <c r="A622" s="1" t="s">
        <v>138</v>
      </c>
      <c r="B622" s="1" t="s">
        <v>83</v>
      </c>
      <c r="C622" s="1" t="s">
        <v>86</v>
      </c>
      <c r="D622" s="1" t="s">
        <v>314</v>
      </c>
      <c r="E622" s="1" t="s">
        <v>323</v>
      </c>
      <c r="F622" s="1" t="s">
        <v>100</v>
      </c>
      <c r="G622" s="1" t="s">
        <v>322</v>
      </c>
      <c r="H622" s="1">
        <v>37500</v>
      </c>
      <c r="I622" s="1">
        <v>1.75</v>
      </c>
      <c r="J622" s="51">
        <v>45268</v>
      </c>
      <c r="K622" s="1" t="s">
        <v>57</v>
      </c>
      <c r="L622" s="51">
        <v>45258</v>
      </c>
      <c r="M622" s="1" t="s">
        <v>135</v>
      </c>
      <c r="N622" s="1">
        <v>5</v>
      </c>
      <c r="O622" s="59">
        <v>3.5</v>
      </c>
      <c r="P622" s="1">
        <v>6562.5</v>
      </c>
      <c r="Q622" s="1">
        <v>-14.85</v>
      </c>
      <c r="R622" s="1" t="s">
        <v>83</v>
      </c>
      <c r="T622" s="50">
        <f>IF(ISNUMBER(VLOOKUP(U622,Blotter!B:C,2,0)),VLOOKUP(U622,Blotter!B:C,2,0),"")</f>
        <v>28</v>
      </c>
      <c r="U622" s="49" t="str">
        <f t="shared" si="632"/>
        <v>KOF4 C1.75</v>
      </c>
      <c r="V622" s="49">
        <f t="shared" si="633"/>
        <v>5</v>
      </c>
      <c r="W622" s="49">
        <f t="shared" si="634"/>
        <v>3.5</v>
      </c>
      <c r="X622" s="49">
        <f t="shared" si="635"/>
        <v>-14.85</v>
      </c>
    </row>
    <row r="623" spans="1:24" x14ac:dyDescent="0.4">
      <c r="A623" s="1" t="s">
        <v>138</v>
      </c>
      <c r="B623" s="1" t="s">
        <v>83</v>
      </c>
      <c r="C623" s="1" t="s">
        <v>82</v>
      </c>
      <c r="D623" s="1" t="s">
        <v>355</v>
      </c>
      <c r="E623" s="1" t="s">
        <v>360</v>
      </c>
      <c r="F623" s="1" t="s">
        <v>93</v>
      </c>
      <c r="G623" s="1" t="s">
        <v>24</v>
      </c>
      <c r="H623" s="1">
        <v>1000</v>
      </c>
      <c r="J623" s="51">
        <v>45279</v>
      </c>
      <c r="L623" s="51">
        <v>45260</v>
      </c>
      <c r="M623" s="1" t="s">
        <v>135</v>
      </c>
      <c r="N623" s="1">
        <v>3</v>
      </c>
      <c r="O623" s="1">
        <v>78.3</v>
      </c>
      <c r="P623" s="1">
        <v>234900</v>
      </c>
      <c r="Q623" s="1">
        <v>-7.11</v>
      </c>
      <c r="R623" s="1" t="s">
        <v>83</v>
      </c>
      <c r="T623" s="50">
        <f>IF(ISNUMBER(VLOOKUP(U623,Blotter!B:C,2,0)),VLOOKUP(U623,Blotter!B:C,2,0),"")</f>
        <v>34</v>
      </c>
      <c r="U623" s="49" t="str">
        <f t="shared" ref="U623:U624" si="636">D623</f>
        <v>CLF4</v>
      </c>
      <c r="V623" s="49">
        <f t="shared" ref="V623:V624" si="637">N623</f>
        <v>3</v>
      </c>
      <c r="W623" s="49">
        <f t="shared" ref="W623:W624" si="638">O623</f>
        <v>78.3</v>
      </c>
      <c r="X623" s="49">
        <f t="shared" ref="X623:X624" si="639">Q623</f>
        <v>-7.11</v>
      </c>
    </row>
    <row r="624" spans="1:24" x14ac:dyDescent="0.4">
      <c r="A624" s="1" t="s">
        <v>138</v>
      </c>
      <c r="B624" s="1" t="s">
        <v>83</v>
      </c>
      <c r="C624" s="1" t="s">
        <v>82</v>
      </c>
      <c r="D624" s="1" t="s">
        <v>355</v>
      </c>
      <c r="E624" s="1" t="s">
        <v>360</v>
      </c>
      <c r="F624" s="1" t="s">
        <v>93</v>
      </c>
      <c r="G624" s="1" t="s">
        <v>24</v>
      </c>
      <c r="H624" s="1">
        <v>1000</v>
      </c>
      <c r="J624" s="51">
        <v>45279</v>
      </c>
      <c r="L624" s="51">
        <v>45260</v>
      </c>
      <c r="M624" s="1" t="s">
        <v>139</v>
      </c>
      <c r="N624" s="1">
        <v>-1</v>
      </c>
      <c r="O624" s="1">
        <v>75.7</v>
      </c>
      <c r="P624" s="1">
        <v>-75700</v>
      </c>
      <c r="Q624" s="1">
        <v>-2.37</v>
      </c>
      <c r="R624" s="1" t="s">
        <v>83</v>
      </c>
      <c r="T624" s="50">
        <f>IF(ISNUMBER(VLOOKUP(U624,Blotter!B:C,2,0)),VLOOKUP(U624,Blotter!B:C,2,0),"")</f>
        <v>34</v>
      </c>
      <c r="U624" s="49" t="str">
        <f t="shared" si="636"/>
        <v>CLF4</v>
      </c>
      <c r="V624" s="49">
        <f t="shared" si="637"/>
        <v>-1</v>
      </c>
      <c r="W624" s="49">
        <f t="shared" si="638"/>
        <v>75.7</v>
      </c>
      <c r="X624" s="49">
        <f t="shared" si="639"/>
        <v>-2.37</v>
      </c>
    </row>
    <row r="625" spans="1:24" x14ac:dyDescent="0.4">
      <c r="A625" s="1" t="s">
        <v>138</v>
      </c>
      <c r="B625" s="1" t="s">
        <v>83</v>
      </c>
      <c r="C625" s="1" t="s">
        <v>82</v>
      </c>
      <c r="D625" s="1" t="s">
        <v>355</v>
      </c>
      <c r="E625" s="1" t="s">
        <v>360</v>
      </c>
      <c r="F625" s="1" t="s">
        <v>93</v>
      </c>
      <c r="G625" s="1" t="s">
        <v>24</v>
      </c>
      <c r="H625" s="1">
        <v>1000</v>
      </c>
      <c r="J625" s="51">
        <v>45279</v>
      </c>
      <c r="L625" s="51">
        <v>45260</v>
      </c>
      <c r="M625" s="1" t="s">
        <v>139</v>
      </c>
      <c r="N625" s="1">
        <v>-2</v>
      </c>
      <c r="O625" s="1">
        <v>75.7</v>
      </c>
      <c r="P625" s="1">
        <v>-151400</v>
      </c>
      <c r="Q625" s="1">
        <v>-4.74</v>
      </c>
      <c r="R625" s="1" t="s">
        <v>83</v>
      </c>
      <c r="T625" s="50">
        <f>IF(ISNUMBER(VLOOKUP(U625,Blotter!B:C,2,0)),VLOOKUP(U625,Blotter!B:C,2,0),"")</f>
        <v>34</v>
      </c>
      <c r="U625" s="49" t="str">
        <f t="shared" ref="U625:U631" si="640">D625</f>
        <v>CLF4</v>
      </c>
      <c r="V625" s="49">
        <f t="shared" ref="V625:V631" si="641">N625</f>
        <v>-2</v>
      </c>
      <c r="W625" s="49">
        <f t="shared" ref="W625:W631" si="642">O625</f>
        <v>75.7</v>
      </c>
      <c r="X625" s="49">
        <f t="shared" ref="X625:X631" si="643">Q625</f>
        <v>-4.74</v>
      </c>
    </row>
    <row r="626" spans="1:24" x14ac:dyDescent="0.4">
      <c r="A626" s="1" t="s">
        <v>138</v>
      </c>
      <c r="B626" s="1" t="s">
        <v>83</v>
      </c>
      <c r="C626" s="1" t="s">
        <v>82</v>
      </c>
      <c r="D626" s="1" t="s">
        <v>356</v>
      </c>
      <c r="E626" s="1" t="s">
        <v>361</v>
      </c>
      <c r="F626" s="1" t="s">
        <v>93</v>
      </c>
      <c r="G626" s="1" t="s">
        <v>9</v>
      </c>
      <c r="H626" s="1">
        <v>42000</v>
      </c>
      <c r="J626" s="51">
        <v>45289</v>
      </c>
      <c r="L626" s="51">
        <v>45260</v>
      </c>
      <c r="M626" s="1" t="s">
        <v>135</v>
      </c>
      <c r="N626" s="1">
        <v>3</v>
      </c>
      <c r="O626" s="1">
        <v>2.25</v>
      </c>
      <c r="P626" s="1">
        <v>283500</v>
      </c>
      <c r="Q626" s="1">
        <v>-7.11</v>
      </c>
      <c r="R626" s="1" t="s">
        <v>83</v>
      </c>
      <c r="T626" s="50">
        <f>IF(ISNUMBER(VLOOKUP(U626,Blotter!B:C,2,0)),VLOOKUP(U626,Blotter!B:C,2,0),"")</f>
        <v>34</v>
      </c>
      <c r="U626" s="49" t="str">
        <f t="shared" si="640"/>
        <v>RBF4</v>
      </c>
      <c r="V626" s="49">
        <f t="shared" si="641"/>
        <v>3</v>
      </c>
      <c r="W626" s="49">
        <f t="shared" si="642"/>
        <v>2.25</v>
      </c>
      <c r="X626" s="49">
        <f t="shared" si="643"/>
        <v>-7.11</v>
      </c>
    </row>
    <row r="627" spans="1:24" x14ac:dyDescent="0.4">
      <c r="A627" s="1" t="s">
        <v>138</v>
      </c>
      <c r="B627" s="1" t="s">
        <v>83</v>
      </c>
      <c r="C627" s="1" t="s">
        <v>82</v>
      </c>
      <c r="D627" s="1" t="s">
        <v>356</v>
      </c>
      <c r="E627" s="1" t="s">
        <v>361</v>
      </c>
      <c r="F627" s="1" t="s">
        <v>93</v>
      </c>
      <c r="G627" s="1" t="s">
        <v>9</v>
      </c>
      <c r="H627" s="1">
        <v>42000</v>
      </c>
      <c r="J627" s="51">
        <v>45289</v>
      </c>
      <c r="L627" s="51">
        <v>45260</v>
      </c>
      <c r="M627" s="1" t="s">
        <v>139</v>
      </c>
      <c r="N627" s="1">
        <v>-1</v>
      </c>
      <c r="O627" s="1">
        <v>2.1800000000000002</v>
      </c>
      <c r="P627" s="1">
        <v>-91560</v>
      </c>
      <c r="Q627" s="1">
        <v>-2.37</v>
      </c>
      <c r="R627" s="1" t="s">
        <v>83</v>
      </c>
      <c r="T627" s="50">
        <f>IF(ISNUMBER(VLOOKUP(U627,Blotter!B:C,2,0)),VLOOKUP(U627,Blotter!B:C,2,0),"")</f>
        <v>34</v>
      </c>
      <c r="U627" s="49" t="str">
        <f t="shared" si="640"/>
        <v>RBF4</v>
      </c>
      <c r="V627" s="49">
        <f t="shared" si="641"/>
        <v>-1</v>
      </c>
      <c r="W627" s="49">
        <f t="shared" si="642"/>
        <v>2.1800000000000002</v>
      </c>
      <c r="X627" s="49">
        <f t="shared" si="643"/>
        <v>-2.37</v>
      </c>
    </row>
    <row r="628" spans="1:24" x14ac:dyDescent="0.4">
      <c r="A628" s="1" t="s">
        <v>138</v>
      </c>
      <c r="B628" s="1" t="s">
        <v>83</v>
      </c>
      <c r="C628" s="1" t="s">
        <v>82</v>
      </c>
      <c r="D628" s="1" t="s">
        <v>356</v>
      </c>
      <c r="E628" s="1" t="s">
        <v>361</v>
      </c>
      <c r="F628" s="1" t="s">
        <v>93</v>
      </c>
      <c r="G628" s="1" t="s">
        <v>9</v>
      </c>
      <c r="H628" s="1">
        <v>42000</v>
      </c>
      <c r="J628" s="51">
        <v>45289</v>
      </c>
      <c r="L628" s="51">
        <v>45260</v>
      </c>
      <c r="M628" s="1" t="s">
        <v>139</v>
      </c>
      <c r="N628" s="1">
        <v>-1</v>
      </c>
      <c r="O628" s="1">
        <v>2.1800000000000002</v>
      </c>
      <c r="P628" s="1">
        <v>-91560</v>
      </c>
      <c r="Q628" s="1">
        <v>-2.37</v>
      </c>
      <c r="R628" s="1" t="s">
        <v>83</v>
      </c>
      <c r="T628" s="50">
        <f>IF(ISNUMBER(VLOOKUP(U628,Blotter!B:C,2,0)),VLOOKUP(U628,Blotter!B:C,2,0),"")</f>
        <v>34</v>
      </c>
      <c r="U628" s="49" t="str">
        <f t="shared" si="640"/>
        <v>RBF4</v>
      </c>
      <c r="V628" s="49">
        <f t="shared" si="641"/>
        <v>-1</v>
      </c>
      <c r="W628" s="49">
        <f t="shared" si="642"/>
        <v>2.1800000000000002</v>
      </c>
      <c r="X628" s="49">
        <f t="shared" si="643"/>
        <v>-2.37</v>
      </c>
    </row>
    <row r="629" spans="1:24" x14ac:dyDescent="0.4">
      <c r="A629" s="1" t="s">
        <v>138</v>
      </c>
      <c r="B629" s="1" t="s">
        <v>83</v>
      </c>
      <c r="C629" s="1" t="s">
        <v>82</v>
      </c>
      <c r="D629" s="1" t="s">
        <v>356</v>
      </c>
      <c r="E629" s="1" t="s">
        <v>361</v>
      </c>
      <c r="F629" s="1" t="s">
        <v>93</v>
      </c>
      <c r="G629" s="1" t="s">
        <v>9</v>
      </c>
      <c r="H629" s="1">
        <v>42000</v>
      </c>
      <c r="J629" s="51">
        <v>45289</v>
      </c>
      <c r="L629" s="51">
        <v>45260</v>
      </c>
      <c r="M629" s="1" t="s">
        <v>139</v>
      </c>
      <c r="N629" s="1">
        <v>-1</v>
      </c>
      <c r="O629" s="1">
        <v>2.1800000000000002</v>
      </c>
      <c r="P629" s="1">
        <v>-91560</v>
      </c>
      <c r="Q629" s="1">
        <v>-2.37</v>
      </c>
      <c r="R629" s="1" t="s">
        <v>83</v>
      </c>
      <c r="T629" s="50">
        <f>IF(ISNUMBER(VLOOKUP(U629,Blotter!B:C,2,0)),VLOOKUP(U629,Blotter!B:C,2,0),"")</f>
        <v>34</v>
      </c>
      <c r="U629" s="49" t="str">
        <f t="shared" si="640"/>
        <v>RBF4</v>
      </c>
      <c r="V629" s="49">
        <f t="shared" si="641"/>
        <v>-1</v>
      </c>
      <c r="W629" s="49">
        <f t="shared" si="642"/>
        <v>2.1800000000000002</v>
      </c>
      <c r="X629" s="49">
        <f t="shared" si="643"/>
        <v>-2.37</v>
      </c>
    </row>
    <row r="630" spans="1:24" x14ac:dyDescent="0.4">
      <c r="A630" s="1" t="s">
        <v>138</v>
      </c>
      <c r="B630" s="1" t="s">
        <v>83</v>
      </c>
      <c r="C630" s="1" t="s">
        <v>86</v>
      </c>
      <c r="D630" s="1" t="s">
        <v>313</v>
      </c>
      <c r="E630" s="1" t="s">
        <v>321</v>
      </c>
      <c r="F630" s="1" t="s">
        <v>100</v>
      </c>
      <c r="G630" s="1" t="s">
        <v>322</v>
      </c>
      <c r="H630" s="1">
        <v>37500</v>
      </c>
      <c r="I630" s="1">
        <v>1.65</v>
      </c>
      <c r="J630" s="51">
        <v>45268</v>
      </c>
      <c r="K630" s="1" t="s">
        <v>57</v>
      </c>
      <c r="L630" s="51">
        <v>45260</v>
      </c>
      <c r="M630" s="1" t="s">
        <v>139</v>
      </c>
      <c r="N630" s="1">
        <v>-5</v>
      </c>
      <c r="O630" s="59">
        <v>14</v>
      </c>
      <c r="P630" s="1">
        <v>-26250</v>
      </c>
      <c r="Q630" s="1">
        <v>-14.85</v>
      </c>
      <c r="R630" s="1" t="s">
        <v>83</v>
      </c>
      <c r="T630" s="50">
        <f>IF(ISNUMBER(VLOOKUP(U630,Blotter!B:C,2,0)),VLOOKUP(U630,Blotter!B:C,2,0),"")</f>
        <v>28</v>
      </c>
      <c r="U630" s="49" t="str">
        <f t="shared" si="640"/>
        <v>KOF4 C1.65</v>
      </c>
      <c r="V630" s="49">
        <f t="shared" si="641"/>
        <v>-5</v>
      </c>
      <c r="W630" s="49">
        <f t="shared" si="642"/>
        <v>14</v>
      </c>
      <c r="X630" s="49">
        <f t="shared" si="643"/>
        <v>-14.85</v>
      </c>
    </row>
    <row r="631" spans="1:24" x14ac:dyDescent="0.4">
      <c r="A631" s="1" t="s">
        <v>138</v>
      </c>
      <c r="B631" s="1" t="s">
        <v>83</v>
      </c>
      <c r="C631" s="1" t="s">
        <v>86</v>
      </c>
      <c r="D631" s="1" t="s">
        <v>313</v>
      </c>
      <c r="E631" s="1" t="s">
        <v>321</v>
      </c>
      <c r="F631" s="1" t="s">
        <v>100</v>
      </c>
      <c r="G631" s="1" t="s">
        <v>322</v>
      </c>
      <c r="H631" s="1">
        <v>37500</v>
      </c>
      <c r="I631" s="1">
        <v>1.65</v>
      </c>
      <c r="J631" s="51">
        <v>45268</v>
      </c>
      <c r="K631" s="1" t="s">
        <v>57</v>
      </c>
      <c r="L631" s="51">
        <v>45260</v>
      </c>
      <c r="M631" s="1" t="s">
        <v>139</v>
      </c>
      <c r="N631" s="1">
        <v>-5</v>
      </c>
      <c r="O631" s="59">
        <v>19</v>
      </c>
      <c r="P631" s="1">
        <v>-35625</v>
      </c>
      <c r="Q631" s="1">
        <v>-14.85</v>
      </c>
      <c r="R631" s="1" t="s">
        <v>83</v>
      </c>
      <c r="T631" s="50">
        <f>IF(ISNUMBER(VLOOKUP(U631,Blotter!B:C,2,0)),VLOOKUP(U631,Blotter!B:C,2,0),"")</f>
        <v>28</v>
      </c>
      <c r="U631" s="49" t="str">
        <f t="shared" si="640"/>
        <v>KOF4 C1.65</v>
      </c>
      <c r="V631" s="49">
        <f t="shared" si="641"/>
        <v>-5</v>
      </c>
      <c r="W631" s="49">
        <f t="shared" si="642"/>
        <v>19</v>
      </c>
      <c r="X631" s="49">
        <f t="shared" si="643"/>
        <v>-14.85</v>
      </c>
    </row>
    <row r="632" spans="1:24" x14ac:dyDescent="0.4">
      <c r="A632" s="1" t="s">
        <v>138</v>
      </c>
      <c r="B632" s="1" t="s">
        <v>83</v>
      </c>
      <c r="C632" s="1" t="s">
        <v>86</v>
      </c>
      <c r="D632" s="1" t="s">
        <v>314</v>
      </c>
      <c r="E632" s="1" t="s">
        <v>323</v>
      </c>
      <c r="F632" s="1" t="s">
        <v>100</v>
      </c>
      <c r="G632" s="1" t="s">
        <v>322</v>
      </c>
      <c r="H632" s="1">
        <v>37500</v>
      </c>
      <c r="I632" s="1">
        <v>1.75</v>
      </c>
      <c r="J632" s="51">
        <v>45268</v>
      </c>
      <c r="K632" s="1" t="s">
        <v>57</v>
      </c>
      <c r="L632" s="51">
        <v>45261</v>
      </c>
      <c r="M632" s="1" t="s">
        <v>135</v>
      </c>
      <c r="N632" s="1">
        <v>3</v>
      </c>
      <c r="O632" s="59">
        <v>9</v>
      </c>
      <c r="P632" s="1">
        <v>10125</v>
      </c>
      <c r="Q632" s="1">
        <v>-8.91</v>
      </c>
      <c r="R632" s="1" t="s">
        <v>83</v>
      </c>
      <c r="T632" s="50">
        <f>IF(ISNUMBER(VLOOKUP(U632,Blotter!B:C,2,0)),VLOOKUP(U632,Blotter!B:C,2,0),"")</f>
        <v>28</v>
      </c>
      <c r="U632" s="49" t="str">
        <f t="shared" ref="U632:U633" si="644">D632</f>
        <v>KOF4 C1.75</v>
      </c>
      <c r="V632" s="49">
        <f t="shared" ref="V632:V633" si="645">N632</f>
        <v>3</v>
      </c>
      <c r="W632" s="49">
        <f t="shared" ref="W632:W633" si="646">O632</f>
        <v>9</v>
      </c>
      <c r="X632" s="49">
        <f t="shared" ref="X632:X633" si="647">Q632</f>
        <v>-8.91</v>
      </c>
    </row>
    <row r="633" spans="1:24" x14ac:dyDescent="0.4">
      <c r="A633" s="1" t="s">
        <v>138</v>
      </c>
      <c r="B633" s="1" t="s">
        <v>83</v>
      </c>
      <c r="C633" s="1" t="s">
        <v>86</v>
      </c>
      <c r="D633" s="1" t="s">
        <v>314</v>
      </c>
      <c r="E633" s="1" t="s">
        <v>323</v>
      </c>
      <c r="F633" s="1" t="s">
        <v>100</v>
      </c>
      <c r="G633" s="1" t="s">
        <v>322</v>
      </c>
      <c r="H633" s="1">
        <v>37500</v>
      </c>
      <c r="I633" s="1">
        <v>1.75</v>
      </c>
      <c r="J633" s="51">
        <v>45268</v>
      </c>
      <c r="K633" s="1" t="s">
        <v>57</v>
      </c>
      <c r="L633" s="51">
        <v>45261</v>
      </c>
      <c r="M633" s="1" t="s">
        <v>135</v>
      </c>
      <c r="N633" s="1">
        <v>2</v>
      </c>
      <c r="O633" s="59">
        <v>9</v>
      </c>
      <c r="P633" s="1">
        <v>6750</v>
      </c>
      <c r="Q633" s="1">
        <v>-5.94</v>
      </c>
      <c r="R633" s="1" t="s">
        <v>83</v>
      </c>
      <c r="T633" s="50">
        <f>IF(ISNUMBER(VLOOKUP(U633,Blotter!B:C,2,0)),VLOOKUP(U633,Blotter!B:C,2,0),"")</f>
        <v>28</v>
      </c>
      <c r="U633" s="49" t="str">
        <f t="shared" si="644"/>
        <v>KOF4 C1.75</v>
      </c>
      <c r="V633" s="49">
        <f t="shared" si="645"/>
        <v>2</v>
      </c>
      <c r="W633" s="49">
        <f t="shared" si="646"/>
        <v>9</v>
      </c>
      <c r="X633" s="49">
        <f t="shared" si="647"/>
        <v>-5.94</v>
      </c>
    </row>
    <row r="634" spans="1:24" x14ac:dyDescent="0.4">
      <c r="A634" s="1" t="s">
        <v>138</v>
      </c>
      <c r="B634" s="1" t="s">
        <v>83</v>
      </c>
      <c r="C634" s="1" t="s">
        <v>86</v>
      </c>
      <c r="D634" s="1" t="s">
        <v>314</v>
      </c>
      <c r="E634" s="1" t="s">
        <v>323</v>
      </c>
      <c r="F634" s="1" t="s">
        <v>100</v>
      </c>
      <c r="G634" s="1" t="s">
        <v>322</v>
      </c>
      <c r="H634" s="1">
        <v>37500</v>
      </c>
      <c r="I634" s="1">
        <v>1.75</v>
      </c>
      <c r="J634" s="51">
        <v>45268</v>
      </c>
      <c r="K634" s="1" t="s">
        <v>57</v>
      </c>
      <c r="L634" s="51">
        <v>45264</v>
      </c>
      <c r="M634" s="1" t="s">
        <v>135</v>
      </c>
      <c r="N634" s="1">
        <v>1</v>
      </c>
      <c r="O634" s="59">
        <v>6</v>
      </c>
      <c r="P634" s="1">
        <v>2250</v>
      </c>
      <c r="Q634" s="1">
        <v>-2.97</v>
      </c>
      <c r="R634" s="1" t="s">
        <v>83</v>
      </c>
      <c r="T634" s="50">
        <f>IF(ISNUMBER(VLOOKUP(U634,Blotter!B:C,2,0)),VLOOKUP(U634,Blotter!B:C,2,0),"")</f>
        <v>28</v>
      </c>
      <c r="U634" s="49" t="str">
        <f t="shared" ref="U634:U637" si="648">D634</f>
        <v>KOF4 C1.75</v>
      </c>
      <c r="V634" s="49">
        <f t="shared" ref="V634:V637" si="649">N634</f>
        <v>1</v>
      </c>
      <c r="W634" s="49">
        <f t="shared" ref="W634:W637" si="650">O634</f>
        <v>6</v>
      </c>
      <c r="X634" s="49">
        <f t="shared" ref="X634:X637" si="651">Q634</f>
        <v>-2.97</v>
      </c>
    </row>
    <row r="635" spans="1:24" x14ac:dyDescent="0.4">
      <c r="A635" s="1" t="s">
        <v>138</v>
      </c>
      <c r="B635" s="1" t="s">
        <v>83</v>
      </c>
      <c r="C635" s="1" t="s">
        <v>86</v>
      </c>
      <c r="D635" s="1" t="s">
        <v>314</v>
      </c>
      <c r="E635" s="1" t="s">
        <v>323</v>
      </c>
      <c r="F635" s="1" t="s">
        <v>100</v>
      </c>
      <c r="G635" s="1" t="s">
        <v>322</v>
      </c>
      <c r="H635" s="1">
        <v>37500</v>
      </c>
      <c r="I635" s="1">
        <v>1.75</v>
      </c>
      <c r="J635" s="51">
        <v>45268</v>
      </c>
      <c r="K635" s="1" t="s">
        <v>57</v>
      </c>
      <c r="L635" s="51">
        <v>45264</v>
      </c>
      <c r="M635" s="1" t="s">
        <v>135</v>
      </c>
      <c r="N635" s="1">
        <v>2</v>
      </c>
      <c r="O635" s="59">
        <v>6</v>
      </c>
      <c r="P635" s="1">
        <v>4500</v>
      </c>
      <c r="Q635" s="1">
        <v>-5.94</v>
      </c>
      <c r="R635" s="1" t="s">
        <v>83</v>
      </c>
      <c r="T635" s="50">
        <f>IF(ISNUMBER(VLOOKUP(U635,Blotter!B:C,2,0)),VLOOKUP(U635,Blotter!B:C,2,0),"")</f>
        <v>28</v>
      </c>
      <c r="U635" s="49" t="str">
        <f t="shared" si="648"/>
        <v>KOF4 C1.75</v>
      </c>
      <c r="V635" s="49">
        <f t="shared" si="649"/>
        <v>2</v>
      </c>
      <c r="W635" s="49">
        <f t="shared" si="650"/>
        <v>6</v>
      </c>
      <c r="X635" s="49">
        <f t="shared" si="651"/>
        <v>-5.94</v>
      </c>
    </row>
    <row r="636" spans="1:24" x14ac:dyDescent="0.4">
      <c r="A636" s="1" t="s">
        <v>138</v>
      </c>
      <c r="B636" s="1" t="s">
        <v>83</v>
      </c>
      <c r="C636" s="1" t="s">
        <v>86</v>
      </c>
      <c r="D636" s="1" t="s">
        <v>314</v>
      </c>
      <c r="E636" s="1" t="s">
        <v>323</v>
      </c>
      <c r="F636" s="1" t="s">
        <v>100</v>
      </c>
      <c r="G636" s="1" t="s">
        <v>322</v>
      </c>
      <c r="H636" s="1">
        <v>37500</v>
      </c>
      <c r="I636" s="1">
        <v>1.75</v>
      </c>
      <c r="J636" s="51">
        <v>45268</v>
      </c>
      <c r="K636" s="1" t="s">
        <v>57</v>
      </c>
      <c r="L636" s="51">
        <v>45264</v>
      </c>
      <c r="M636" s="1" t="s">
        <v>135</v>
      </c>
      <c r="N636" s="1">
        <v>1</v>
      </c>
      <c r="O636" s="59">
        <v>6</v>
      </c>
      <c r="P636" s="1">
        <v>2250</v>
      </c>
      <c r="Q636" s="1">
        <v>-2.97</v>
      </c>
      <c r="R636" s="1" t="s">
        <v>83</v>
      </c>
      <c r="T636" s="50">
        <f>IF(ISNUMBER(VLOOKUP(U636,Blotter!B:C,2,0)),VLOOKUP(U636,Blotter!B:C,2,0),"")</f>
        <v>28</v>
      </c>
      <c r="U636" s="49" t="str">
        <f t="shared" si="648"/>
        <v>KOF4 C1.75</v>
      </c>
      <c r="V636" s="49">
        <f t="shared" si="649"/>
        <v>1</v>
      </c>
      <c r="W636" s="49">
        <f t="shared" si="650"/>
        <v>6</v>
      </c>
      <c r="X636" s="49">
        <f t="shared" si="651"/>
        <v>-2.97</v>
      </c>
    </row>
    <row r="637" spans="1:24" x14ac:dyDescent="0.4">
      <c r="A637" s="1" t="s">
        <v>138</v>
      </c>
      <c r="B637" s="1" t="s">
        <v>83</v>
      </c>
      <c r="C637" s="1" t="s">
        <v>86</v>
      </c>
      <c r="D637" s="1" t="s">
        <v>314</v>
      </c>
      <c r="E637" s="1" t="s">
        <v>323</v>
      </c>
      <c r="F637" s="1" t="s">
        <v>100</v>
      </c>
      <c r="G637" s="1" t="s">
        <v>322</v>
      </c>
      <c r="H637" s="1">
        <v>37500</v>
      </c>
      <c r="I637" s="1">
        <v>1.75</v>
      </c>
      <c r="J637" s="51">
        <v>45268</v>
      </c>
      <c r="K637" s="1" t="s">
        <v>57</v>
      </c>
      <c r="L637" s="51">
        <v>45264</v>
      </c>
      <c r="M637" s="1" t="s">
        <v>135</v>
      </c>
      <c r="N637" s="1">
        <v>1</v>
      </c>
      <c r="O637" s="59">
        <v>6</v>
      </c>
      <c r="P637" s="1">
        <v>2250</v>
      </c>
      <c r="Q637" s="1">
        <v>-2.97</v>
      </c>
      <c r="R637" s="1" t="s">
        <v>83</v>
      </c>
      <c r="T637" s="50">
        <f>IF(ISNUMBER(VLOOKUP(U637,Blotter!B:C,2,0)),VLOOKUP(U637,Blotter!B:C,2,0),"")</f>
        <v>28</v>
      </c>
      <c r="U637" s="49" t="str">
        <f t="shared" si="648"/>
        <v>KOF4 C1.75</v>
      </c>
      <c r="V637" s="49">
        <f t="shared" si="649"/>
        <v>1</v>
      </c>
      <c r="W637" s="49">
        <f t="shared" si="650"/>
        <v>6</v>
      </c>
      <c r="X637" s="49">
        <f t="shared" si="651"/>
        <v>-2.97</v>
      </c>
    </row>
    <row r="638" spans="1:24" x14ac:dyDescent="0.4">
      <c r="A638" s="1" t="s">
        <v>138</v>
      </c>
      <c r="B638" s="1" t="s">
        <v>83</v>
      </c>
      <c r="C638" s="1" t="s">
        <v>87</v>
      </c>
      <c r="D638" s="1" t="s">
        <v>196</v>
      </c>
      <c r="E638" s="1" t="s">
        <v>197</v>
      </c>
      <c r="F638" s="1" t="s">
        <v>129</v>
      </c>
      <c r="G638" s="1" t="s">
        <v>195</v>
      </c>
      <c r="H638" s="1">
        <v>100</v>
      </c>
      <c r="I638" s="1">
        <v>44</v>
      </c>
      <c r="J638" s="51">
        <v>45275</v>
      </c>
      <c r="K638" s="1" t="s">
        <v>57</v>
      </c>
      <c r="L638" s="51">
        <v>45265</v>
      </c>
      <c r="M638" s="1" t="s">
        <v>139</v>
      </c>
      <c r="N638" s="1">
        <v>-35</v>
      </c>
      <c r="O638" s="1">
        <v>3.2</v>
      </c>
      <c r="P638" s="1">
        <v>-11200</v>
      </c>
      <c r="Q638" s="1">
        <v>1.9512499999999999</v>
      </c>
      <c r="R638" s="1" t="s">
        <v>83</v>
      </c>
      <c r="T638" s="50">
        <f>IF(ISNUMBER(VLOOKUP(U638,Blotter!B:C,2,0)),VLOOKUP(U638,Blotter!B:C,2,0),"")</f>
        <v>9</v>
      </c>
      <c r="U638" s="49" t="str">
        <f t="shared" ref="U638" si="652">D638</f>
        <v>INDA  231215C00044000</v>
      </c>
      <c r="V638" s="49">
        <f t="shared" ref="V638" si="653">N638</f>
        <v>-35</v>
      </c>
      <c r="W638" s="49">
        <f t="shared" ref="W638" si="654">O638</f>
        <v>3.2</v>
      </c>
      <c r="X638" s="49">
        <f t="shared" ref="X638" si="655">Q638</f>
        <v>1.9512499999999999</v>
      </c>
    </row>
    <row r="639" spans="1:24" x14ac:dyDescent="0.4">
      <c r="A639" s="1" t="s">
        <v>138</v>
      </c>
      <c r="B639" s="1" t="s">
        <v>83</v>
      </c>
      <c r="C639" s="1" t="s">
        <v>87</v>
      </c>
      <c r="D639" s="1" t="s">
        <v>364</v>
      </c>
      <c r="E639" s="1" t="s">
        <v>365</v>
      </c>
      <c r="F639" s="1" t="s">
        <v>129</v>
      </c>
      <c r="G639" s="1" t="s">
        <v>362</v>
      </c>
      <c r="H639" s="1">
        <v>100</v>
      </c>
      <c r="I639" s="1">
        <v>17.5</v>
      </c>
      <c r="J639" s="51">
        <v>45310</v>
      </c>
      <c r="K639" s="1" t="s">
        <v>57</v>
      </c>
      <c r="L639" s="51">
        <v>45268</v>
      </c>
      <c r="M639" s="1" t="s">
        <v>135</v>
      </c>
      <c r="N639" s="1">
        <v>8</v>
      </c>
      <c r="O639" s="1">
        <v>2.74</v>
      </c>
      <c r="P639" s="1">
        <v>2192</v>
      </c>
      <c r="Q639" s="1">
        <v>-5.5140000000000002</v>
      </c>
      <c r="R639" s="1" t="s">
        <v>83</v>
      </c>
      <c r="T639" s="50">
        <f>IF(ISNUMBER(VLOOKUP(U639,Blotter!B:C,2,0)),VLOOKUP(U639,Blotter!B:C,2,0),"")</f>
        <v>35</v>
      </c>
      <c r="U639" s="49" t="str">
        <f t="shared" ref="U639:U640" si="656">D639</f>
        <v>SAVE  240119C00017500</v>
      </c>
      <c r="V639" s="49">
        <f t="shared" ref="V639:V640" si="657">N639</f>
        <v>8</v>
      </c>
      <c r="W639" s="49">
        <f t="shared" ref="W639:W640" si="658">O639</f>
        <v>2.74</v>
      </c>
      <c r="X639" s="49">
        <f t="shared" ref="X639:X640" si="659">Q639</f>
        <v>-5.5140000000000002</v>
      </c>
    </row>
    <row r="640" spans="1:24" x14ac:dyDescent="0.4">
      <c r="A640" s="1" t="s">
        <v>138</v>
      </c>
      <c r="B640" s="1" t="s">
        <v>83</v>
      </c>
      <c r="C640" s="1" t="s">
        <v>87</v>
      </c>
      <c r="D640" s="1" t="s">
        <v>364</v>
      </c>
      <c r="E640" s="1" t="s">
        <v>365</v>
      </c>
      <c r="F640" s="1" t="s">
        <v>129</v>
      </c>
      <c r="G640" s="1" t="s">
        <v>362</v>
      </c>
      <c r="H640" s="1">
        <v>100</v>
      </c>
      <c r="I640" s="1">
        <v>17.5</v>
      </c>
      <c r="J640" s="51">
        <v>45310</v>
      </c>
      <c r="K640" s="1" t="s">
        <v>57</v>
      </c>
      <c r="L640" s="51">
        <v>45268</v>
      </c>
      <c r="M640" s="1" t="s">
        <v>135</v>
      </c>
      <c r="N640" s="1">
        <v>7</v>
      </c>
      <c r="O640" s="1">
        <v>2.74</v>
      </c>
      <c r="P640" s="1">
        <v>1918</v>
      </c>
      <c r="Q640" s="1">
        <v>-4.8247499999999999</v>
      </c>
      <c r="R640" s="1" t="s">
        <v>83</v>
      </c>
      <c r="T640" s="50">
        <f>IF(ISNUMBER(VLOOKUP(U640,Blotter!B:C,2,0)),VLOOKUP(U640,Blotter!B:C,2,0),"")</f>
        <v>35</v>
      </c>
      <c r="U640" s="49" t="str">
        <f t="shared" si="656"/>
        <v>SAVE  240119C00017500</v>
      </c>
      <c r="V640" s="49">
        <f t="shared" si="657"/>
        <v>7</v>
      </c>
      <c r="W640" s="49">
        <f t="shared" si="658"/>
        <v>2.74</v>
      </c>
      <c r="X640" s="49">
        <f t="shared" si="659"/>
        <v>-4.8247499999999999</v>
      </c>
    </row>
    <row r="641" spans="1:24" x14ac:dyDescent="0.4">
      <c r="A641" s="1" t="s">
        <v>138</v>
      </c>
      <c r="B641" s="1" t="s">
        <v>83</v>
      </c>
      <c r="C641" s="1" t="s">
        <v>87</v>
      </c>
      <c r="D641" s="1" t="s">
        <v>364</v>
      </c>
      <c r="E641" s="1" t="s">
        <v>365</v>
      </c>
      <c r="F641" s="1" t="s">
        <v>129</v>
      </c>
      <c r="G641" s="1" t="s">
        <v>362</v>
      </c>
      <c r="H641" s="1">
        <v>100</v>
      </c>
      <c r="I641" s="1">
        <v>17.5</v>
      </c>
      <c r="J641" s="51">
        <v>45310</v>
      </c>
      <c r="K641" s="1" t="s">
        <v>57</v>
      </c>
      <c r="L641" s="51">
        <v>45268</v>
      </c>
      <c r="M641" s="1" t="s">
        <v>135</v>
      </c>
      <c r="N641" s="1">
        <v>6</v>
      </c>
      <c r="O641" s="1">
        <v>2.76</v>
      </c>
      <c r="P641" s="1">
        <v>1656</v>
      </c>
      <c r="Q641" s="1">
        <v>-4.1355000000000004</v>
      </c>
      <c r="R641" s="1" t="s">
        <v>83</v>
      </c>
      <c r="T641" s="50">
        <f>IF(ISNUMBER(VLOOKUP(U641,Blotter!B:C,2,0)),VLOOKUP(U641,Blotter!B:C,2,0),"")</f>
        <v>35</v>
      </c>
      <c r="U641" s="49" t="str">
        <f t="shared" ref="U641:U665" si="660">D641</f>
        <v>SAVE  240119C00017500</v>
      </c>
      <c r="V641" s="49">
        <f t="shared" ref="V641:V665" si="661">N641</f>
        <v>6</v>
      </c>
      <c r="W641" s="49">
        <f t="shared" ref="W641:W665" si="662">O641</f>
        <v>2.76</v>
      </c>
      <c r="X641" s="49">
        <f t="shared" ref="X641:X665" si="663">Q641</f>
        <v>-4.1355000000000004</v>
      </c>
    </row>
    <row r="642" spans="1:24" x14ac:dyDescent="0.4">
      <c r="A642" s="1" t="s">
        <v>138</v>
      </c>
      <c r="B642" s="1" t="s">
        <v>83</v>
      </c>
      <c r="C642" s="1" t="s">
        <v>87</v>
      </c>
      <c r="D642" s="1" t="s">
        <v>364</v>
      </c>
      <c r="E642" s="1" t="s">
        <v>365</v>
      </c>
      <c r="F642" s="1" t="s">
        <v>129</v>
      </c>
      <c r="G642" s="1" t="s">
        <v>362</v>
      </c>
      <c r="H642" s="1">
        <v>100</v>
      </c>
      <c r="I642" s="1">
        <v>17.5</v>
      </c>
      <c r="J642" s="51">
        <v>45310</v>
      </c>
      <c r="K642" s="1" t="s">
        <v>57</v>
      </c>
      <c r="L642" s="51">
        <v>45268</v>
      </c>
      <c r="M642" s="1" t="s">
        <v>135</v>
      </c>
      <c r="N642" s="1">
        <v>5</v>
      </c>
      <c r="O642" s="1">
        <v>2.8</v>
      </c>
      <c r="P642" s="1">
        <v>1400</v>
      </c>
      <c r="Q642" s="1">
        <v>-3.44625</v>
      </c>
      <c r="R642" s="1" t="s">
        <v>83</v>
      </c>
      <c r="T642" s="50">
        <f>IF(ISNUMBER(VLOOKUP(U642,Blotter!B:C,2,0)),VLOOKUP(U642,Blotter!B:C,2,0),"")</f>
        <v>35</v>
      </c>
      <c r="U642" s="49" t="str">
        <f t="shared" si="660"/>
        <v>SAVE  240119C00017500</v>
      </c>
      <c r="V642" s="49">
        <f t="shared" si="661"/>
        <v>5</v>
      </c>
      <c r="W642" s="49">
        <f t="shared" si="662"/>
        <v>2.8</v>
      </c>
      <c r="X642" s="49">
        <f t="shared" si="663"/>
        <v>-3.44625</v>
      </c>
    </row>
    <row r="643" spans="1:24" x14ac:dyDescent="0.4">
      <c r="A643" s="1" t="s">
        <v>138</v>
      </c>
      <c r="B643" s="1" t="s">
        <v>83</v>
      </c>
      <c r="C643" s="1" t="s">
        <v>87</v>
      </c>
      <c r="D643" s="1" t="s">
        <v>364</v>
      </c>
      <c r="E643" s="1" t="s">
        <v>365</v>
      </c>
      <c r="F643" s="1" t="s">
        <v>129</v>
      </c>
      <c r="G643" s="1" t="s">
        <v>362</v>
      </c>
      <c r="H643" s="1">
        <v>100</v>
      </c>
      <c r="I643" s="1">
        <v>17.5</v>
      </c>
      <c r="J643" s="51">
        <v>45310</v>
      </c>
      <c r="K643" s="1" t="s">
        <v>57</v>
      </c>
      <c r="L643" s="51">
        <v>45268</v>
      </c>
      <c r="M643" s="1" t="s">
        <v>135</v>
      </c>
      <c r="N643" s="1">
        <v>6</v>
      </c>
      <c r="O643" s="1">
        <v>2.75</v>
      </c>
      <c r="P643" s="1">
        <v>1650</v>
      </c>
      <c r="Q643" s="1">
        <v>-2.0354999999999999</v>
      </c>
      <c r="R643" s="1" t="s">
        <v>83</v>
      </c>
      <c r="T643" s="50">
        <f>IF(ISNUMBER(VLOOKUP(U643,Blotter!B:C,2,0)),VLOOKUP(U643,Blotter!B:C,2,0),"")</f>
        <v>35</v>
      </c>
      <c r="U643" s="49" t="str">
        <f t="shared" si="660"/>
        <v>SAVE  240119C00017500</v>
      </c>
      <c r="V643" s="49">
        <f t="shared" si="661"/>
        <v>6</v>
      </c>
      <c r="W643" s="49">
        <f t="shared" si="662"/>
        <v>2.75</v>
      </c>
      <c r="X643" s="49">
        <f t="shared" si="663"/>
        <v>-2.0354999999999999</v>
      </c>
    </row>
    <row r="644" spans="1:24" x14ac:dyDescent="0.4">
      <c r="A644" s="1" t="s">
        <v>138</v>
      </c>
      <c r="B644" s="1" t="s">
        <v>83</v>
      </c>
      <c r="C644" s="1" t="s">
        <v>87</v>
      </c>
      <c r="D644" s="1" t="s">
        <v>364</v>
      </c>
      <c r="E644" s="1" t="s">
        <v>365</v>
      </c>
      <c r="F644" s="1" t="s">
        <v>129</v>
      </c>
      <c r="G644" s="1" t="s">
        <v>362</v>
      </c>
      <c r="H644" s="1">
        <v>100</v>
      </c>
      <c r="I644" s="1">
        <v>17.5</v>
      </c>
      <c r="J644" s="51">
        <v>45310</v>
      </c>
      <c r="K644" s="1" t="s">
        <v>57</v>
      </c>
      <c r="L644" s="51">
        <v>45268</v>
      </c>
      <c r="M644" s="1" t="s">
        <v>135</v>
      </c>
      <c r="N644" s="1">
        <v>4</v>
      </c>
      <c r="O644" s="1">
        <v>2.72</v>
      </c>
      <c r="P644" s="1">
        <v>1088</v>
      </c>
      <c r="Q644" s="1">
        <v>-2.7570000000000001</v>
      </c>
      <c r="R644" s="1" t="s">
        <v>83</v>
      </c>
      <c r="T644" s="50">
        <f>IF(ISNUMBER(VLOOKUP(U644,Blotter!B:C,2,0)),VLOOKUP(U644,Blotter!B:C,2,0),"")</f>
        <v>35</v>
      </c>
      <c r="U644" s="49" t="str">
        <f t="shared" si="660"/>
        <v>SAVE  240119C00017500</v>
      </c>
      <c r="V644" s="49">
        <f t="shared" si="661"/>
        <v>4</v>
      </c>
      <c r="W644" s="49">
        <f t="shared" si="662"/>
        <v>2.72</v>
      </c>
      <c r="X644" s="49">
        <f t="shared" si="663"/>
        <v>-2.7570000000000001</v>
      </c>
    </row>
    <row r="645" spans="1:24" x14ac:dyDescent="0.4">
      <c r="A645" s="1" t="s">
        <v>138</v>
      </c>
      <c r="B645" s="1" t="s">
        <v>83</v>
      </c>
      <c r="C645" s="1" t="s">
        <v>87</v>
      </c>
      <c r="D645" s="1" t="s">
        <v>364</v>
      </c>
      <c r="E645" s="1" t="s">
        <v>365</v>
      </c>
      <c r="F645" s="1" t="s">
        <v>129</v>
      </c>
      <c r="G645" s="1" t="s">
        <v>362</v>
      </c>
      <c r="H645" s="1">
        <v>100</v>
      </c>
      <c r="I645" s="1">
        <v>17.5</v>
      </c>
      <c r="J645" s="51">
        <v>45310</v>
      </c>
      <c r="K645" s="1" t="s">
        <v>57</v>
      </c>
      <c r="L645" s="51">
        <v>45268</v>
      </c>
      <c r="M645" s="1" t="s">
        <v>135</v>
      </c>
      <c r="N645" s="1">
        <v>12</v>
      </c>
      <c r="O645" s="1">
        <v>2.76</v>
      </c>
      <c r="P645" s="1">
        <v>3312</v>
      </c>
      <c r="Q645" s="1">
        <v>-3.5910000000000002</v>
      </c>
      <c r="R645" s="1" t="s">
        <v>83</v>
      </c>
      <c r="T645" s="50">
        <f>IF(ISNUMBER(VLOOKUP(U645,Blotter!B:C,2,0)),VLOOKUP(U645,Blotter!B:C,2,0),"")</f>
        <v>35</v>
      </c>
      <c r="U645" s="49" t="str">
        <f t="shared" si="660"/>
        <v>SAVE  240119C00017500</v>
      </c>
      <c r="V645" s="49">
        <f t="shared" si="661"/>
        <v>12</v>
      </c>
      <c r="W645" s="49">
        <f t="shared" si="662"/>
        <v>2.76</v>
      </c>
      <c r="X645" s="49">
        <f t="shared" si="663"/>
        <v>-3.5910000000000002</v>
      </c>
    </row>
    <row r="646" spans="1:24" x14ac:dyDescent="0.4">
      <c r="A646" s="1" t="s">
        <v>138</v>
      </c>
      <c r="B646" s="1" t="s">
        <v>83</v>
      </c>
      <c r="C646" s="1" t="s">
        <v>87</v>
      </c>
      <c r="D646" s="1" t="s">
        <v>364</v>
      </c>
      <c r="E646" s="1" t="s">
        <v>365</v>
      </c>
      <c r="F646" s="1" t="s">
        <v>129</v>
      </c>
      <c r="G646" s="1" t="s">
        <v>362</v>
      </c>
      <c r="H646" s="1">
        <v>100</v>
      </c>
      <c r="I646" s="1">
        <v>17.5</v>
      </c>
      <c r="J646" s="51">
        <v>45310</v>
      </c>
      <c r="K646" s="1" t="s">
        <v>57</v>
      </c>
      <c r="L646" s="51">
        <v>45268</v>
      </c>
      <c r="M646" s="1" t="s">
        <v>135</v>
      </c>
      <c r="N646" s="1">
        <v>9</v>
      </c>
      <c r="O646" s="1">
        <v>2.76</v>
      </c>
      <c r="P646" s="1">
        <v>2484</v>
      </c>
      <c r="Q646" s="1">
        <v>-3.0532499999999998</v>
      </c>
      <c r="R646" s="1" t="s">
        <v>83</v>
      </c>
      <c r="T646" s="50">
        <f>IF(ISNUMBER(VLOOKUP(U646,Blotter!B:C,2,0)),VLOOKUP(U646,Blotter!B:C,2,0),"")</f>
        <v>35</v>
      </c>
      <c r="U646" s="49" t="str">
        <f t="shared" si="660"/>
        <v>SAVE  240119C00017500</v>
      </c>
      <c r="V646" s="49">
        <f t="shared" si="661"/>
        <v>9</v>
      </c>
      <c r="W646" s="49">
        <f t="shared" si="662"/>
        <v>2.76</v>
      </c>
      <c r="X646" s="49">
        <f t="shared" si="663"/>
        <v>-3.0532499999999998</v>
      </c>
    </row>
    <row r="647" spans="1:24" x14ac:dyDescent="0.4">
      <c r="A647" s="1" t="s">
        <v>138</v>
      </c>
      <c r="B647" s="1" t="s">
        <v>83</v>
      </c>
      <c r="C647" s="1" t="s">
        <v>87</v>
      </c>
      <c r="D647" s="1" t="s">
        <v>364</v>
      </c>
      <c r="E647" s="1" t="s">
        <v>365</v>
      </c>
      <c r="F647" s="1" t="s">
        <v>129</v>
      </c>
      <c r="G647" s="1" t="s">
        <v>362</v>
      </c>
      <c r="H647" s="1">
        <v>100</v>
      </c>
      <c r="I647" s="1">
        <v>17.5</v>
      </c>
      <c r="J647" s="51">
        <v>45310</v>
      </c>
      <c r="K647" s="1" t="s">
        <v>57</v>
      </c>
      <c r="L647" s="51">
        <v>45268</v>
      </c>
      <c r="M647" s="1" t="s">
        <v>135</v>
      </c>
      <c r="N647" s="1">
        <v>1</v>
      </c>
      <c r="O647" s="1">
        <v>2.73</v>
      </c>
      <c r="P647" s="1">
        <v>273</v>
      </c>
      <c r="Q647" s="1">
        <v>-0.68925000000000003</v>
      </c>
      <c r="R647" s="1" t="s">
        <v>83</v>
      </c>
      <c r="T647" s="50">
        <f>IF(ISNUMBER(VLOOKUP(U647,Blotter!B:C,2,0)),VLOOKUP(U647,Blotter!B:C,2,0),"")</f>
        <v>35</v>
      </c>
      <c r="U647" s="49" t="str">
        <f t="shared" si="660"/>
        <v>SAVE  240119C00017500</v>
      </c>
      <c r="V647" s="49">
        <f t="shared" si="661"/>
        <v>1</v>
      </c>
      <c r="W647" s="49">
        <f t="shared" si="662"/>
        <v>2.73</v>
      </c>
      <c r="X647" s="49">
        <f t="shared" si="663"/>
        <v>-0.68925000000000003</v>
      </c>
    </row>
    <row r="648" spans="1:24" x14ac:dyDescent="0.4">
      <c r="A648" s="1" t="s">
        <v>138</v>
      </c>
      <c r="B648" s="1" t="s">
        <v>83</v>
      </c>
      <c r="C648" s="1" t="s">
        <v>87</v>
      </c>
      <c r="D648" s="1" t="s">
        <v>364</v>
      </c>
      <c r="E648" s="1" t="s">
        <v>365</v>
      </c>
      <c r="F648" s="1" t="s">
        <v>129</v>
      </c>
      <c r="G648" s="1" t="s">
        <v>362</v>
      </c>
      <c r="H648" s="1">
        <v>100</v>
      </c>
      <c r="I648" s="1">
        <v>17.5</v>
      </c>
      <c r="J648" s="51">
        <v>45310</v>
      </c>
      <c r="K648" s="1" t="s">
        <v>57</v>
      </c>
      <c r="L648" s="51">
        <v>45268</v>
      </c>
      <c r="M648" s="1" t="s">
        <v>135</v>
      </c>
      <c r="N648" s="1">
        <v>5</v>
      </c>
      <c r="O648" s="1">
        <v>2.71</v>
      </c>
      <c r="P648" s="1">
        <v>1355</v>
      </c>
      <c r="Q648" s="1">
        <v>-3.44625</v>
      </c>
      <c r="R648" s="1" t="s">
        <v>83</v>
      </c>
      <c r="T648" s="50">
        <f>IF(ISNUMBER(VLOOKUP(U648,Blotter!B:C,2,0)),VLOOKUP(U648,Blotter!B:C,2,0),"")</f>
        <v>35</v>
      </c>
      <c r="U648" s="49" t="str">
        <f t="shared" si="660"/>
        <v>SAVE  240119C00017500</v>
      </c>
      <c r="V648" s="49">
        <f t="shared" si="661"/>
        <v>5</v>
      </c>
      <c r="W648" s="49">
        <f t="shared" si="662"/>
        <v>2.71</v>
      </c>
      <c r="X648" s="49">
        <f t="shared" si="663"/>
        <v>-3.44625</v>
      </c>
    </row>
    <row r="649" spans="1:24" x14ac:dyDescent="0.4">
      <c r="A649" s="1" t="s">
        <v>138</v>
      </c>
      <c r="B649" s="1" t="s">
        <v>83</v>
      </c>
      <c r="C649" s="1" t="s">
        <v>87</v>
      </c>
      <c r="D649" s="1" t="s">
        <v>364</v>
      </c>
      <c r="E649" s="1" t="s">
        <v>365</v>
      </c>
      <c r="F649" s="1" t="s">
        <v>129</v>
      </c>
      <c r="G649" s="1" t="s">
        <v>362</v>
      </c>
      <c r="H649" s="1">
        <v>100</v>
      </c>
      <c r="I649" s="1">
        <v>17.5</v>
      </c>
      <c r="J649" s="51">
        <v>45310</v>
      </c>
      <c r="K649" s="1" t="s">
        <v>57</v>
      </c>
      <c r="L649" s="51">
        <v>45268</v>
      </c>
      <c r="M649" s="1" t="s">
        <v>135</v>
      </c>
      <c r="N649" s="1">
        <v>1</v>
      </c>
      <c r="O649" s="1">
        <v>2.72</v>
      </c>
      <c r="P649" s="1">
        <v>272</v>
      </c>
      <c r="Q649" s="1">
        <v>-0.68925000000000003</v>
      </c>
      <c r="R649" s="1" t="s">
        <v>83</v>
      </c>
      <c r="T649" s="50">
        <f>IF(ISNUMBER(VLOOKUP(U649,Blotter!B:C,2,0)),VLOOKUP(U649,Blotter!B:C,2,0),"")</f>
        <v>35</v>
      </c>
      <c r="U649" s="49" t="str">
        <f t="shared" si="660"/>
        <v>SAVE  240119C00017500</v>
      </c>
      <c r="V649" s="49">
        <f t="shared" si="661"/>
        <v>1</v>
      </c>
      <c r="W649" s="49">
        <f t="shared" si="662"/>
        <v>2.72</v>
      </c>
      <c r="X649" s="49">
        <f t="shared" si="663"/>
        <v>-0.68925000000000003</v>
      </c>
    </row>
    <row r="650" spans="1:24" x14ac:dyDescent="0.4">
      <c r="A650" s="1" t="s">
        <v>138</v>
      </c>
      <c r="B650" s="1" t="s">
        <v>83</v>
      </c>
      <c r="C650" s="1" t="s">
        <v>87</v>
      </c>
      <c r="D650" s="1" t="s">
        <v>364</v>
      </c>
      <c r="E650" s="1" t="s">
        <v>365</v>
      </c>
      <c r="F650" s="1" t="s">
        <v>129</v>
      </c>
      <c r="G650" s="1" t="s">
        <v>362</v>
      </c>
      <c r="H650" s="1">
        <v>100</v>
      </c>
      <c r="I650" s="1">
        <v>17.5</v>
      </c>
      <c r="J650" s="51">
        <v>45310</v>
      </c>
      <c r="K650" s="1" t="s">
        <v>57</v>
      </c>
      <c r="L650" s="51">
        <v>45268</v>
      </c>
      <c r="M650" s="1" t="s">
        <v>135</v>
      </c>
      <c r="N650" s="1">
        <v>3</v>
      </c>
      <c r="O650" s="1">
        <v>2.79</v>
      </c>
      <c r="P650" s="1">
        <v>837</v>
      </c>
      <c r="Q650" s="1">
        <v>-2.0677500000000002</v>
      </c>
      <c r="R650" s="1" t="s">
        <v>83</v>
      </c>
      <c r="T650" s="50">
        <f>IF(ISNUMBER(VLOOKUP(U650,Blotter!B:C,2,0)),VLOOKUP(U650,Blotter!B:C,2,0),"")</f>
        <v>35</v>
      </c>
      <c r="U650" s="49" t="str">
        <f t="shared" si="660"/>
        <v>SAVE  240119C00017500</v>
      </c>
      <c r="V650" s="49">
        <f t="shared" si="661"/>
        <v>3</v>
      </c>
      <c r="W650" s="49">
        <f t="shared" si="662"/>
        <v>2.79</v>
      </c>
      <c r="X650" s="49">
        <f t="shared" si="663"/>
        <v>-2.0677500000000002</v>
      </c>
    </row>
    <row r="651" spans="1:24" x14ac:dyDescent="0.4">
      <c r="A651" s="1" t="s">
        <v>138</v>
      </c>
      <c r="B651" s="1" t="s">
        <v>83</v>
      </c>
      <c r="C651" s="1" t="s">
        <v>87</v>
      </c>
      <c r="D651" s="1" t="s">
        <v>364</v>
      </c>
      <c r="E651" s="1" t="s">
        <v>365</v>
      </c>
      <c r="F651" s="1" t="s">
        <v>129</v>
      </c>
      <c r="G651" s="1" t="s">
        <v>362</v>
      </c>
      <c r="H651" s="1">
        <v>100</v>
      </c>
      <c r="I651" s="1">
        <v>17.5</v>
      </c>
      <c r="J651" s="51">
        <v>45310</v>
      </c>
      <c r="K651" s="1" t="s">
        <v>57</v>
      </c>
      <c r="L651" s="51">
        <v>45268</v>
      </c>
      <c r="M651" s="1" t="s">
        <v>135</v>
      </c>
      <c r="N651" s="1">
        <v>13</v>
      </c>
      <c r="O651" s="1">
        <v>2.82</v>
      </c>
      <c r="P651" s="1">
        <v>3666</v>
      </c>
      <c r="Q651" s="1">
        <v>-5.7102500000000003</v>
      </c>
      <c r="R651" s="1" t="s">
        <v>83</v>
      </c>
      <c r="T651" s="50">
        <f>IF(ISNUMBER(VLOOKUP(U651,Blotter!B:C,2,0)),VLOOKUP(U651,Blotter!B:C,2,0),"")</f>
        <v>35</v>
      </c>
      <c r="U651" s="49" t="str">
        <f t="shared" si="660"/>
        <v>SAVE  240119C00017500</v>
      </c>
      <c r="V651" s="49">
        <f t="shared" si="661"/>
        <v>13</v>
      </c>
      <c r="W651" s="49">
        <f t="shared" si="662"/>
        <v>2.82</v>
      </c>
      <c r="X651" s="49">
        <f t="shared" si="663"/>
        <v>-5.7102500000000003</v>
      </c>
    </row>
    <row r="652" spans="1:24" x14ac:dyDescent="0.4">
      <c r="A652" s="1" t="s">
        <v>138</v>
      </c>
      <c r="B652" s="1" t="s">
        <v>83</v>
      </c>
      <c r="C652" s="1" t="s">
        <v>87</v>
      </c>
      <c r="D652" s="1" t="s">
        <v>366</v>
      </c>
      <c r="E652" s="1" t="s">
        <v>367</v>
      </c>
      <c r="F652" s="1" t="s">
        <v>129</v>
      </c>
      <c r="G652" s="1" t="s">
        <v>362</v>
      </c>
      <c r="H652" s="1">
        <v>100</v>
      </c>
      <c r="I652" s="1">
        <v>27.5</v>
      </c>
      <c r="J652" s="51">
        <v>45310</v>
      </c>
      <c r="K652" s="1" t="s">
        <v>57</v>
      </c>
      <c r="L652" s="51">
        <v>45268</v>
      </c>
      <c r="M652" s="1" t="s">
        <v>139</v>
      </c>
      <c r="N652" s="1">
        <v>-8</v>
      </c>
      <c r="O652" s="1">
        <v>0.34</v>
      </c>
      <c r="P652" s="1">
        <v>-272</v>
      </c>
      <c r="Q652" s="1">
        <v>-5.5356959999999997</v>
      </c>
      <c r="R652" s="1" t="s">
        <v>83</v>
      </c>
      <c r="T652" s="50">
        <f>IF(ISNUMBER(VLOOKUP(U652,Blotter!B:C,2,0)),VLOOKUP(U652,Blotter!B:C,2,0),"")</f>
        <v>35</v>
      </c>
      <c r="U652" s="49" t="str">
        <f t="shared" si="660"/>
        <v>SAVE  240119C00027500</v>
      </c>
      <c r="V652" s="49">
        <f t="shared" si="661"/>
        <v>-8</v>
      </c>
      <c r="W652" s="49">
        <f t="shared" si="662"/>
        <v>0.34</v>
      </c>
      <c r="X652" s="49">
        <f t="shared" si="663"/>
        <v>-5.5356959999999997</v>
      </c>
    </row>
    <row r="653" spans="1:24" x14ac:dyDescent="0.4">
      <c r="A653" s="1" t="s">
        <v>138</v>
      </c>
      <c r="B653" s="1" t="s">
        <v>83</v>
      </c>
      <c r="C653" s="1" t="s">
        <v>87</v>
      </c>
      <c r="D653" s="1" t="s">
        <v>366</v>
      </c>
      <c r="E653" s="1" t="s">
        <v>367</v>
      </c>
      <c r="F653" s="1" t="s">
        <v>129</v>
      </c>
      <c r="G653" s="1" t="s">
        <v>362</v>
      </c>
      <c r="H653" s="1">
        <v>100</v>
      </c>
      <c r="I653" s="1">
        <v>27.5</v>
      </c>
      <c r="J653" s="51">
        <v>45310</v>
      </c>
      <c r="K653" s="1" t="s">
        <v>57</v>
      </c>
      <c r="L653" s="51">
        <v>45268</v>
      </c>
      <c r="M653" s="1" t="s">
        <v>139</v>
      </c>
      <c r="N653" s="1">
        <v>-7</v>
      </c>
      <c r="O653" s="1">
        <v>0.31</v>
      </c>
      <c r="P653" s="1">
        <v>-217</v>
      </c>
      <c r="Q653" s="1">
        <v>-4.843566</v>
      </c>
      <c r="R653" s="1" t="s">
        <v>83</v>
      </c>
      <c r="T653" s="50">
        <f>IF(ISNUMBER(VLOOKUP(U653,Blotter!B:C,2,0)),VLOOKUP(U653,Blotter!B:C,2,0),"")</f>
        <v>35</v>
      </c>
      <c r="U653" s="49" t="str">
        <f t="shared" si="660"/>
        <v>SAVE  240119C00027500</v>
      </c>
      <c r="V653" s="49">
        <f t="shared" si="661"/>
        <v>-7</v>
      </c>
      <c r="W653" s="49">
        <f t="shared" si="662"/>
        <v>0.31</v>
      </c>
      <c r="X653" s="49">
        <f t="shared" si="663"/>
        <v>-4.843566</v>
      </c>
    </row>
    <row r="654" spans="1:24" x14ac:dyDescent="0.4">
      <c r="A654" s="1" t="s">
        <v>138</v>
      </c>
      <c r="B654" s="1" t="s">
        <v>83</v>
      </c>
      <c r="C654" s="1" t="s">
        <v>87</v>
      </c>
      <c r="D654" s="1" t="s">
        <v>366</v>
      </c>
      <c r="E654" s="1" t="s">
        <v>367</v>
      </c>
      <c r="F654" s="1" t="s">
        <v>129</v>
      </c>
      <c r="G654" s="1" t="s">
        <v>362</v>
      </c>
      <c r="H654" s="1">
        <v>100</v>
      </c>
      <c r="I654" s="1">
        <v>27.5</v>
      </c>
      <c r="J654" s="51">
        <v>45310</v>
      </c>
      <c r="K654" s="1" t="s">
        <v>57</v>
      </c>
      <c r="L654" s="51">
        <v>45268</v>
      </c>
      <c r="M654" s="1" t="s">
        <v>139</v>
      </c>
      <c r="N654" s="1">
        <v>-6</v>
      </c>
      <c r="O654" s="1">
        <v>0.33</v>
      </c>
      <c r="P654" s="1">
        <v>-198</v>
      </c>
      <c r="Q654" s="1">
        <v>-4.1517239999999997</v>
      </c>
      <c r="R654" s="1" t="s">
        <v>83</v>
      </c>
      <c r="T654" s="50">
        <f>IF(ISNUMBER(VLOOKUP(U654,Blotter!B:C,2,0)),VLOOKUP(U654,Blotter!B:C,2,0),"")</f>
        <v>35</v>
      </c>
      <c r="U654" s="49" t="str">
        <f t="shared" si="660"/>
        <v>SAVE  240119C00027500</v>
      </c>
      <c r="V654" s="49">
        <f t="shared" si="661"/>
        <v>-6</v>
      </c>
      <c r="W654" s="49">
        <f t="shared" si="662"/>
        <v>0.33</v>
      </c>
      <c r="X654" s="49">
        <f t="shared" si="663"/>
        <v>-4.1517239999999997</v>
      </c>
    </row>
    <row r="655" spans="1:24" x14ac:dyDescent="0.4">
      <c r="A655" s="1" t="s">
        <v>138</v>
      </c>
      <c r="B655" s="1" t="s">
        <v>83</v>
      </c>
      <c r="C655" s="1" t="s">
        <v>87</v>
      </c>
      <c r="D655" s="1" t="s">
        <v>366</v>
      </c>
      <c r="E655" s="1" t="s">
        <v>367</v>
      </c>
      <c r="F655" s="1" t="s">
        <v>129</v>
      </c>
      <c r="G655" s="1" t="s">
        <v>362</v>
      </c>
      <c r="H655" s="1">
        <v>100</v>
      </c>
      <c r="I655" s="1">
        <v>27.5</v>
      </c>
      <c r="J655" s="51">
        <v>45310</v>
      </c>
      <c r="K655" s="1" t="s">
        <v>57</v>
      </c>
      <c r="L655" s="51">
        <v>45268</v>
      </c>
      <c r="M655" s="1" t="s">
        <v>139</v>
      </c>
      <c r="N655" s="1">
        <v>-5</v>
      </c>
      <c r="O655" s="1">
        <v>0.3</v>
      </c>
      <c r="P655" s="1">
        <v>-150</v>
      </c>
      <c r="Q655" s="1">
        <v>-3.4596499999999999</v>
      </c>
      <c r="R655" s="1" t="s">
        <v>83</v>
      </c>
      <c r="T655" s="50">
        <f>IF(ISNUMBER(VLOOKUP(U655,Blotter!B:C,2,0)),VLOOKUP(U655,Blotter!B:C,2,0),"")</f>
        <v>35</v>
      </c>
      <c r="U655" s="49" t="str">
        <f t="shared" si="660"/>
        <v>SAVE  240119C00027500</v>
      </c>
      <c r="V655" s="49">
        <f t="shared" si="661"/>
        <v>-5</v>
      </c>
      <c r="W655" s="49">
        <f t="shared" si="662"/>
        <v>0.3</v>
      </c>
      <c r="X655" s="49">
        <f t="shared" si="663"/>
        <v>-3.4596499999999999</v>
      </c>
    </row>
    <row r="656" spans="1:24" x14ac:dyDescent="0.4">
      <c r="A656" s="1" t="s">
        <v>138</v>
      </c>
      <c r="B656" s="1" t="s">
        <v>83</v>
      </c>
      <c r="C656" s="1" t="s">
        <v>87</v>
      </c>
      <c r="D656" s="1" t="s">
        <v>366</v>
      </c>
      <c r="E656" s="1" t="s">
        <v>367</v>
      </c>
      <c r="F656" s="1" t="s">
        <v>129</v>
      </c>
      <c r="G656" s="1" t="s">
        <v>362</v>
      </c>
      <c r="H656" s="1">
        <v>100</v>
      </c>
      <c r="I656" s="1">
        <v>27.5</v>
      </c>
      <c r="J656" s="51">
        <v>45310</v>
      </c>
      <c r="K656" s="1" t="s">
        <v>57</v>
      </c>
      <c r="L656" s="51">
        <v>45268</v>
      </c>
      <c r="M656" s="1" t="s">
        <v>139</v>
      </c>
      <c r="N656" s="1">
        <v>-6</v>
      </c>
      <c r="O656" s="1">
        <v>0.3</v>
      </c>
      <c r="P656" s="1">
        <v>-180</v>
      </c>
      <c r="Q656" s="1">
        <v>-2.05158</v>
      </c>
      <c r="R656" s="1" t="s">
        <v>83</v>
      </c>
      <c r="T656" s="50">
        <f>IF(ISNUMBER(VLOOKUP(U656,Blotter!B:C,2,0)),VLOOKUP(U656,Blotter!B:C,2,0),"")</f>
        <v>35</v>
      </c>
      <c r="U656" s="49" t="str">
        <f t="shared" si="660"/>
        <v>SAVE  240119C00027500</v>
      </c>
      <c r="V656" s="49">
        <f t="shared" si="661"/>
        <v>-6</v>
      </c>
      <c r="W656" s="49">
        <f t="shared" si="662"/>
        <v>0.3</v>
      </c>
      <c r="X656" s="49">
        <f t="shared" si="663"/>
        <v>-2.05158</v>
      </c>
    </row>
    <row r="657" spans="1:24" x14ac:dyDescent="0.4">
      <c r="A657" s="1" t="s">
        <v>138</v>
      </c>
      <c r="B657" s="1" t="s">
        <v>83</v>
      </c>
      <c r="C657" s="1" t="s">
        <v>87</v>
      </c>
      <c r="D657" s="1" t="s">
        <v>366</v>
      </c>
      <c r="E657" s="1" t="s">
        <v>367</v>
      </c>
      <c r="F657" s="1" t="s">
        <v>129</v>
      </c>
      <c r="G657" s="1" t="s">
        <v>362</v>
      </c>
      <c r="H657" s="1">
        <v>100</v>
      </c>
      <c r="I657" s="1">
        <v>27.5</v>
      </c>
      <c r="J657" s="51">
        <v>45310</v>
      </c>
      <c r="K657" s="1" t="s">
        <v>57</v>
      </c>
      <c r="L657" s="51">
        <v>45268</v>
      </c>
      <c r="M657" s="1" t="s">
        <v>139</v>
      </c>
      <c r="N657" s="1">
        <v>-4</v>
      </c>
      <c r="O657" s="1">
        <v>0.25</v>
      </c>
      <c r="P657" s="1">
        <v>-100</v>
      </c>
      <c r="Q657" s="1">
        <v>-2.76756</v>
      </c>
      <c r="R657" s="1" t="s">
        <v>83</v>
      </c>
      <c r="T657" s="50">
        <f>IF(ISNUMBER(VLOOKUP(U657,Blotter!B:C,2,0)),VLOOKUP(U657,Blotter!B:C,2,0),"")</f>
        <v>35</v>
      </c>
      <c r="U657" s="49" t="str">
        <f t="shared" si="660"/>
        <v>SAVE  240119C00027500</v>
      </c>
      <c r="V657" s="49">
        <f t="shared" si="661"/>
        <v>-4</v>
      </c>
      <c r="W657" s="49">
        <f t="shared" si="662"/>
        <v>0.25</v>
      </c>
      <c r="X657" s="49">
        <f t="shared" si="663"/>
        <v>-2.76756</v>
      </c>
    </row>
    <row r="658" spans="1:24" x14ac:dyDescent="0.4">
      <c r="A658" s="1" t="s">
        <v>138</v>
      </c>
      <c r="B658" s="1" t="s">
        <v>83</v>
      </c>
      <c r="C658" s="1" t="s">
        <v>87</v>
      </c>
      <c r="D658" s="1" t="s">
        <v>366</v>
      </c>
      <c r="E658" s="1" t="s">
        <v>367</v>
      </c>
      <c r="F658" s="1" t="s">
        <v>129</v>
      </c>
      <c r="G658" s="1" t="s">
        <v>362</v>
      </c>
      <c r="H658" s="1">
        <v>100</v>
      </c>
      <c r="I658" s="1">
        <v>27.5</v>
      </c>
      <c r="J658" s="51">
        <v>45310</v>
      </c>
      <c r="K658" s="1" t="s">
        <v>57</v>
      </c>
      <c r="L658" s="51">
        <v>45268</v>
      </c>
      <c r="M658" s="1" t="s">
        <v>139</v>
      </c>
      <c r="N658" s="1">
        <v>-9</v>
      </c>
      <c r="O658" s="1">
        <v>0.28999999999999998</v>
      </c>
      <c r="P658" s="1">
        <v>-261</v>
      </c>
      <c r="Q658" s="1">
        <v>-3.0772979999999999</v>
      </c>
      <c r="R658" s="1" t="s">
        <v>83</v>
      </c>
      <c r="T658" s="50">
        <f>IF(ISNUMBER(VLOOKUP(U658,Blotter!B:C,2,0)),VLOOKUP(U658,Blotter!B:C,2,0),"")</f>
        <v>35</v>
      </c>
      <c r="U658" s="49" t="str">
        <f t="shared" si="660"/>
        <v>SAVE  240119C00027500</v>
      </c>
      <c r="V658" s="49">
        <f t="shared" si="661"/>
        <v>-9</v>
      </c>
      <c r="W658" s="49">
        <f t="shared" si="662"/>
        <v>0.28999999999999998</v>
      </c>
      <c r="X658" s="49">
        <f t="shared" si="663"/>
        <v>-3.0772979999999999</v>
      </c>
    </row>
    <row r="659" spans="1:24" x14ac:dyDescent="0.4">
      <c r="A659" s="1" t="s">
        <v>138</v>
      </c>
      <c r="B659" s="1" t="s">
        <v>83</v>
      </c>
      <c r="C659" s="1" t="s">
        <v>87</v>
      </c>
      <c r="D659" s="1" t="s">
        <v>366</v>
      </c>
      <c r="E659" s="1" t="s">
        <v>367</v>
      </c>
      <c r="F659" s="1" t="s">
        <v>129</v>
      </c>
      <c r="G659" s="1" t="s">
        <v>362</v>
      </c>
      <c r="H659" s="1">
        <v>100</v>
      </c>
      <c r="I659" s="1">
        <v>27.5</v>
      </c>
      <c r="J659" s="51">
        <v>45310</v>
      </c>
      <c r="K659" s="1" t="s">
        <v>57</v>
      </c>
      <c r="L659" s="51">
        <v>45268</v>
      </c>
      <c r="M659" s="1" t="s">
        <v>139</v>
      </c>
      <c r="N659" s="1">
        <v>-12</v>
      </c>
      <c r="O659" s="1">
        <v>0.28999999999999998</v>
      </c>
      <c r="P659" s="1">
        <v>-348</v>
      </c>
      <c r="Q659" s="1">
        <v>-3.6230639999999998</v>
      </c>
      <c r="R659" s="1" t="s">
        <v>83</v>
      </c>
      <c r="T659" s="50">
        <f>IF(ISNUMBER(VLOOKUP(U659,Blotter!B:C,2,0)),VLOOKUP(U659,Blotter!B:C,2,0),"")</f>
        <v>35</v>
      </c>
      <c r="U659" s="49" t="str">
        <f t="shared" si="660"/>
        <v>SAVE  240119C00027500</v>
      </c>
      <c r="V659" s="49">
        <f t="shared" si="661"/>
        <v>-12</v>
      </c>
      <c r="W659" s="49">
        <f t="shared" si="662"/>
        <v>0.28999999999999998</v>
      </c>
      <c r="X659" s="49">
        <f t="shared" si="663"/>
        <v>-3.6230639999999998</v>
      </c>
    </row>
    <row r="660" spans="1:24" x14ac:dyDescent="0.4">
      <c r="A660" s="1" t="s">
        <v>138</v>
      </c>
      <c r="B660" s="1" t="s">
        <v>83</v>
      </c>
      <c r="C660" s="1" t="s">
        <v>87</v>
      </c>
      <c r="D660" s="1" t="s">
        <v>366</v>
      </c>
      <c r="E660" s="1" t="s">
        <v>367</v>
      </c>
      <c r="F660" s="1" t="s">
        <v>129</v>
      </c>
      <c r="G660" s="1" t="s">
        <v>362</v>
      </c>
      <c r="H660" s="1">
        <v>100</v>
      </c>
      <c r="I660" s="1">
        <v>27.5</v>
      </c>
      <c r="J660" s="51">
        <v>45310</v>
      </c>
      <c r="K660" s="1" t="s">
        <v>57</v>
      </c>
      <c r="L660" s="51">
        <v>45268</v>
      </c>
      <c r="M660" s="1" t="s">
        <v>139</v>
      </c>
      <c r="N660" s="1">
        <v>-1</v>
      </c>
      <c r="O660" s="1">
        <v>0.28000000000000003</v>
      </c>
      <c r="P660" s="1">
        <v>-28</v>
      </c>
      <c r="Q660" s="1">
        <v>-0.69191400000000003</v>
      </c>
      <c r="R660" s="1" t="s">
        <v>83</v>
      </c>
      <c r="T660" s="50">
        <f>IF(ISNUMBER(VLOOKUP(U660,Blotter!B:C,2,0)),VLOOKUP(U660,Blotter!B:C,2,0),"")</f>
        <v>35</v>
      </c>
      <c r="U660" s="49" t="str">
        <f t="shared" si="660"/>
        <v>SAVE  240119C00027500</v>
      </c>
      <c r="V660" s="49">
        <f t="shared" si="661"/>
        <v>-1</v>
      </c>
      <c r="W660" s="49">
        <f t="shared" si="662"/>
        <v>0.28000000000000003</v>
      </c>
      <c r="X660" s="49">
        <f t="shared" si="663"/>
        <v>-0.69191400000000003</v>
      </c>
    </row>
    <row r="661" spans="1:24" x14ac:dyDescent="0.4">
      <c r="A661" s="1" t="s">
        <v>138</v>
      </c>
      <c r="B661" s="1" t="s">
        <v>83</v>
      </c>
      <c r="C661" s="1" t="s">
        <v>87</v>
      </c>
      <c r="D661" s="1" t="s">
        <v>366</v>
      </c>
      <c r="E661" s="1" t="s">
        <v>367</v>
      </c>
      <c r="F661" s="1" t="s">
        <v>129</v>
      </c>
      <c r="G661" s="1" t="s">
        <v>362</v>
      </c>
      <c r="H661" s="1">
        <v>100</v>
      </c>
      <c r="I661" s="1">
        <v>27.5</v>
      </c>
      <c r="J661" s="51">
        <v>45310</v>
      </c>
      <c r="K661" s="1" t="s">
        <v>57</v>
      </c>
      <c r="L661" s="51">
        <v>45268</v>
      </c>
      <c r="M661" s="1" t="s">
        <v>139</v>
      </c>
      <c r="N661" s="1">
        <v>-5</v>
      </c>
      <c r="O661" s="1">
        <v>0.26</v>
      </c>
      <c r="P661" s="1">
        <v>-130</v>
      </c>
      <c r="Q661" s="1">
        <v>-3.4594900000000002</v>
      </c>
      <c r="R661" s="1" t="s">
        <v>83</v>
      </c>
      <c r="T661" s="50">
        <f>IF(ISNUMBER(VLOOKUP(U661,Blotter!B:C,2,0)),VLOOKUP(U661,Blotter!B:C,2,0),"")</f>
        <v>35</v>
      </c>
      <c r="U661" s="49" t="str">
        <f t="shared" si="660"/>
        <v>SAVE  240119C00027500</v>
      </c>
      <c r="V661" s="49">
        <f t="shared" si="661"/>
        <v>-5</v>
      </c>
      <c r="W661" s="49">
        <f t="shared" si="662"/>
        <v>0.26</v>
      </c>
      <c r="X661" s="49">
        <f t="shared" si="663"/>
        <v>-3.4594900000000002</v>
      </c>
    </row>
    <row r="662" spans="1:24" x14ac:dyDescent="0.4">
      <c r="A662" s="1" t="s">
        <v>138</v>
      </c>
      <c r="B662" s="1" t="s">
        <v>83</v>
      </c>
      <c r="C662" s="1" t="s">
        <v>87</v>
      </c>
      <c r="D662" s="1" t="s">
        <v>366</v>
      </c>
      <c r="E662" s="1" t="s">
        <v>367</v>
      </c>
      <c r="F662" s="1" t="s">
        <v>129</v>
      </c>
      <c r="G662" s="1" t="s">
        <v>362</v>
      </c>
      <c r="H662" s="1">
        <v>100</v>
      </c>
      <c r="I662" s="1">
        <v>27.5</v>
      </c>
      <c r="J662" s="51">
        <v>45310</v>
      </c>
      <c r="K662" s="1" t="s">
        <v>57</v>
      </c>
      <c r="L662" s="51">
        <v>45268</v>
      </c>
      <c r="M662" s="1" t="s">
        <v>139</v>
      </c>
      <c r="N662" s="1">
        <v>-1</v>
      </c>
      <c r="O662" s="1">
        <v>0.27</v>
      </c>
      <c r="P662" s="1">
        <v>-27</v>
      </c>
      <c r="Q662" s="1">
        <v>-0.69190600000000002</v>
      </c>
      <c r="R662" s="1" t="s">
        <v>83</v>
      </c>
      <c r="T662" s="50">
        <f>IF(ISNUMBER(VLOOKUP(U662,Blotter!B:C,2,0)),VLOOKUP(U662,Blotter!B:C,2,0),"")</f>
        <v>35</v>
      </c>
      <c r="U662" s="49" t="str">
        <f t="shared" si="660"/>
        <v>SAVE  240119C00027500</v>
      </c>
      <c r="V662" s="49">
        <f t="shared" si="661"/>
        <v>-1</v>
      </c>
      <c r="W662" s="49">
        <f t="shared" si="662"/>
        <v>0.27</v>
      </c>
      <c r="X662" s="49">
        <f t="shared" si="663"/>
        <v>-0.69190600000000002</v>
      </c>
    </row>
    <row r="663" spans="1:24" x14ac:dyDescent="0.4">
      <c r="A663" s="1" t="s">
        <v>138</v>
      </c>
      <c r="B663" s="1" t="s">
        <v>83</v>
      </c>
      <c r="C663" s="1" t="s">
        <v>87</v>
      </c>
      <c r="D663" s="1" t="s">
        <v>366</v>
      </c>
      <c r="E663" s="1" t="s">
        <v>367</v>
      </c>
      <c r="F663" s="1" t="s">
        <v>129</v>
      </c>
      <c r="G663" s="1" t="s">
        <v>362</v>
      </c>
      <c r="H663" s="1">
        <v>100</v>
      </c>
      <c r="I663" s="1">
        <v>27.5</v>
      </c>
      <c r="J663" s="51">
        <v>45310</v>
      </c>
      <c r="K663" s="1" t="s">
        <v>57</v>
      </c>
      <c r="L663" s="51">
        <v>45268</v>
      </c>
      <c r="M663" s="1" t="s">
        <v>139</v>
      </c>
      <c r="N663" s="1">
        <v>-3</v>
      </c>
      <c r="O663" s="1">
        <v>0.36</v>
      </c>
      <c r="P663" s="1">
        <v>-108</v>
      </c>
      <c r="Q663" s="1">
        <v>-2.6759339999999998</v>
      </c>
      <c r="R663" s="1" t="s">
        <v>83</v>
      </c>
      <c r="T663" s="50">
        <f>IF(ISNUMBER(VLOOKUP(U663,Blotter!B:C,2,0)),VLOOKUP(U663,Blotter!B:C,2,0),"")</f>
        <v>35</v>
      </c>
      <c r="U663" s="49" t="str">
        <f t="shared" si="660"/>
        <v>SAVE  240119C00027500</v>
      </c>
      <c r="V663" s="49">
        <f t="shared" si="661"/>
        <v>-3</v>
      </c>
      <c r="W663" s="49">
        <f t="shared" si="662"/>
        <v>0.36</v>
      </c>
      <c r="X663" s="49">
        <f t="shared" si="663"/>
        <v>-2.6759339999999998</v>
      </c>
    </row>
    <row r="664" spans="1:24" x14ac:dyDescent="0.4">
      <c r="A664" s="1" t="s">
        <v>138</v>
      </c>
      <c r="B664" s="1" t="s">
        <v>83</v>
      </c>
      <c r="C664" s="1" t="s">
        <v>87</v>
      </c>
      <c r="D664" s="1" t="s">
        <v>366</v>
      </c>
      <c r="E664" s="1" t="s">
        <v>367</v>
      </c>
      <c r="F664" s="1" t="s">
        <v>129</v>
      </c>
      <c r="G664" s="1" t="s">
        <v>362</v>
      </c>
      <c r="H664" s="1">
        <v>100</v>
      </c>
      <c r="I664" s="1">
        <v>27.5</v>
      </c>
      <c r="J664" s="51">
        <v>45310</v>
      </c>
      <c r="K664" s="1" t="s">
        <v>57</v>
      </c>
      <c r="L664" s="51">
        <v>45268</v>
      </c>
      <c r="M664" s="1" t="s">
        <v>139</v>
      </c>
      <c r="N664" s="1">
        <v>-13</v>
      </c>
      <c r="O664" s="1">
        <v>0.39</v>
      </c>
      <c r="P664" s="1">
        <v>-507</v>
      </c>
      <c r="Q664" s="1">
        <v>-5.7460259999999996</v>
      </c>
      <c r="R664" s="1" t="s">
        <v>83</v>
      </c>
      <c r="T664" s="50">
        <f>IF(ISNUMBER(VLOOKUP(U664,Blotter!B:C,2,0)),VLOOKUP(U664,Blotter!B:C,2,0),"")</f>
        <v>35</v>
      </c>
      <c r="U664" s="49" t="str">
        <f t="shared" si="660"/>
        <v>SAVE  240119C00027500</v>
      </c>
      <c r="V664" s="49">
        <f t="shared" si="661"/>
        <v>-13</v>
      </c>
      <c r="W664" s="49">
        <f t="shared" si="662"/>
        <v>0.39</v>
      </c>
      <c r="X664" s="49">
        <f t="shared" si="663"/>
        <v>-5.7460259999999996</v>
      </c>
    </row>
    <row r="665" spans="1:24" x14ac:dyDescent="0.4">
      <c r="A665" s="1" t="s">
        <v>138</v>
      </c>
      <c r="B665" s="1" t="s">
        <v>83</v>
      </c>
      <c r="C665" s="1" t="s">
        <v>82</v>
      </c>
      <c r="D665" s="1" t="s">
        <v>355</v>
      </c>
      <c r="E665" s="1" t="s">
        <v>360</v>
      </c>
      <c r="F665" s="1" t="s">
        <v>93</v>
      </c>
      <c r="G665" s="1" t="s">
        <v>24</v>
      </c>
      <c r="H665" s="1">
        <v>1000</v>
      </c>
      <c r="J665" s="51">
        <v>45279</v>
      </c>
      <c r="L665" s="51">
        <v>45268</v>
      </c>
      <c r="M665" s="1" t="s">
        <v>135</v>
      </c>
      <c r="N665" s="1">
        <v>4</v>
      </c>
      <c r="O665" s="1">
        <v>70.5</v>
      </c>
      <c r="P665" s="1">
        <v>282000</v>
      </c>
      <c r="Q665" s="1">
        <v>-9.48</v>
      </c>
      <c r="R665" s="1" t="s">
        <v>83</v>
      </c>
      <c r="T665" s="50">
        <f>IF(ISNUMBER(VLOOKUP(U665,Blotter!B:C,2,0)),VLOOKUP(U665,Blotter!B:C,2,0),"")</f>
        <v>34</v>
      </c>
      <c r="U665" s="49" t="str">
        <f t="shared" si="660"/>
        <v>CLF4</v>
      </c>
      <c r="V665" s="49">
        <f t="shared" si="661"/>
        <v>4</v>
      </c>
      <c r="W665" s="49">
        <f t="shared" si="662"/>
        <v>70.5</v>
      </c>
      <c r="X665" s="49">
        <f t="shared" si="663"/>
        <v>-9.48</v>
      </c>
    </row>
    <row r="666" spans="1:24" x14ac:dyDescent="0.4">
      <c r="A666" s="1" t="s">
        <v>138</v>
      </c>
      <c r="B666" s="1" t="s">
        <v>83</v>
      </c>
      <c r="C666" s="1" t="s">
        <v>82</v>
      </c>
      <c r="D666" s="1" t="s">
        <v>355</v>
      </c>
      <c r="E666" s="1" t="s">
        <v>360</v>
      </c>
      <c r="F666" s="1" t="s">
        <v>93</v>
      </c>
      <c r="G666" s="1" t="s">
        <v>24</v>
      </c>
      <c r="H666" s="1">
        <v>1000</v>
      </c>
      <c r="J666" s="51">
        <v>45279</v>
      </c>
      <c r="L666" s="51">
        <v>45274</v>
      </c>
      <c r="M666" s="1" t="s">
        <v>139</v>
      </c>
      <c r="N666" s="1">
        <v>-3</v>
      </c>
      <c r="O666" s="1">
        <v>70.55</v>
      </c>
      <c r="P666" s="1">
        <v>-211650</v>
      </c>
      <c r="Q666" s="1">
        <v>-7.11</v>
      </c>
      <c r="R666" s="1" t="s">
        <v>83</v>
      </c>
      <c r="T666" s="50">
        <f>IF(ISNUMBER(VLOOKUP(U666,Blotter!B:C,2,0)),VLOOKUP(U666,Blotter!B:C,2,0),"")</f>
        <v>34</v>
      </c>
      <c r="U666" s="49" t="str">
        <f t="shared" ref="U666:U668" si="664">D666</f>
        <v>CLF4</v>
      </c>
      <c r="V666" s="49">
        <f t="shared" ref="V666:V668" si="665">N666</f>
        <v>-3</v>
      </c>
      <c r="W666" s="49">
        <f t="shared" ref="W666:W668" si="666">O666</f>
        <v>70.55</v>
      </c>
      <c r="X666" s="49">
        <f t="shared" ref="X666:X668" si="667">Q666</f>
        <v>-7.11</v>
      </c>
    </row>
    <row r="667" spans="1:24" x14ac:dyDescent="0.4">
      <c r="A667" s="1" t="s">
        <v>138</v>
      </c>
      <c r="B667" s="1" t="s">
        <v>83</v>
      </c>
      <c r="C667" s="1" t="s">
        <v>82</v>
      </c>
      <c r="D667" s="1" t="s">
        <v>355</v>
      </c>
      <c r="E667" s="1" t="s">
        <v>360</v>
      </c>
      <c r="F667" s="1" t="s">
        <v>93</v>
      </c>
      <c r="G667" s="1" t="s">
        <v>24</v>
      </c>
      <c r="H667" s="1">
        <v>1000</v>
      </c>
      <c r="J667" s="51">
        <v>45279</v>
      </c>
      <c r="L667" s="51">
        <v>45274</v>
      </c>
      <c r="M667" s="1" t="s">
        <v>139</v>
      </c>
      <c r="N667" s="1">
        <v>-1</v>
      </c>
      <c r="O667" s="1">
        <v>70.55</v>
      </c>
      <c r="P667" s="1">
        <v>-70550</v>
      </c>
      <c r="Q667" s="1">
        <v>-2.37</v>
      </c>
      <c r="R667" s="1" t="s">
        <v>83</v>
      </c>
      <c r="T667" s="50">
        <f>IF(ISNUMBER(VLOOKUP(U667,Blotter!B:C,2,0)),VLOOKUP(U667,Blotter!B:C,2,0),"")</f>
        <v>34</v>
      </c>
      <c r="U667" s="49" t="str">
        <f t="shared" si="664"/>
        <v>CLF4</v>
      </c>
      <c r="V667" s="49">
        <f t="shared" si="665"/>
        <v>-1</v>
      </c>
      <c r="W667" s="49">
        <f t="shared" si="666"/>
        <v>70.55</v>
      </c>
      <c r="X667" s="49">
        <f t="shared" si="667"/>
        <v>-2.37</v>
      </c>
    </row>
    <row r="668" spans="1:24" x14ac:dyDescent="0.4">
      <c r="A668" s="1" t="s">
        <v>138</v>
      </c>
      <c r="B668" s="1" t="s">
        <v>83</v>
      </c>
      <c r="C668" s="1" t="s">
        <v>82</v>
      </c>
      <c r="D668" s="1" t="s">
        <v>369</v>
      </c>
      <c r="E668" s="1" t="s">
        <v>372</v>
      </c>
      <c r="F668" s="1" t="s">
        <v>93</v>
      </c>
      <c r="G668" s="1" t="s">
        <v>5</v>
      </c>
      <c r="H668" s="1">
        <v>10000</v>
      </c>
      <c r="J668" s="51">
        <v>45320</v>
      </c>
      <c r="L668" s="51">
        <v>45275</v>
      </c>
      <c r="M668" s="1" t="s">
        <v>135</v>
      </c>
      <c r="N668" s="1">
        <v>6</v>
      </c>
      <c r="O668" s="1">
        <v>2.335</v>
      </c>
      <c r="P668" s="1">
        <v>140100</v>
      </c>
      <c r="Q668" s="1">
        <v>-14.22</v>
      </c>
      <c r="R668" s="1" t="s">
        <v>83</v>
      </c>
      <c r="T668" s="50">
        <f>IF(ISNUMBER(VLOOKUP(U668,Blotter!B:C,2,0)),VLOOKUP(U668,Blotter!B:C,2,0),"")</f>
        <v>36</v>
      </c>
      <c r="U668" s="49" t="str">
        <f t="shared" si="664"/>
        <v>NGG4</v>
      </c>
      <c r="V668" s="49">
        <f t="shared" si="665"/>
        <v>6</v>
      </c>
      <c r="W668" s="49">
        <f t="shared" si="666"/>
        <v>2.335</v>
      </c>
      <c r="X668" s="49">
        <f t="shared" si="667"/>
        <v>-14.22</v>
      </c>
    </row>
    <row r="669" spans="1:24" x14ac:dyDescent="0.4">
      <c r="A669" s="1" t="s">
        <v>138</v>
      </c>
      <c r="B669" s="1" t="s">
        <v>83</v>
      </c>
      <c r="C669" s="1" t="s">
        <v>82</v>
      </c>
      <c r="D669" s="1" t="s">
        <v>369</v>
      </c>
      <c r="E669" s="1" t="s">
        <v>372</v>
      </c>
      <c r="F669" s="1" t="s">
        <v>93</v>
      </c>
      <c r="G669" s="1" t="s">
        <v>5</v>
      </c>
      <c r="H669" s="1">
        <v>10000</v>
      </c>
      <c r="J669" s="51">
        <v>45320</v>
      </c>
      <c r="L669" s="51">
        <v>45278</v>
      </c>
      <c r="M669" s="1" t="s">
        <v>135</v>
      </c>
      <c r="N669" s="1">
        <v>3</v>
      </c>
      <c r="O669" s="1">
        <v>2.4500000000000002</v>
      </c>
      <c r="P669" s="1">
        <v>73500</v>
      </c>
      <c r="Q669" s="1">
        <v>-7.11</v>
      </c>
      <c r="R669" s="1" t="s">
        <v>83</v>
      </c>
      <c r="T669" s="50">
        <f>IF(ISNUMBER(VLOOKUP(U669,Blotter!B:C,2,0)),VLOOKUP(U669,Blotter!B:C,2,0),"")</f>
        <v>36</v>
      </c>
      <c r="U669" s="49" t="str">
        <f t="shared" ref="U669" si="668">D669</f>
        <v>NGG4</v>
      </c>
      <c r="V669" s="49">
        <f t="shared" ref="V669" si="669">N669</f>
        <v>3</v>
      </c>
      <c r="W669" s="49">
        <f t="shared" ref="W669" si="670">O669</f>
        <v>2.4500000000000002</v>
      </c>
      <c r="X669" s="49">
        <f t="shared" ref="X669" si="671">Q669</f>
        <v>-7.11</v>
      </c>
    </row>
    <row r="670" spans="1:24" x14ac:dyDescent="0.4">
      <c r="A670" s="1" t="s">
        <v>138</v>
      </c>
      <c r="B670" s="1" t="s">
        <v>83</v>
      </c>
      <c r="C670" s="1" t="s">
        <v>82</v>
      </c>
      <c r="D670" s="1" t="s">
        <v>369</v>
      </c>
      <c r="E670" s="1" t="s">
        <v>372</v>
      </c>
      <c r="F670" s="1" t="s">
        <v>93</v>
      </c>
      <c r="G670" s="1" t="s">
        <v>5</v>
      </c>
      <c r="H670" s="1">
        <v>10000</v>
      </c>
      <c r="J670" s="51">
        <v>45320</v>
      </c>
      <c r="L670" s="51">
        <v>45278</v>
      </c>
      <c r="M670" s="1" t="s">
        <v>135</v>
      </c>
      <c r="N670" s="1">
        <v>3</v>
      </c>
      <c r="O670" s="1">
        <v>2.4180000000000001</v>
      </c>
      <c r="P670" s="1">
        <v>72540</v>
      </c>
      <c r="Q670" s="1">
        <v>-7.11</v>
      </c>
      <c r="R670" s="1" t="s">
        <v>83</v>
      </c>
      <c r="T670" s="50">
        <f>IF(ISNUMBER(VLOOKUP(U670,Blotter!B:C,2,0)),VLOOKUP(U670,Blotter!B:C,2,0),"")</f>
        <v>36</v>
      </c>
      <c r="U670" s="49" t="str">
        <f t="shared" ref="U670" si="672">D670</f>
        <v>NGG4</v>
      </c>
      <c r="V670" s="49">
        <f t="shared" ref="V670" si="673">N670</f>
        <v>3</v>
      </c>
      <c r="W670" s="49">
        <f t="shared" ref="W670" si="674">O670</f>
        <v>2.4180000000000001</v>
      </c>
      <c r="X670" s="49">
        <f t="shared" ref="X670" si="675">Q670</f>
        <v>-7.11</v>
      </c>
    </row>
    <row r="671" spans="1:24" x14ac:dyDescent="0.4">
      <c r="A671" s="1" t="s">
        <v>138</v>
      </c>
      <c r="B671" s="1" t="s">
        <v>83</v>
      </c>
      <c r="C671" s="1" t="s">
        <v>117</v>
      </c>
      <c r="D671" s="1" t="s">
        <v>362</v>
      </c>
      <c r="E671" s="1" t="s">
        <v>382</v>
      </c>
      <c r="F671" s="1" t="s">
        <v>383</v>
      </c>
      <c r="H671" s="1">
        <v>1</v>
      </c>
      <c r="L671" s="51">
        <v>45279</v>
      </c>
      <c r="M671" s="1" t="s">
        <v>135</v>
      </c>
      <c r="N671" s="1">
        <v>274</v>
      </c>
      <c r="O671" s="1">
        <v>16.149999999999999</v>
      </c>
      <c r="P671" s="1">
        <v>4425.1000000000004</v>
      </c>
      <c r="Q671" s="1">
        <v>-1.37</v>
      </c>
      <c r="R671" s="1" t="s">
        <v>83</v>
      </c>
      <c r="T671" s="50">
        <f>IF(ISNUMBER(VLOOKUP(U671,Blotter!B:C,2,0)),VLOOKUP(U671,Blotter!B:C,2,0),"")</f>
        <v>35</v>
      </c>
      <c r="U671" s="49" t="str">
        <f t="shared" ref="U671:U672" si="676">D671</f>
        <v>SAVE</v>
      </c>
      <c r="V671" s="49">
        <f t="shared" ref="V671:V672" si="677">N671</f>
        <v>274</v>
      </c>
      <c r="W671" s="49">
        <f t="shared" ref="W671:W672" si="678">O671</f>
        <v>16.149999999999999</v>
      </c>
      <c r="X671" s="49">
        <f t="shared" ref="X671:X672" si="679">Q671</f>
        <v>-1.37</v>
      </c>
    </row>
    <row r="672" spans="1:24" x14ac:dyDescent="0.4">
      <c r="A672" s="1" t="s">
        <v>138</v>
      </c>
      <c r="B672" s="1" t="s">
        <v>83</v>
      </c>
      <c r="C672" s="1" t="s">
        <v>117</v>
      </c>
      <c r="D672" s="1" t="s">
        <v>362</v>
      </c>
      <c r="E672" s="1" t="s">
        <v>382</v>
      </c>
      <c r="F672" s="1" t="s">
        <v>383</v>
      </c>
      <c r="H672" s="1">
        <v>1</v>
      </c>
      <c r="L672" s="51">
        <v>45279</v>
      </c>
      <c r="M672" s="1" t="s">
        <v>135</v>
      </c>
      <c r="N672" s="1">
        <v>87</v>
      </c>
      <c r="O672" s="1">
        <v>16.149999999999999</v>
      </c>
      <c r="P672" s="1">
        <v>1405.05</v>
      </c>
      <c r="Q672" s="1">
        <v>-0.435</v>
      </c>
      <c r="R672" s="1" t="s">
        <v>83</v>
      </c>
      <c r="T672" s="50">
        <f>IF(ISNUMBER(VLOOKUP(U672,Blotter!B:C,2,0)),VLOOKUP(U672,Blotter!B:C,2,0),"")</f>
        <v>35</v>
      </c>
      <c r="U672" s="49" t="str">
        <f t="shared" si="676"/>
        <v>SAVE</v>
      </c>
      <c r="V672" s="49">
        <f t="shared" si="677"/>
        <v>87</v>
      </c>
      <c r="W672" s="49">
        <f t="shared" si="678"/>
        <v>16.149999999999999</v>
      </c>
      <c r="X672" s="49">
        <f t="shared" si="679"/>
        <v>-0.435</v>
      </c>
    </row>
    <row r="673" spans="1:24" x14ac:dyDescent="0.4">
      <c r="A673" s="1" t="s">
        <v>138</v>
      </c>
      <c r="B673" s="1" t="s">
        <v>83</v>
      </c>
      <c r="C673" s="1" t="s">
        <v>117</v>
      </c>
      <c r="D673" s="1" t="s">
        <v>362</v>
      </c>
      <c r="E673" s="1" t="s">
        <v>382</v>
      </c>
      <c r="F673" s="1" t="s">
        <v>383</v>
      </c>
      <c r="H673" s="1">
        <v>1</v>
      </c>
      <c r="L673" s="51">
        <v>45279</v>
      </c>
      <c r="M673" s="1" t="s">
        <v>135</v>
      </c>
      <c r="N673" s="1">
        <v>508</v>
      </c>
      <c r="O673" s="1">
        <v>16.149999999999999</v>
      </c>
      <c r="P673" s="1">
        <v>8204.2000000000007</v>
      </c>
      <c r="Q673" s="1">
        <v>-2.54</v>
      </c>
      <c r="R673" s="1" t="s">
        <v>83</v>
      </c>
      <c r="T673" s="50">
        <f>IF(ISNUMBER(VLOOKUP(U673,Blotter!B:C,2,0)),VLOOKUP(U673,Blotter!B:C,2,0),"")</f>
        <v>35</v>
      </c>
      <c r="U673" s="49" t="str">
        <f t="shared" ref="U673:U676" si="680">D673</f>
        <v>SAVE</v>
      </c>
      <c r="V673" s="49">
        <f t="shared" ref="V673:V676" si="681">N673</f>
        <v>508</v>
      </c>
      <c r="W673" s="49">
        <f t="shared" ref="W673:W676" si="682">O673</f>
        <v>16.149999999999999</v>
      </c>
      <c r="X673" s="49">
        <f t="shared" ref="X673:X676" si="683">Q673</f>
        <v>-2.54</v>
      </c>
    </row>
    <row r="674" spans="1:24" x14ac:dyDescent="0.4">
      <c r="A674" s="1" t="s">
        <v>138</v>
      </c>
      <c r="B674" s="1" t="s">
        <v>83</v>
      </c>
      <c r="C674" s="1" t="s">
        <v>117</v>
      </c>
      <c r="D674" s="1" t="s">
        <v>362</v>
      </c>
      <c r="E674" s="1" t="s">
        <v>382</v>
      </c>
      <c r="F674" s="1" t="s">
        <v>383</v>
      </c>
      <c r="H674" s="1">
        <v>1</v>
      </c>
      <c r="L674" s="51">
        <v>45279</v>
      </c>
      <c r="M674" s="1" t="s">
        <v>135</v>
      </c>
      <c r="N674" s="1">
        <v>131</v>
      </c>
      <c r="O674" s="1">
        <v>16.149999999999999</v>
      </c>
      <c r="P674" s="1">
        <v>2115.65</v>
      </c>
      <c r="Q674" s="1">
        <v>-0.65500000000000003</v>
      </c>
      <c r="R674" s="1" t="s">
        <v>83</v>
      </c>
      <c r="T674" s="50">
        <f>IF(ISNUMBER(VLOOKUP(U674,Blotter!B:C,2,0)),VLOOKUP(U674,Blotter!B:C,2,0),"")</f>
        <v>35</v>
      </c>
      <c r="U674" s="49" t="str">
        <f t="shared" si="680"/>
        <v>SAVE</v>
      </c>
      <c r="V674" s="49">
        <f t="shared" si="681"/>
        <v>131</v>
      </c>
      <c r="W674" s="49">
        <f t="shared" si="682"/>
        <v>16.149999999999999</v>
      </c>
      <c r="X674" s="49">
        <f t="shared" si="683"/>
        <v>-0.65500000000000003</v>
      </c>
    </row>
    <row r="675" spans="1:24" x14ac:dyDescent="0.4">
      <c r="A675" s="1" t="s">
        <v>138</v>
      </c>
      <c r="B675" s="1" t="s">
        <v>83</v>
      </c>
      <c r="C675" s="1" t="s">
        <v>117</v>
      </c>
      <c r="D675" s="1" t="s">
        <v>362</v>
      </c>
      <c r="E675" s="1" t="s">
        <v>382</v>
      </c>
      <c r="F675" s="1" t="s">
        <v>383</v>
      </c>
      <c r="H675" s="1">
        <v>1</v>
      </c>
      <c r="L675" s="51">
        <v>45279</v>
      </c>
      <c r="M675" s="1" t="s">
        <v>139</v>
      </c>
      <c r="N675" s="1">
        <v>-100</v>
      </c>
      <c r="O675" s="1">
        <v>16.25</v>
      </c>
      <c r="P675" s="1">
        <v>-1625</v>
      </c>
      <c r="Q675" s="1">
        <v>-1.0275000000000001</v>
      </c>
      <c r="R675" s="1" t="s">
        <v>83</v>
      </c>
      <c r="T675" s="50">
        <f>IF(ISNUMBER(VLOOKUP(U675,Blotter!B:C,2,0)),VLOOKUP(U675,Blotter!B:C,2,0),"")</f>
        <v>35</v>
      </c>
      <c r="U675" s="49" t="str">
        <f t="shared" si="680"/>
        <v>SAVE</v>
      </c>
      <c r="V675" s="49">
        <f t="shared" si="681"/>
        <v>-100</v>
      </c>
      <c r="W675" s="49">
        <f t="shared" si="682"/>
        <v>16.25</v>
      </c>
      <c r="X675" s="49">
        <f t="shared" si="683"/>
        <v>-1.0275000000000001</v>
      </c>
    </row>
    <row r="676" spans="1:24" x14ac:dyDescent="0.4">
      <c r="A676" s="1" t="s">
        <v>138</v>
      </c>
      <c r="B676" s="1" t="s">
        <v>83</v>
      </c>
      <c r="C676" s="1" t="s">
        <v>117</v>
      </c>
      <c r="D676" s="1" t="s">
        <v>362</v>
      </c>
      <c r="E676" s="1" t="s">
        <v>382</v>
      </c>
      <c r="F676" s="1" t="s">
        <v>383</v>
      </c>
      <c r="H676" s="1">
        <v>1</v>
      </c>
      <c r="L676" s="51">
        <v>45279</v>
      </c>
      <c r="M676" s="1" t="s">
        <v>139</v>
      </c>
      <c r="N676" s="1">
        <v>-900</v>
      </c>
      <c r="O676" s="1">
        <v>16.25</v>
      </c>
      <c r="P676" s="1">
        <v>-14625</v>
      </c>
      <c r="Q676" s="1">
        <v>-4.2474999999999996</v>
      </c>
      <c r="R676" s="1" t="s">
        <v>83</v>
      </c>
      <c r="T676" s="50">
        <f>IF(ISNUMBER(VLOOKUP(U676,Blotter!B:C,2,0)),VLOOKUP(U676,Blotter!B:C,2,0),"")</f>
        <v>35</v>
      </c>
      <c r="U676" s="49" t="str">
        <f t="shared" si="680"/>
        <v>SAVE</v>
      </c>
      <c r="V676" s="49">
        <f t="shared" si="681"/>
        <v>-900</v>
      </c>
      <c r="W676" s="49">
        <f t="shared" si="682"/>
        <v>16.25</v>
      </c>
      <c r="X676" s="49">
        <f t="shared" si="683"/>
        <v>-4.2474999999999996</v>
      </c>
    </row>
    <row r="677" spans="1:24" x14ac:dyDescent="0.4">
      <c r="A677" s="1" t="s">
        <v>138</v>
      </c>
      <c r="B677" s="1" t="s">
        <v>83</v>
      </c>
      <c r="C677" s="1" t="s">
        <v>82</v>
      </c>
      <c r="D677" s="1" t="s">
        <v>384</v>
      </c>
      <c r="E677" s="1" t="s">
        <v>387</v>
      </c>
      <c r="F677" s="1" t="s">
        <v>126</v>
      </c>
      <c r="G677" s="1" t="s">
        <v>25</v>
      </c>
      <c r="H677" s="1">
        <v>25000</v>
      </c>
      <c r="J677" s="51">
        <v>45377</v>
      </c>
      <c r="L677" s="51">
        <v>45282</v>
      </c>
      <c r="M677" s="1" t="s">
        <v>135</v>
      </c>
      <c r="N677" s="1">
        <v>1</v>
      </c>
      <c r="O677" s="1">
        <v>3.9129999999999998</v>
      </c>
      <c r="P677" s="1">
        <v>97825</v>
      </c>
      <c r="Q677" s="1">
        <v>-2.42</v>
      </c>
      <c r="R677" s="1" t="s">
        <v>83</v>
      </c>
      <c r="T677" s="50">
        <f>IF(ISNUMBER(VLOOKUP(U677,Blotter!B:C,2,0)),VLOOKUP(U677,Blotter!B:C,2,0),"")</f>
        <v>37</v>
      </c>
      <c r="U677" s="49" t="str">
        <f t="shared" ref="U677" si="684">D677</f>
        <v>HGH4</v>
      </c>
      <c r="V677" s="49">
        <f t="shared" ref="V677" si="685">N677</f>
        <v>1</v>
      </c>
      <c r="W677" s="49">
        <f t="shared" ref="W677" si="686">O677</f>
        <v>3.9129999999999998</v>
      </c>
      <c r="X677" s="49">
        <f t="shared" ref="X677" si="687">Q677</f>
        <v>-2.42</v>
      </c>
    </row>
    <row r="678" spans="1:24" x14ac:dyDescent="0.4">
      <c r="A678" s="1" t="s">
        <v>138</v>
      </c>
      <c r="B678" s="1" t="s">
        <v>83</v>
      </c>
      <c r="C678" s="1" t="s">
        <v>82</v>
      </c>
      <c r="D678" s="1" t="s">
        <v>384</v>
      </c>
      <c r="E678" s="1" t="s">
        <v>387</v>
      </c>
      <c r="F678" s="1" t="s">
        <v>126</v>
      </c>
      <c r="G678" s="1" t="s">
        <v>25</v>
      </c>
      <c r="H678" s="1">
        <v>25000</v>
      </c>
      <c r="J678" s="51">
        <v>45377</v>
      </c>
      <c r="L678" s="51">
        <v>45282</v>
      </c>
      <c r="M678" s="1" t="s">
        <v>135</v>
      </c>
      <c r="N678" s="1">
        <v>5</v>
      </c>
      <c r="O678" s="1">
        <v>3.9129999999999998</v>
      </c>
      <c r="P678" s="1">
        <v>489125</v>
      </c>
      <c r="Q678" s="1">
        <v>-12.1</v>
      </c>
      <c r="R678" s="1" t="s">
        <v>83</v>
      </c>
      <c r="T678" s="50">
        <f>IF(ISNUMBER(VLOOKUP(U678,Blotter!B:C,2,0)),VLOOKUP(U678,Blotter!B:C,2,0),"")</f>
        <v>37</v>
      </c>
      <c r="U678" s="49" t="str">
        <f t="shared" ref="U678" si="688">D678</f>
        <v>HGH4</v>
      </c>
      <c r="V678" s="49">
        <f t="shared" ref="V678" si="689">N678</f>
        <v>5</v>
      </c>
      <c r="W678" s="49">
        <f t="shared" ref="W678" si="690">O678</f>
        <v>3.9129999999999998</v>
      </c>
      <c r="X678" s="49">
        <f t="shared" ref="X678" si="691">Q678</f>
        <v>-12.1</v>
      </c>
    </row>
    <row r="679" spans="1:24" x14ac:dyDescent="0.4">
      <c r="A679" s="1" t="s">
        <v>138</v>
      </c>
      <c r="B679" s="1" t="s">
        <v>83</v>
      </c>
      <c r="C679" s="1" t="s">
        <v>82</v>
      </c>
      <c r="D679" s="1" t="s">
        <v>384</v>
      </c>
      <c r="E679" s="1" t="s">
        <v>387</v>
      </c>
      <c r="F679" s="1" t="s">
        <v>126</v>
      </c>
      <c r="G679" s="1" t="s">
        <v>25</v>
      </c>
      <c r="H679" s="1">
        <v>25000</v>
      </c>
      <c r="J679" s="51">
        <v>45377</v>
      </c>
      <c r="L679" s="51">
        <v>45287</v>
      </c>
      <c r="M679" s="1" t="s">
        <v>135</v>
      </c>
      <c r="N679" s="1">
        <v>3</v>
      </c>
      <c r="O679" s="1">
        <v>3.96</v>
      </c>
      <c r="P679" s="1">
        <v>297000</v>
      </c>
      <c r="Q679" s="1">
        <v>-7.26</v>
      </c>
      <c r="R679" s="1" t="s">
        <v>83</v>
      </c>
      <c r="T679" s="50">
        <f>IF(ISNUMBER(VLOOKUP(U679,Blotter!B:C,2,0)),VLOOKUP(U679,Blotter!B:C,2,0),"")</f>
        <v>37</v>
      </c>
      <c r="U679" s="49" t="str">
        <f t="shared" ref="U679" si="692">D679</f>
        <v>HGH4</v>
      </c>
      <c r="V679" s="49">
        <f t="shared" ref="V679" si="693">N679</f>
        <v>3</v>
      </c>
      <c r="W679" s="49">
        <f t="shared" ref="W679" si="694">O679</f>
        <v>3.96</v>
      </c>
      <c r="X679" s="49">
        <f t="shared" ref="X679" si="695">Q679</f>
        <v>-7.26</v>
      </c>
    </row>
    <row r="680" spans="1:24" x14ac:dyDescent="0.4">
      <c r="A680" s="1" t="s">
        <v>138</v>
      </c>
      <c r="B680" s="1" t="s">
        <v>83</v>
      </c>
      <c r="C680" s="1" t="s">
        <v>82</v>
      </c>
      <c r="D680" s="1" t="s">
        <v>384</v>
      </c>
      <c r="E680" s="1" t="s">
        <v>387</v>
      </c>
      <c r="F680" s="1" t="s">
        <v>126</v>
      </c>
      <c r="G680" s="1" t="s">
        <v>25</v>
      </c>
      <c r="H680" s="1">
        <v>25000</v>
      </c>
      <c r="J680" s="51">
        <v>45377</v>
      </c>
      <c r="L680" s="51">
        <v>45288</v>
      </c>
      <c r="M680" s="1" t="s">
        <v>135</v>
      </c>
      <c r="N680" s="1">
        <v>2</v>
      </c>
      <c r="O680" s="1">
        <v>3.9249999999999998</v>
      </c>
      <c r="P680" s="1">
        <v>196250</v>
      </c>
      <c r="Q680" s="1">
        <v>-4.84</v>
      </c>
      <c r="R680" s="1" t="s">
        <v>83</v>
      </c>
      <c r="T680" s="50">
        <f>IF(ISNUMBER(VLOOKUP(U680,Blotter!B:C,2,0)),VLOOKUP(U680,Blotter!B:C,2,0),"")</f>
        <v>37</v>
      </c>
      <c r="U680" s="49" t="str">
        <f t="shared" ref="U680" si="696">D680</f>
        <v>HGH4</v>
      </c>
      <c r="V680" s="49">
        <f t="shared" ref="V680" si="697">N680</f>
        <v>2</v>
      </c>
      <c r="W680" s="49">
        <f t="shared" ref="W680" si="698">O680</f>
        <v>3.9249999999999998</v>
      </c>
      <c r="X680" s="49">
        <f t="shared" ref="X680" si="699">Q680</f>
        <v>-4.84</v>
      </c>
    </row>
    <row r="681" spans="1:24" x14ac:dyDescent="0.4">
      <c r="A681" s="1" t="s">
        <v>138</v>
      </c>
      <c r="B681" s="1" t="s">
        <v>83</v>
      </c>
      <c r="C681" s="1" t="s">
        <v>82</v>
      </c>
      <c r="D681" s="1" t="s">
        <v>369</v>
      </c>
      <c r="E681" s="1" t="s">
        <v>372</v>
      </c>
      <c r="F681" s="1" t="s">
        <v>93</v>
      </c>
      <c r="G681" s="1" t="s">
        <v>5</v>
      </c>
      <c r="H681" s="1">
        <v>10000</v>
      </c>
      <c r="J681" s="51">
        <v>45320</v>
      </c>
      <c r="L681" s="51">
        <v>45293</v>
      </c>
      <c r="M681" s="1" t="s">
        <v>139</v>
      </c>
      <c r="N681" s="1">
        <v>-3</v>
      </c>
      <c r="O681" s="1">
        <v>2.65</v>
      </c>
      <c r="P681" s="1">
        <v>-79500</v>
      </c>
      <c r="Q681" s="1">
        <v>-7.11</v>
      </c>
      <c r="R681" s="1" t="s">
        <v>83</v>
      </c>
      <c r="T681" s="50">
        <f>IF(ISNUMBER(VLOOKUP(U681,Blotter!B:C,2,0)),VLOOKUP(U681,Blotter!B:C,2,0),"")</f>
        <v>36</v>
      </c>
      <c r="U681" s="49" t="str">
        <f t="shared" ref="U681:U683" si="700">D681</f>
        <v>NGG4</v>
      </c>
      <c r="V681" s="49">
        <f t="shared" ref="V681:V683" si="701">N681</f>
        <v>-3</v>
      </c>
      <c r="W681" s="49">
        <f t="shared" ref="W681:W683" si="702">O681</f>
        <v>2.65</v>
      </c>
      <c r="X681" s="49">
        <f t="shared" ref="X681:X683" si="703">Q681</f>
        <v>-7.11</v>
      </c>
    </row>
    <row r="682" spans="1:24" x14ac:dyDescent="0.4">
      <c r="A682" s="1" t="s">
        <v>138</v>
      </c>
      <c r="B682" s="1" t="s">
        <v>83</v>
      </c>
      <c r="C682" s="1" t="s">
        <v>82</v>
      </c>
      <c r="D682" s="1" t="s">
        <v>384</v>
      </c>
      <c r="E682" s="1" t="s">
        <v>387</v>
      </c>
      <c r="F682" s="1" t="s">
        <v>126</v>
      </c>
      <c r="G682" s="1" t="s">
        <v>25</v>
      </c>
      <c r="H682" s="1">
        <v>25000</v>
      </c>
      <c r="J682" s="51">
        <v>45377</v>
      </c>
      <c r="L682" s="51">
        <v>45294</v>
      </c>
      <c r="M682" s="1" t="s">
        <v>139</v>
      </c>
      <c r="N682" s="1">
        <v>-11</v>
      </c>
      <c r="O682" s="1">
        <v>3.86</v>
      </c>
      <c r="P682" s="1">
        <v>-1061500</v>
      </c>
      <c r="Q682" s="1">
        <v>-26.62</v>
      </c>
      <c r="R682" s="1" t="s">
        <v>83</v>
      </c>
      <c r="T682" s="50">
        <f>IF(ISNUMBER(VLOOKUP(U682,Blotter!B:C,2,0)),VLOOKUP(U682,Blotter!B:C,2,0),"")</f>
        <v>37</v>
      </c>
      <c r="U682" s="49" t="str">
        <f t="shared" si="700"/>
        <v>HGH4</v>
      </c>
      <c r="V682" s="49">
        <f t="shared" si="701"/>
        <v>-11</v>
      </c>
      <c r="W682" s="49">
        <f t="shared" si="702"/>
        <v>3.86</v>
      </c>
      <c r="X682" s="49">
        <f t="shared" si="703"/>
        <v>-26.62</v>
      </c>
    </row>
    <row r="683" spans="1:24" x14ac:dyDescent="0.4">
      <c r="A683" s="1" t="s">
        <v>138</v>
      </c>
      <c r="B683" s="1" t="s">
        <v>83</v>
      </c>
      <c r="C683" s="1" t="s">
        <v>82</v>
      </c>
      <c r="D683" s="1" t="s">
        <v>369</v>
      </c>
      <c r="E683" s="1" t="s">
        <v>372</v>
      </c>
      <c r="F683" s="1" t="s">
        <v>93</v>
      </c>
      <c r="G683" s="1" t="s">
        <v>5</v>
      </c>
      <c r="H683" s="1">
        <v>10000</v>
      </c>
      <c r="J683" s="51">
        <v>45320</v>
      </c>
      <c r="L683" s="51">
        <v>45294</v>
      </c>
      <c r="M683" s="1" t="s">
        <v>139</v>
      </c>
      <c r="N683" s="1">
        <v>-3</v>
      </c>
      <c r="O683" s="1">
        <v>2.66</v>
      </c>
      <c r="P683" s="1">
        <v>-79800</v>
      </c>
      <c r="Q683" s="1">
        <v>-7.11</v>
      </c>
      <c r="R683" s="1" t="s">
        <v>83</v>
      </c>
      <c r="T683" s="50">
        <f>IF(ISNUMBER(VLOOKUP(U683,Blotter!B:C,2,0)),VLOOKUP(U683,Blotter!B:C,2,0),"")</f>
        <v>36</v>
      </c>
      <c r="U683" s="49" t="str">
        <f t="shared" si="700"/>
        <v>NGG4</v>
      </c>
      <c r="V683" s="49">
        <f t="shared" si="701"/>
        <v>-3</v>
      </c>
      <c r="W683" s="49">
        <f t="shared" si="702"/>
        <v>2.66</v>
      </c>
      <c r="X683" s="49">
        <f t="shared" si="703"/>
        <v>-7.11</v>
      </c>
    </row>
    <row r="684" spans="1:24" x14ac:dyDescent="0.4">
      <c r="A684" s="1" t="s">
        <v>138</v>
      </c>
      <c r="B684" s="1" t="s">
        <v>83</v>
      </c>
      <c r="C684" s="1" t="s">
        <v>82</v>
      </c>
      <c r="D684" s="1" t="s">
        <v>384</v>
      </c>
      <c r="E684" s="1" t="s">
        <v>387</v>
      </c>
      <c r="F684" s="1" t="s">
        <v>126</v>
      </c>
      <c r="G684" s="1" t="s">
        <v>25</v>
      </c>
      <c r="H684" s="1">
        <v>25000</v>
      </c>
      <c r="J684" s="51">
        <v>45377</v>
      </c>
      <c r="L684" s="51">
        <v>45295</v>
      </c>
      <c r="M684" s="1" t="s">
        <v>135</v>
      </c>
      <c r="N684" s="1">
        <v>6</v>
      </c>
      <c r="O684" s="1">
        <v>3.8290000000000002</v>
      </c>
      <c r="P684" s="1">
        <v>574350</v>
      </c>
      <c r="Q684" s="1">
        <v>-14.52</v>
      </c>
      <c r="R684" s="1" t="s">
        <v>83</v>
      </c>
      <c r="T684" s="50">
        <f>IF(ISNUMBER(VLOOKUP(U684,Blotter!B:C,2,0)),VLOOKUP(U684,Blotter!B:C,2,0),"")</f>
        <v>37</v>
      </c>
      <c r="U684" s="49" t="str">
        <f t="shared" ref="U684:U688" si="704">D684</f>
        <v>HGH4</v>
      </c>
      <c r="V684" s="49">
        <f t="shared" ref="V684:V688" si="705">N684</f>
        <v>6</v>
      </c>
      <c r="W684" s="49">
        <f t="shared" ref="W684:W688" si="706">O684</f>
        <v>3.8290000000000002</v>
      </c>
      <c r="X684" s="49">
        <f t="shared" ref="X684:X688" si="707">Q684</f>
        <v>-14.52</v>
      </c>
    </row>
    <row r="685" spans="1:24" x14ac:dyDescent="0.4">
      <c r="A685" s="1" t="s">
        <v>138</v>
      </c>
      <c r="B685" s="1" t="s">
        <v>83</v>
      </c>
      <c r="C685" s="1" t="s">
        <v>82</v>
      </c>
      <c r="D685" s="1" t="s">
        <v>384</v>
      </c>
      <c r="E685" s="1" t="s">
        <v>387</v>
      </c>
      <c r="F685" s="1" t="s">
        <v>126</v>
      </c>
      <c r="G685" s="1" t="s">
        <v>25</v>
      </c>
      <c r="H685" s="1">
        <v>25000</v>
      </c>
      <c r="J685" s="51">
        <v>45377</v>
      </c>
      <c r="L685" s="51">
        <v>45295</v>
      </c>
      <c r="M685" s="1" t="s">
        <v>139</v>
      </c>
      <c r="N685" s="1">
        <v>-6</v>
      </c>
      <c r="O685" s="1">
        <v>3.8414999999999999</v>
      </c>
      <c r="P685" s="1">
        <v>-576225</v>
      </c>
      <c r="Q685" s="1">
        <v>-14.52</v>
      </c>
      <c r="R685" s="1" t="s">
        <v>83</v>
      </c>
      <c r="T685" s="50">
        <f>IF(ISNUMBER(VLOOKUP(U685,Blotter!B:C,2,0)),VLOOKUP(U685,Blotter!B:C,2,0),"")</f>
        <v>37</v>
      </c>
      <c r="U685" s="49" t="str">
        <f t="shared" si="704"/>
        <v>HGH4</v>
      </c>
      <c r="V685" s="49">
        <f t="shared" si="705"/>
        <v>-6</v>
      </c>
      <c r="W685" s="49">
        <f t="shared" si="706"/>
        <v>3.8414999999999999</v>
      </c>
      <c r="X685" s="49">
        <f t="shared" si="707"/>
        <v>-14.52</v>
      </c>
    </row>
    <row r="686" spans="1:24" x14ac:dyDescent="0.4">
      <c r="A686" s="1" t="s">
        <v>138</v>
      </c>
      <c r="B686" s="1" t="s">
        <v>83</v>
      </c>
      <c r="C686" s="1" t="s">
        <v>82</v>
      </c>
      <c r="D686" s="1" t="s">
        <v>369</v>
      </c>
      <c r="E686" s="1" t="s">
        <v>372</v>
      </c>
      <c r="F686" s="1" t="s">
        <v>93</v>
      </c>
      <c r="G686" s="1" t="s">
        <v>5</v>
      </c>
      <c r="H686" s="1">
        <v>10000</v>
      </c>
      <c r="J686" s="51">
        <v>45320</v>
      </c>
      <c r="L686" s="51">
        <v>45295</v>
      </c>
      <c r="M686" s="1" t="s">
        <v>139</v>
      </c>
      <c r="N686" s="1">
        <v>-1</v>
      </c>
      <c r="O686" s="1">
        <v>2.78</v>
      </c>
      <c r="P686" s="1">
        <v>-27800</v>
      </c>
      <c r="Q686" s="1">
        <v>-2.37</v>
      </c>
      <c r="R686" s="1" t="s">
        <v>83</v>
      </c>
      <c r="T686" s="50">
        <f>IF(ISNUMBER(VLOOKUP(U686,Blotter!B:C,2,0)),VLOOKUP(U686,Blotter!B:C,2,0),"")</f>
        <v>36</v>
      </c>
      <c r="U686" s="49" t="str">
        <f t="shared" si="704"/>
        <v>NGG4</v>
      </c>
      <c r="V686" s="49">
        <f t="shared" si="705"/>
        <v>-1</v>
      </c>
      <c r="W686" s="49">
        <f t="shared" si="706"/>
        <v>2.78</v>
      </c>
      <c r="X686" s="49">
        <f t="shared" si="707"/>
        <v>-2.37</v>
      </c>
    </row>
    <row r="687" spans="1:24" x14ac:dyDescent="0.4">
      <c r="A687" s="1" t="s">
        <v>138</v>
      </c>
      <c r="B687" s="1" t="s">
        <v>83</v>
      </c>
      <c r="C687" s="1" t="s">
        <v>82</v>
      </c>
      <c r="D687" s="1" t="s">
        <v>369</v>
      </c>
      <c r="E687" s="1" t="s">
        <v>372</v>
      </c>
      <c r="F687" s="1" t="s">
        <v>93</v>
      </c>
      <c r="G687" s="1" t="s">
        <v>5</v>
      </c>
      <c r="H687" s="1">
        <v>10000</v>
      </c>
      <c r="J687" s="51">
        <v>45320</v>
      </c>
      <c r="L687" s="51">
        <v>45295</v>
      </c>
      <c r="M687" s="1" t="s">
        <v>139</v>
      </c>
      <c r="N687" s="1">
        <v>-1</v>
      </c>
      <c r="O687" s="1">
        <v>2.78</v>
      </c>
      <c r="P687" s="1">
        <v>-27800</v>
      </c>
      <c r="Q687" s="1">
        <v>-2.37</v>
      </c>
      <c r="R687" s="1" t="s">
        <v>83</v>
      </c>
      <c r="T687" s="50">
        <f>IF(ISNUMBER(VLOOKUP(U687,Blotter!B:C,2,0)),VLOOKUP(U687,Blotter!B:C,2,0),"")</f>
        <v>36</v>
      </c>
      <c r="U687" s="49" t="str">
        <f t="shared" si="704"/>
        <v>NGG4</v>
      </c>
      <c r="V687" s="49">
        <f t="shared" si="705"/>
        <v>-1</v>
      </c>
      <c r="W687" s="49">
        <f t="shared" si="706"/>
        <v>2.78</v>
      </c>
      <c r="X687" s="49">
        <f t="shared" si="707"/>
        <v>-2.37</v>
      </c>
    </row>
    <row r="688" spans="1:24" x14ac:dyDescent="0.4">
      <c r="A688" s="1" t="s">
        <v>138</v>
      </c>
      <c r="B688" s="1" t="s">
        <v>83</v>
      </c>
      <c r="C688" s="1" t="s">
        <v>82</v>
      </c>
      <c r="D688" s="1" t="s">
        <v>369</v>
      </c>
      <c r="E688" s="1" t="s">
        <v>372</v>
      </c>
      <c r="F688" s="1" t="s">
        <v>93</v>
      </c>
      <c r="G688" s="1" t="s">
        <v>5</v>
      </c>
      <c r="H688" s="1">
        <v>10000</v>
      </c>
      <c r="J688" s="51">
        <v>45320</v>
      </c>
      <c r="L688" s="51">
        <v>45295</v>
      </c>
      <c r="M688" s="1" t="s">
        <v>139</v>
      </c>
      <c r="N688" s="1">
        <v>-1</v>
      </c>
      <c r="O688" s="1">
        <v>2.78</v>
      </c>
      <c r="P688" s="1">
        <v>-27800</v>
      </c>
      <c r="Q688" s="1">
        <v>-2.37</v>
      </c>
      <c r="R688" s="1" t="s">
        <v>83</v>
      </c>
      <c r="T688" s="50">
        <f>IF(ISNUMBER(VLOOKUP(U688,Blotter!B:C,2,0)),VLOOKUP(U688,Blotter!B:C,2,0),"")</f>
        <v>36</v>
      </c>
      <c r="U688" s="49" t="str">
        <f t="shared" si="704"/>
        <v>NGG4</v>
      </c>
      <c r="V688" s="49">
        <f t="shared" si="705"/>
        <v>-1</v>
      </c>
      <c r="W688" s="49">
        <f t="shared" si="706"/>
        <v>2.78</v>
      </c>
      <c r="X688" s="49">
        <f t="shared" si="707"/>
        <v>-2.37</v>
      </c>
    </row>
    <row r="689" spans="1:24" x14ac:dyDescent="0.4">
      <c r="A689" s="1" t="s">
        <v>138</v>
      </c>
      <c r="B689" s="1" t="s">
        <v>83</v>
      </c>
      <c r="C689" s="1" t="s">
        <v>82</v>
      </c>
      <c r="D689" s="1" t="s">
        <v>384</v>
      </c>
      <c r="E689" s="1" t="s">
        <v>387</v>
      </c>
      <c r="F689" s="1" t="s">
        <v>126</v>
      </c>
      <c r="G689" s="1" t="s">
        <v>25</v>
      </c>
      <c r="H689" s="1">
        <v>25000</v>
      </c>
      <c r="J689" s="51">
        <v>45377</v>
      </c>
      <c r="L689" s="51">
        <v>45296</v>
      </c>
      <c r="M689" s="1" t="s">
        <v>135</v>
      </c>
      <c r="N689" s="1">
        <v>6</v>
      </c>
      <c r="O689" s="1">
        <v>3.82</v>
      </c>
      <c r="P689" s="1">
        <v>573000</v>
      </c>
      <c r="Q689" s="1">
        <v>-14.52</v>
      </c>
      <c r="R689" s="1" t="s">
        <v>83</v>
      </c>
      <c r="T689" s="50">
        <f>IF(ISNUMBER(VLOOKUP(U689,Blotter!B:C,2,0)),VLOOKUP(U689,Blotter!B:C,2,0),"")</f>
        <v>37</v>
      </c>
      <c r="U689" s="49" t="str">
        <f t="shared" ref="U689:U691" si="708">D689</f>
        <v>HGH4</v>
      </c>
      <c r="V689" s="49">
        <f t="shared" ref="V689:V691" si="709">N689</f>
        <v>6</v>
      </c>
      <c r="W689" s="49">
        <f t="shared" ref="W689:W691" si="710">O689</f>
        <v>3.82</v>
      </c>
      <c r="X689" s="49">
        <f t="shared" ref="X689:X691" si="711">Q689</f>
        <v>-14.52</v>
      </c>
    </row>
    <row r="690" spans="1:24" x14ac:dyDescent="0.4">
      <c r="A690" s="1" t="s">
        <v>138</v>
      </c>
      <c r="B690" s="1" t="s">
        <v>83</v>
      </c>
      <c r="C690" s="1" t="s">
        <v>82</v>
      </c>
      <c r="D690" s="1" t="s">
        <v>384</v>
      </c>
      <c r="E690" s="1" t="s">
        <v>387</v>
      </c>
      <c r="F690" s="1" t="s">
        <v>126</v>
      </c>
      <c r="G690" s="1" t="s">
        <v>25</v>
      </c>
      <c r="H690" s="1">
        <v>25000</v>
      </c>
      <c r="J690" s="51">
        <v>45377</v>
      </c>
      <c r="L690" s="51">
        <v>45296</v>
      </c>
      <c r="M690" s="1" t="s">
        <v>139</v>
      </c>
      <c r="N690" s="1">
        <v>-6</v>
      </c>
      <c r="O690" s="1">
        <v>3.84</v>
      </c>
      <c r="P690" s="1">
        <v>-576000</v>
      </c>
      <c r="Q690" s="1">
        <v>-14.52</v>
      </c>
      <c r="R690" s="1" t="s">
        <v>83</v>
      </c>
      <c r="T690" s="50">
        <f>IF(ISNUMBER(VLOOKUP(U690,Blotter!B:C,2,0)),VLOOKUP(U690,Blotter!B:C,2,0),"")</f>
        <v>37</v>
      </c>
      <c r="U690" s="49" t="str">
        <f t="shared" si="708"/>
        <v>HGH4</v>
      </c>
      <c r="V690" s="49">
        <f t="shared" si="709"/>
        <v>-6</v>
      </c>
      <c r="W690" s="49">
        <f t="shared" si="710"/>
        <v>3.84</v>
      </c>
      <c r="X690" s="49">
        <f t="shared" si="711"/>
        <v>-14.52</v>
      </c>
    </row>
    <row r="691" spans="1:24" x14ac:dyDescent="0.4">
      <c r="A691" s="1" t="s">
        <v>138</v>
      </c>
      <c r="B691" s="1" t="s">
        <v>83</v>
      </c>
      <c r="C691" s="1" t="s">
        <v>82</v>
      </c>
      <c r="D691" s="1" t="s">
        <v>369</v>
      </c>
      <c r="E691" s="1" t="s">
        <v>372</v>
      </c>
      <c r="F691" s="1" t="s">
        <v>93</v>
      </c>
      <c r="G691" s="1" t="s">
        <v>5</v>
      </c>
      <c r="H691" s="1">
        <v>10000</v>
      </c>
      <c r="J691" s="51">
        <v>45320</v>
      </c>
      <c r="L691" s="51">
        <v>45296</v>
      </c>
      <c r="M691" s="1" t="s">
        <v>139</v>
      </c>
      <c r="N691" s="1">
        <v>-3</v>
      </c>
      <c r="O691" s="1">
        <v>2.9</v>
      </c>
      <c r="P691" s="1">
        <v>-87000</v>
      </c>
      <c r="Q691" s="1">
        <v>-7.11</v>
      </c>
      <c r="R691" s="1" t="s">
        <v>83</v>
      </c>
      <c r="T691" s="50">
        <f>IF(ISNUMBER(VLOOKUP(U691,Blotter!B:C,2,0)),VLOOKUP(U691,Blotter!B:C,2,0),"")</f>
        <v>36</v>
      </c>
      <c r="U691" s="49" t="str">
        <f t="shared" si="708"/>
        <v>NGG4</v>
      </c>
      <c r="V691" s="49">
        <f t="shared" si="709"/>
        <v>-3</v>
      </c>
      <c r="W691" s="49">
        <f t="shared" si="710"/>
        <v>2.9</v>
      </c>
      <c r="X691" s="49">
        <f t="shared" si="711"/>
        <v>-7.11</v>
      </c>
    </row>
    <row r="692" spans="1:24" x14ac:dyDescent="0.4">
      <c r="A692" s="1" t="s">
        <v>138</v>
      </c>
      <c r="B692" s="1" t="s">
        <v>83</v>
      </c>
      <c r="C692" s="1" t="s">
        <v>82</v>
      </c>
      <c r="D692" s="1" t="s">
        <v>384</v>
      </c>
      <c r="E692" s="1" t="s">
        <v>387</v>
      </c>
      <c r="F692" s="1" t="s">
        <v>126</v>
      </c>
      <c r="G692" s="1" t="s">
        <v>25</v>
      </c>
      <c r="H692" s="1">
        <v>25000</v>
      </c>
      <c r="J692" s="51">
        <v>45377</v>
      </c>
      <c r="L692" s="51">
        <v>45299</v>
      </c>
      <c r="M692" s="1" t="s">
        <v>135</v>
      </c>
      <c r="N692" s="1">
        <v>6</v>
      </c>
      <c r="O692" s="1">
        <v>3.7989999999999999</v>
      </c>
      <c r="P692" s="1">
        <v>569850</v>
      </c>
      <c r="Q692" s="1">
        <v>-14.52</v>
      </c>
      <c r="R692" s="1" t="s">
        <v>83</v>
      </c>
      <c r="T692" s="50">
        <f>IF(ISNUMBER(VLOOKUP(U692,Blotter!B:C,2,0)),VLOOKUP(U692,Blotter!B:C,2,0),"")</f>
        <v>37</v>
      </c>
      <c r="U692" s="49" t="str">
        <f t="shared" ref="U692:U695" si="712">D692</f>
        <v>HGH4</v>
      </c>
      <c r="V692" s="49">
        <f t="shared" ref="V692:V695" si="713">N692</f>
        <v>6</v>
      </c>
      <c r="W692" s="49">
        <f t="shared" ref="W692:W695" si="714">O692</f>
        <v>3.7989999999999999</v>
      </c>
      <c r="X692" s="49">
        <f t="shared" ref="X692:X695" si="715">Q692</f>
        <v>-14.52</v>
      </c>
    </row>
    <row r="693" spans="1:24" x14ac:dyDescent="0.4">
      <c r="A693" s="1" t="s">
        <v>138</v>
      </c>
      <c r="B693" s="1" t="s">
        <v>83</v>
      </c>
      <c r="C693" s="1" t="s">
        <v>82</v>
      </c>
      <c r="D693" s="1" t="s">
        <v>384</v>
      </c>
      <c r="E693" s="1" t="s">
        <v>387</v>
      </c>
      <c r="F693" s="1" t="s">
        <v>126</v>
      </c>
      <c r="G693" s="1" t="s">
        <v>25</v>
      </c>
      <c r="H693" s="1">
        <v>25000</v>
      </c>
      <c r="J693" s="51">
        <v>45377</v>
      </c>
      <c r="L693" s="51">
        <v>45299</v>
      </c>
      <c r="M693" s="1" t="s">
        <v>139</v>
      </c>
      <c r="N693" s="1">
        <v>-2</v>
      </c>
      <c r="O693" s="1">
        <v>3.8170000000000002</v>
      </c>
      <c r="P693" s="1">
        <v>-190850</v>
      </c>
      <c r="Q693" s="1">
        <v>-4.84</v>
      </c>
      <c r="R693" s="1" t="s">
        <v>83</v>
      </c>
      <c r="T693" s="50">
        <f>IF(ISNUMBER(VLOOKUP(U693,Blotter!B:C,2,0)),VLOOKUP(U693,Blotter!B:C,2,0),"")</f>
        <v>37</v>
      </c>
      <c r="U693" s="49" t="str">
        <f t="shared" si="712"/>
        <v>HGH4</v>
      </c>
      <c r="V693" s="49">
        <f t="shared" si="713"/>
        <v>-2</v>
      </c>
      <c r="W693" s="49">
        <f t="shared" si="714"/>
        <v>3.8170000000000002</v>
      </c>
      <c r="X693" s="49">
        <f t="shared" si="715"/>
        <v>-4.84</v>
      </c>
    </row>
    <row r="694" spans="1:24" x14ac:dyDescent="0.4">
      <c r="A694" s="1" t="s">
        <v>138</v>
      </c>
      <c r="B694" s="1" t="s">
        <v>83</v>
      </c>
      <c r="C694" s="1" t="s">
        <v>82</v>
      </c>
      <c r="D694" s="1" t="s">
        <v>384</v>
      </c>
      <c r="E694" s="1" t="s">
        <v>387</v>
      </c>
      <c r="F694" s="1" t="s">
        <v>126</v>
      </c>
      <c r="G694" s="1" t="s">
        <v>25</v>
      </c>
      <c r="H694" s="1">
        <v>25000</v>
      </c>
      <c r="J694" s="51">
        <v>45377</v>
      </c>
      <c r="L694" s="51">
        <v>45299</v>
      </c>
      <c r="M694" s="1" t="s">
        <v>139</v>
      </c>
      <c r="N694" s="1">
        <v>-3</v>
      </c>
      <c r="O694" s="1">
        <v>3.8170000000000002</v>
      </c>
      <c r="P694" s="1">
        <v>-286275</v>
      </c>
      <c r="Q694" s="1">
        <v>-7.26</v>
      </c>
      <c r="R694" s="1" t="s">
        <v>83</v>
      </c>
      <c r="T694" s="50">
        <f>IF(ISNUMBER(VLOOKUP(U694,Blotter!B:C,2,0)),VLOOKUP(U694,Blotter!B:C,2,0),"")</f>
        <v>37</v>
      </c>
      <c r="U694" s="49" t="str">
        <f t="shared" si="712"/>
        <v>HGH4</v>
      </c>
      <c r="V694" s="49">
        <f t="shared" si="713"/>
        <v>-3</v>
      </c>
      <c r="W694" s="49">
        <f t="shared" si="714"/>
        <v>3.8170000000000002</v>
      </c>
      <c r="X694" s="49">
        <f t="shared" si="715"/>
        <v>-7.26</v>
      </c>
    </row>
    <row r="695" spans="1:24" x14ac:dyDescent="0.4">
      <c r="A695" s="1" t="s">
        <v>138</v>
      </c>
      <c r="B695" s="1" t="s">
        <v>83</v>
      </c>
      <c r="C695" s="1" t="s">
        <v>82</v>
      </c>
      <c r="D695" s="1" t="s">
        <v>384</v>
      </c>
      <c r="E695" s="1" t="s">
        <v>387</v>
      </c>
      <c r="F695" s="1" t="s">
        <v>126</v>
      </c>
      <c r="G695" s="1" t="s">
        <v>25</v>
      </c>
      <c r="H695" s="1">
        <v>25000</v>
      </c>
      <c r="J695" s="51">
        <v>45377</v>
      </c>
      <c r="L695" s="51">
        <v>45299</v>
      </c>
      <c r="M695" s="1" t="s">
        <v>139</v>
      </c>
      <c r="N695" s="1">
        <v>-1</v>
      </c>
      <c r="O695" s="1">
        <v>3.8170000000000002</v>
      </c>
      <c r="P695" s="1">
        <v>-95425</v>
      </c>
      <c r="Q695" s="1">
        <v>-2.42</v>
      </c>
      <c r="R695" s="1" t="s">
        <v>83</v>
      </c>
      <c r="T695" s="50">
        <f>IF(ISNUMBER(VLOOKUP(U695,Blotter!B:C,2,0)),VLOOKUP(U695,Blotter!B:C,2,0),"")</f>
        <v>37</v>
      </c>
      <c r="U695" s="49" t="str">
        <f t="shared" si="712"/>
        <v>HGH4</v>
      </c>
      <c r="V695" s="49">
        <f t="shared" si="713"/>
        <v>-1</v>
      </c>
      <c r="W695" s="49">
        <f t="shared" si="714"/>
        <v>3.8170000000000002</v>
      </c>
      <c r="X695" s="49">
        <f t="shared" si="715"/>
        <v>-2.42</v>
      </c>
    </row>
    <row r="696" spans="1:24" x14ac:dyDescent="0.4">
      <c r="A696" s="1" t="s">
        <v>138</v>
      </c>
      <c r="B696" s="1" t="s">
        <v>83</v>
      </c>
      <c r="C696" s="1" t="s">
        <v>117</v>
      </c>
      <c r="D696" s="1" t="s">
        <v>407</v>
      </c>
      <c r="E696" s="1" t="s">
        <v>409</v>
      </c>
      <c r="F696" s="1" t="s">
        <v>408</v>
      </c>
      <c r="H696" s="1">
        <v>1</v>
      </c>
      <c r="L696" s="51">
        <v>45300</v>
      </c>
      <c r="M696" s="1" t="s">
        <v>135</v>
      </c>
      <c r="N696" s="1">
        <v>470</v>
      </c>
      <c r="O696" s="1">
        <v>105</v>
      </c>
      <c r="P696" s="1">
        <v>49350</v>
      </c>
      <c r="Q696" s="1">
        <v>-2.35</v>
      </c>
      <c r="R696" s="1" t="s">
        <v>83</v>
      </c>
      <c r="T696" s="50">
        <f>IF(ISNUMBER(VLOOKUP(U696,Blotter!B:C,2,0)),VLOOKUP(U696,Blotter!B:C,2,0),"")</f>
        <v>40</v>
      </c>
      <c r="U696" s="49" t="str">
        <f t="shared" ref="U696:U701" si="716">D696</f>
        <v>CYTK</v>
      </c>
      <c r="V696" s="49">
        <f t="shared" ref="V696:V701" si="717">N696</f>
        <v>470</v>
      </c>
      <c r="W696" s="49">
        <f t="shared" ref="W696:W701" si="718">O696</f>
        <v>105</v>
      </c>
      <c r="X696" s="49">
        <f t="shared" ref="X696:X701" si="719">Q696</f>
        <v>-2.35</v>
      </c>
    </row>
    <row r="697" spans="1:24" x14ac:dyDescent="0.4">
      <c r="A697" s="1" t="s">
        <v>138</v>
      </c>
      <c r="B697" s="1" t="s">
        <v>83</v>
      </c>
      <c r="C697" s="1" t="s">
        <v>117</v>
      </c>
      <c r="D697" s="1" t="s">
        <v>407</v>
      </c>
      <c r="E697" s="1" t="s">
        <v>409</v>
      </c>
      <c r="F697" s="1" t="s">
        <v>408</v>
      </c>
      <c r="H697" s="1">
        <v>1</v>
      </c>
      <c r="L697" s="51">
        <v>45300</v>
      </c>
      <c r="M697" s="1" t="s">
        <v>135</v>
      </c>
      <c r="N697" s="1">
        <v>30</v>
      </c>
      <c r="O697" s="1">
        <v>105</v>
      </c>
      <c r="P697" s="1">
        <v>3150</v>
      </c>
      <c r="Q697" s="1">
        <v>-0.15</v>
      </c>
      <c r="R697" s="1" t="s">
        <v>83</v>
      </c>
      <c r="T697" s="50">
        <f>IF(ISNUMBER(VLOOKUP(U697,Blotter!B:C,2,0)),VLOOKUP(U697,Blotter!B:C,2,0),"")</f>
        <v>40</v>
      </c>
      <c r="U697" s="49" t="str">
        <f t="shared" si="716"/>
        <v>CYTK</v>
      </c>
      <c r="V697" s="49">
        <f t="shared" si="717"/>
        <v>30</v>
      </c>
      <c r="W697" s="49">
        <f t="shared" si="718"/>
        <v>105</v>
      </c>
      <c r="X697" s="49">
        <f t="shared" si="719"/>
        <v>-0.15</v>
      </c>
    </row>
    <row r="698" spans="1:24" x14ac:dyDescent="0.4">
      <c r="A698" s="1" t="s">
        <v>138</v>
      </c>
      <c r="B698" s="1" t="s">
        <v>83</v>
      </c>
      <c r="C698" s="1" t="s">
        <v>117</v>
      </c>
      <c r="D698" s="1" t="s">
        <v>407</v>
      </c>
      <c r="E698" s="1" t="s">
        <v>409</v>
      </c>
      <c r="F698" s="1" t="s">
        <v>408</v>
      </c>
      <c r="H698" s="1">
        <v>1</v>
      </c>
      <c r="L698" s="51">
        <v>45300</v>
      </c>
      <c r="M698" s="1" t="s">
        <v>135</v>
      </c>
      <c r="N698" s="1">
        <v>500</v>
      </c>
      <c r="O698" s="1">
        <v>104.8</v>
      </c>
      <c r="P698" s="1">
        <v>52400</v>
      </c>
      <c r="Q698" s="1">
        <v>-2.5</v>
      </c>
      <c r="R698" s="1" t="s">
        <v>83</v>
      </c>
      <c r="T698" s="50">
        <f>IF(ISNUMBER(VLOOKUP(U698,Blotter!B:C,2,0)),VLOOKUP(U698,Blotter!B:C,2,0),"")</f>
        <v>40</v>
      </c>
      <c r="U698" s="49" t="str">
        <f t="shared" si="716"/>
        <v>CYTK</v>
      </c>
      <c r="V698" s="49">
        <f t="shared" si="717"/>
        <v>500</v>
      </c>
      <c r="W698" s="49">
        <f t="shared" si="718"/>
        <v>104.8</v>
      </c>
      <c r="X698" s="49">
        <f t="shared" si="719"/>
        <v>-2.5</v>
      </c>
    </row>
    <row r="699" spans="1:24" x14ac:dyDescent="0.4">
      <c r="A699" s="1" t="s">
        <v>138</v>
      </c>
      <c r="B699" s="1" t="s">
        <v>83</v>
      </c>
      <c r="C699" s="1" t="s">
        <v>82</v>
      </c>
      <c r="D699" s="1" t="s">
        <v>384</v>
      </c>
      <c r="E699" s="1" t="s">
        <v>387</v>
      </c>
      <c r="F699" s="1" t="s">
        <v>126</v>
      </c>
      <c r="G699" s="1" t="s">
        <v>25</v>
      </c>
      <c r="H699" s="1">
        <v>25000</v>
      </c>
      <c r="J699" s="51">
        <v>45377</v>
      </c>
      <c r="L699" s="51">
        <v>45300</v>
      </c>
      <c r="M699" s="1" t="s">
        <v>135</v>
      </c>
      <c r="N699" s="1">
        <v>6</v>
      </c>
      <c r="O699" s="1">
        <v>3.8035000000000001</v>
      </c>
      <c r="P699" s="1">
        <v>570525</v>
      </c>
      <c r="Q699" s="1">
        <v>-14.52</v>
      </c>
      <c r="R699" s="1" t="s">
        <v>83</v>
      </c>
      <c r="T699" s="50">
        <f>IF(ISNUMBER(VLOOKUP(U699,Blotter!B:C,2,0)),VLOOKUP(U699,Blotter!B:C,2,0),"")</f>
        <v>37</v>
      </c>
      <c r="U699" s="49" t="str">
        <f t="shared" si="716"/>
        <v>HGH4</v>
      </c>
      <c r="V699" s="49">
        <f t="shared" si="717"/>
        <v>6</v>
      </c>
      <c r="W699" s="49">
        <f t="shared" si="718"/>
        <v>3.8035000000000001</v>
      </c>
      <c r="X699" s="49">
        <f t="shared" si="719"/>
        <v>-14.52</v>
      </c>
    </row>
    <row r="700" spans="1:24" x14ac:dyDescent="0.4">
      <c r="A700" s="1" t="s">
        <v>138</v>
      </c>
      <c r="B700" s="1" t="s">
        <v>83</v>
      </c>
      <c r="C700" s="1" t="s">
        <v>82</v>
      </c>
      <c r="D700" s="1" t="s">
        <v>384</v>
      </c>
      <c r="E700" s="1" t="s">
        <v>387</v>
      </c>
      <c r="F700" s="1" t="s">
        <v>126</v>
      </c>
      <c r="G700" s="1" t="s">
        <v>25</v>
      </c>
      <c r="H700" s="1">
        <v>25000</v>
      </c>
      <c r="J700" s="51">
        <v>45377</v>
      </c>
      <c r="L700" s="51">
        <v>45300</v>
      </c>
      <c r="M700" s="1" t="s">
        <v>135</v>
      </c>
      <c r="N700" s="1">
        <v>1</v>
      </c>
      <c r="O700" s="1">
        <v>3.7770000000000001</v>
      </c>
      <c r="P700" s="1">
        <v>94425</v>
      </c>
      <c r="Q700" s="1">
        <v>-2.42</v>
      </c>
      <c r="R700" s="1" t="s">
        <v>83</v>
      </c>
      <c r="T700" s="50">
        <f>IF(ISNUMBER(VLOOKUP(U700,Blotter!B:C,2,0)),VLOOKUP(U700,Blotter!B:C,2,0),"")</f>
        <v>37</v>
      </c>
      <c r="U700" s="49" t="str">
        <f t="shared" si="716"/>
        <v>HGH4</v>
      </c>
      <c r="V700" s="49">
        <f t="shared" si="717"/>
        <v>1</v>
      </c>
      <c r="W700" s="49">
        <f t="shared" si="718"/>
        <v>3.7770000000000001</v>
      </c>
      <c r="X700" s="49">
        <f t="shared" si="719"/>
        <v>-2.42</v>
      </c>
    </row>
    <row r="701" spans="1:24" x14ac:dyDescent="0.4">
      <c r="A701" s="1" t="s">
        <v>138</v>
      </c>
      <c r="B701" s="1" t="s">
        <v>83</v>
      </c>
      <c r="C701" s="1" t="s">
        <v>82</v>
      </c>
      <c r="D701" s="1" t="s">
        <v>384</v>
      </c>
      <c r="E701" s="1" t="s">
        <v>387</v>
      </c>
      <c r="F701" s="1" t="s">
        <v>126</v>
      </c>
      <c r="G701" s="1" t="s">
        <v>25</v>
      </c>
      <c r="H701" s="1">
        <v>25000</v>
      </c>
      <c r="J701" s="51">
        <v>45377</v>
      </c>
      <c r="L701" s="51">
        <v>45300</v>
      </c>
      <c r="M701" s="1" t="s">
        <v>135</v>
      </c>
      <c r="N701" s="1">
        <v>1</v>
      </c>
      <c r="O701" s="1">
        <v>3.7770000000000001</v>
      </c>
      <c r="P701" s="1">
        <v>94425</v>
      </c>
      <c r="Q701" s="1">
        <v>-2.42</v>
      </c>
      <c r="R701" s="1" t="s">
        <v>83</v>
      </c>
      <c r="T701" s="50">
        <f>IF(ISNUMBER(VLOOKUP(U701,Blotter!B:C,2,0)),VLOOKUP(U701,Blotter!B:C,2,0),"")</f>
        <v>37</v>
      </c>
      <c r="U701" s="49" t="str">
        <f t="shared" si="716"/>
        <v>HGH4</v>
      </c>
      <c r="V701" s="49">
        <f t="shared" si="717"/>
        <v>1</v>
      </c>
      <c r="W701" s="49">
        <f t="shared" si="718"/>
        <v>3.7770000000000001</v>
      </c>
      <c r="X701" s="49">
        <f t="shared" si="719"/>
        <v>-2.42</v>
      </c>
    </row>
    <row r="702" spans="1:24" x14ac:dyDescent="0.4">
      <c r="A702" s="1" t="s">
        <v>138</v>
      </c>
      <c r="B702" s="1" t="s">
        <v>83</v>
      </c>
      <c r="C702" s="1" t="s">
        <v>82</v>
      </c>
      <c r="D702" s="1" t="s">
        <v>384</v>
      </c>
      <c r="E702" s="1" t="s">
        <v>387</v>
      </c>
      <c r="F702" s="1" t="s">
        <v>126</v>
      </c>
      <c r="G702" s="1" t="s">
        <v>25</v>
      </c>
      <c r="H702" s="1">
        <v>25000</v>
      </c>
      <c r="J702" s="51">
        <v>45377</v>
      </c>
      <c r="L702" s="51">
        <v>45301</v>
      </c>
      <c r="M702" s="1" t="s">
        <v>135</v>
      </c>
      <c r="N702" s="1">
        <v>2</v>
      </c>
      <c r="O702" s="1">
        <v>3.7669999999999999</v>
      </c>
      <c r="P702" s="1">
        <v>188350</v>
      </c>
      <c r="Q702" s="1">
        <v>-4.84</v>
      </c>
      <c r="R702" s="1" t="s">
        <v>83</v>
      </c>
      <c r="T702" s="50">
        <f>IF(ISNUMBER(VLOOKUP(U702,Blotter!B:C,2,0)),VLOOKUP(U702,Blotter!B:C,2,0),"")</f>
        <v>37</v>
      </c>
      <c r="U702" s="49" t="str">
        <f t="shared" ref="U702" si="720">D702</f>
        <v>HGH4</v>
      </c>
      <c r="V702" s="49">
        <f t="shared" ref="V702" si="721">N702</f>
        <v>2</v>
      </c>
      <c r="W702" s="49">
        <f t="shared" ref="W702" si="722">O702</f>
        <v>3.7669999999999999</v>
      </c>
      <c r="X702" s="49">
        <f t="shared" ref="X702" si="723">Q702</f>
        <v>-4.84</v>
      </c>
    </row>
    <row r="703" spans="1:24" x14ac:dyDescent="0.4">
      <c r="A703" s="1" t="s">
        <v>138</v>
      </c>
      <c r="B703" s="1" t="s">
        <v>83</v>
      </c>
      <c r="C703" s="1" t="s">
        <v>117</v>
      </c>
      <c r="D703" s="1" t="s">
        <v>407</v>
      </c>
      <c r="E703" s="1" t="s">
        <v>409</v>
      </c>
      <c r="F703" s="1" t="s">
        <v>408</v>
      </c>
      <c r="H703" s="1">
        <v>1</v>
      </c>
      <c r="L703" s="51">
        <v>45302</v>
      </c>
      <c r="M703" s="1" t="s">
        <v>135</v>
      </c>
      <c r="N703" s="1">
        <v>486</v>
      </c>
      <c r="O703" s="1">
        <v>92</v>
      </c>
      <c r="P703" s="1">
        <v>44712</v>
      </c>
      <c r="Q703" s="1">
        <v>-2.4300000000000002</v>
      </c>
      <c r="R703" s="1" t="s">
        <v>83</v>
      </c>
      <c r="T703" s="50">
        <f>IF(ISNUMBER(VLOOKUP(U703,Blotter!B:C,2,0)),VLOOKUP(U703,Blotter!B:C,2,0),"")</f>
        <v>40</v>
      </c>
      <c r="U703" s="49" t="str">
        <f t="shared" ref="U703:U710" si="724">D703</f>
        <v>CYTK</v>
      </c>
      <c r="V703" s="49">
        <f t="shared" ref="V703:V710" si="725">N703</f>
        <v>486</v>
      </c>
      <c r="W703" s="49">
        <f t="shared" ref="W703:W710" si="726">O703</f>
        <v>92</v>
      </c>
      <c r="X703" s="49">
        <f t="shared" ref="X703:X710" si="727">Q703</f>
        <v>-2.4300000000000002</v>
      </c>
    </row>
    <row r="704" spans="1:24" x14ac:dyDescent="0.4">
      <c r="A704" s="1" t="s">
        <v>138</v>
      </c>
      <c r="B704" s="1" t="s">
        <v>83</v>
      </c>
      <c r="C704" s="1" t="s">
        <v>117</v>
      </c>
      <c r="D704" s="1" t="s">
        <v>407</v>
      </c>
      <c r="E704" s="1" t="s">
        <v>409</v>
      </c>
      <c r="F704" s="1" t="s">
        <v>408</v>
      </c>
      <c r="H704" s="1">
        <v>1</v>
      </c>
      <c r="L704" s="51">
        <v>45302</v>
      </c>
      <c r="M704" s="1" t="s">
        <v>135</v>
      </c>
      <c r="N704" s="1">
        <v>514</v>
      </c>
      <c r="O704" s="1">
        <v>92</v>
      </c>
      <c r="P704" s="1">
        <v>47288</v>
      </c>
      <c r="Q704" s="1">
        <v>-2.57</v>
      </c>
      <c r="R704" s="1" t="s">
        <v>83</v>
      </c>
      <c r="T704" s="50">
        <f>IF(ISNUMBER(VLOOKUP(U704,Blotter!B:C,2,0)),VLOOKUP(U704,Blotter!B:C,2,0),"")</f>
        <v>40</v>
      </c>
      <c r="U704" s="49" t="str">
        <f t="shared" si="724"/>
        <v>CYTK</v>
      </c>
      <c r="V704" s="49">
        <f t="shared" si="725"/>
        <v>514</v>
      </c>
      <c r="W704" s="49">
        <f t="shared" si="726"/>
        <v>92</v>
      </c>
      <c r="X704" s="49">
        <f t="shared" si="727"/>
        <v>-2.57</v>
      </c>
    </row>
    <row r="705" spans="1:24" x14ac:dyDescent="0.4">
      <c r="A705" s="1" t="s">
        <v>138</v>
      </c>
      <c r="B705" s="1" t="s">
        <v>83</v>
      </c>
      <c r="C705" s="1" t="s">
        <v>87</v>
      </c>
      <c r="D705" s="1" t="s">
        <v>329</v>
      </c>
      <c r="E705" s="1" t="s">
        <v>330</v>
      </c>
      <c r="F705" s="1" t="s">
        <v>129</v>
      </c>
      <c r="G705" s="1" t="s">
        <v>331</v>
      </c>
      <c r="H705" s="1">
        <v>100</v>
      </c>
      <c r="I705" s="1">
        <v>32</v>
      </c>
      <c r="J705" s="51">
        <v>45401</v>
      </c>
      <c r="K705" s="1" t="s">
        <v>57</v>
      </c>
      <c r="L705" s="51">
        <v>45302</v>
      </c>
      <c r="M705" s="1" t="s">
        <v>139</v>
      </c>
      <c r="N705" s="1">
        <v>-50</v>
      </c>
      <c r="O705" s="1">
        <v>1.4</v>
      </c>
      <c r="P705" s="1">
        <v>-7000</v>
      </c>
      <c r="Q705" s="1">
        <v>2.4620000000000002</v>
      </c>
      <c r="R705" s="1" t="s">
        <v>83</v>
      </c>
      <c r="T705" s="50">
        <f>IF(ISNUMBER(VLOOKUP(U705,Blotter!B:C,2,0)),VLOOKUP(U705,Blotter!B:C,2,0),"")</f>
        <v>31</v>
      </c>
      <c r="U705" s="49" t="str">
        <f t="shared" si="724"/>
        <v>URA   240419C00032000</v>
      </c>
      <c r="V705" s="49">
        <f t="shared" si="725"/>
        <v>-50</v>
      </c>
      <c r="W705" s="49">
        <f t="shared" si="726"/>
        <v>1.4</v>
      </c>
      <c r="X705" s="49">
        <f t="shared" si="727"/>
        <v>2.4620000000000002</v>
      </c>
    </row>
    <row r="706" spans="1:24" x14ac:dyDescent="0.4">
      <c r="A706" s="1" t="s">
        <v>138</v>
      </c>
      <c r="B706" s="1" t="s">
        <v>83</v>
      </c>
      <c r="C706" s="1" t="s">
        <v>82</v>
      </c>
      <c r="D706" s="1" t="s">
        <v>384</v>
      </c>
      <c r="E706" s="1" t="s">
        <v>387</v>
      </c>
      <c r="F706" s="1" t="s">
        <v>126</v>
      </c>
      <c r="G706" s="1" t="s">
        <v>25</v>
      </c>
      <c r="H706" s="1">
        <v>25000</v>
      </c>
      <c r="J706" s="51">
        <v>45377</v>
      </c>
      <c r="L706" s="51">
        <v>45302</v>
      </c>
      <c r="M706" s="1" t="s">
        <v>135</v>
      </c>
      <c r="N706" s="1">
        <v>1</v>
      </c>
      <c r="O706" s="1">
        <v>3.7989999999999999</v>
      </c>
      <c r="P706" s="1">
        <v>94975</v>
      </c>
      <c r="Q706" s="1">
        <v>-2.42</v>
      </c>
      <c r="R706" s="1" t="s">
        <v>83</v>
      </c>
      <c r="T706" s="50">
        <f>IF(ISNUMBER(VLOOKUP(U706,Blotter!B:C,2,0)),VLOOKUP(U706,Blotter!B:C,2,0),"")</f>
        <v>37</v>
      </c>
      <c r="U706" s="49" t="str">
        <f t="shared" si="724"/>
        <v>HGH4</v>
      </c>
      <c r="V706" s="49">
        <f t="shared" si="725"/>
        <v>1</v>
      </c>
      <c r="W706" s="49">
        <f t="shared" si="726"/>
        <v>3.7989999999999999</v>
      </c>
      <c r="X706" s="49">
        <f t="shared" si="727"/>
        <v>-2.42</v>
      </c>
    </row>
    <row r="707" spans="1:24" x14ac:dyDescent="0.4">
      <c r="A707" s="1" t="s">
        <v>138</v>
      </c>
      <c r="B707" s="1" t="s">
        <v>83</v>
      </c>
      <c r="C707" s="1" t="s">
        <v>82</v>
      </c>
      <c r="D707" s="1" t="s">
        <v>384</v>
      </c>
      <c r="E707" s="1" t="s">
        <v>387</v>
      </c>
      <c r="F707" s="1" t="s">
        <v>126</v>
      </c>
      <c r="G707" s="1" t="s">
        <v>25</v>
      </c>
      <c r="H707" s="1">
        <v>25000</v>
      </c>
      <c r="J707" s="51">
        <v>45377</v>
      </c>
      <c r="L707" s="51">
        <v>45302</v>
      </c>
      <c r="M707" s="1" t="s">
        <v>135</v>
      </c>
      <c r="N707" s="1">
        <v>1</v>
      </c>
      <c r="O707" s="1">
        <v>3.7989999999999999</v>
      </c>
      <c r="P707" s="1">
        <v>94975</v>
      </c>
      <c r="Q707" s="1">
        <v>-2.42</v>
      </c>
      <c r="R707" s="1" t="s">
        <v>83</v>
      </c>
      <c r="T707" s="50">
        <f>IF(ISNUMBER(VLOOKUP(U707,Blotter!B:C,2,0)),VLOOKUP(U707,Blotter!B:C,2,0),"")</f>
        <v>37</v>
      </c>
      <c r="U707" s="49" t="str">
        <f t="shared" si="724"/>
        <v>HGH4</v>
      </c>
      <c r="V707" s="49">
        <f t="shared" si="725"/>
        <v>1</v>
      </c>
      <c r="W707" s="49">
        <f t="shared" si="726"/>
        <v>3.7989999999999999</v>
      </c>
      <c r="X707" s="49">
        <f t="shared" si="727"/>
        <v>-2.42</v>
      </c>
    </row>
    <row r="708" spans="1:24" x14ac:dyDescent="0.4">
      <c r="A708" s="1" t="s">
        <v>138</v>
      </c>
      <c r="B708" s="1" t="s">
        <v>83</v>
      </c>
      <c r="C708" s="1" t="s">
        <v>82</v>
      </c>
      <c r="D708" s="1" t="s">
        <v>384</v>
      </c>
      <c r="E708" s="1" t="s">
        <v>387</v>
      </c>
      <c r="F708" s="1" t="s">
        <v>126</v>
      </c>
      <c r="G708" s="1" t="s">
        <v>25</v>
      </c>
      <c r="H708" s="1">
        <v>25000</v>
      </c>
      <c r="J708" s="51">
        <v>45377</v>
      </c>
      <c r="L708" s="51">
        <v>45302</v>
      </c>
      <c r="M708" s="1" t="s">
        <v>135</v>
      </c>
      <c r="N708" s="1">
        <v>1</v>
      </c>
      <c r="O708" s="1">
        <v>3.7989999999999999</v>
      </c>
      <c r="P708" s="1">
        <v>94975</v>
      </c>
      <c r="Q708" s="1">
        <v>-2.42</v>
      </c>
      <c r="R708" s="1" t="s">
        <v>83</v>
      </c>
      <c r="T708" s="50">
        <f>IF(ISNUMBER(VLOOKUP(U708,Blotter!B:C,2,0)),VLOOKUP(U708,Blotter!B:C,2,0),"")</f>
        <v>37</v>
      </c>
      <c r="U708" s="49" t="str">
        <f t="shared" si="724"/>
        <v>HGH4</v>
      </c>
      <c r="V708" s="49">
        <f t="shared" si="725"/>
        <v>1</v>
      </c>
      <c r="W708" s="49">
        <f t="shared" si="726"/>
        <v>3.7989999999999999</v>
      </c>
      <c r="X708" s="49">
        <f t="shared" si="727"/>
        <v>-2.42</v>
      </c>
    </row>
    <row r="709" spans="1:24" x14ac:dyDescent="0.4">
      <c r="A709" s="1" t="s">
        <v>138</v>
      </c>
      <c r="B709" s="1" t="s">
        <v>83</v>
      </c>
      <c r="C709" s="1" t="s">
        <v>82</v>
      </c>
      <c r="D709" s="1" t="s">
        <v>384</v>
      </c>
      <c r="E709" s="1" t="s">
        <v>387</v>
      </c>
      <c r="F709" s="1" t="s">
        <v>126</v>
      </c>
      <c r="G709" s="1" t="s">
        <v>25</v>
      </c>
      <c r="H709" s="1">
        <v>25000</v>
      </c>
      <c r="J709" s="51">
        <v>45377</v>
      </c>
      <c r="L709" s="51">
        <v>45302</v>
      </c>
      <c r="M709" s="1" t="s">
        <v>135</v>
      </c>
      <c r="N709" s="1">
        <v>1</v>
      </c>
      <c r="O709" s="1">
        <v>3.7989999999999999</v>
      </c>
      <c r="P709" s="1">
        <v>94975</v>
      </c>
      <c r="Q709" s="1">
        <v>-2.42</v>
      </c>
      <c r="R709" s="1" t="s">
        <v>83</v>
      </c>
      <c r="T709" s="50">
        <f>IF(ISNUMBER(VLOOKUP(U709,Blotter!B:C,2,0)),VLOOKUP(U709,Blotter!B:C,2,0),"")</f>
        <v>37</v>
      </c>
      <c r="U709" s="49" t="str">
        <f t="shared" si="724"/>
        <v>HGH4</v>
      </c>
      <c r="V709" s="49">
        <f t="shared" si="725"/>
        <v>1</v>
      </c>
      <c r="W709" s="49">
        <f t="shared" si="726"/>
        <v>3.7989999999999999</v>
      </c>
      <c r="X709" s="49">
        <f t="shared" si="727"/>
        <v>-2.42</v>
      </c>
    </row>
    <row r="710" spans="1:24" x14ac:dyDescent="0.4">
      <c r="A710" s="1" t="s">
        <v>138</v>
      </c>
      <c r="B710" s="1" t="s">
        <v>83</v>
      </c>
      <c r="C710" s="1" t="s">
        <v>82</v>
      </c>
      <c r="D710" s="1" t="s">
        <v>384</v>
      </c>
      <c r="E710" s="1" t="s">
        <v>387</v>
      </c>
      <c r="F710" s="1" t="s">
        <v>126</v>
      </c>
      <c r="G710" s="1" t="s">
        <v>25</v>
      </c>
      <c r="H710" s="1">
        <v>25000</v>
      </c>
      <c r="J710" s="51">
        <v>45377</v>
      </c>
      <c r="L710" s="51">
        <v>45302</v>
      </c>
      <c r="M710" s="1" t="s">
        <v>139</v>
      </c>
      <c r="N710" s="1">
        <v>-4</v>
      </c>
      <c r="O710" s="1">
        <v>3.82</v>
      </c>
      <c r="P710" s="1">
        <v>-382000</v>
      </c>
      <c r="Q710" s="1">
        <v>-9.68</v>
      </c>
      <c r="R710" s="1" t="s">
        <v>83</v>
      </c>
      <c r="T710" s="50">
        <f>IF(ISNUMBER(VLOOKUP(U710,Blotter!B:C,2,0)),VLOOKUP(U710,Blotter!B:C,2,0),"")</f>
        <v>37</v>
      </c>
      <c r="U710" s="49" t="str">
        <f t="shared" si="724"/>
        <v>HGH4</v>
      </c>
      <c r="V710" s="49">
        <f t="shared" si="725"/>
        <v>-4</v>
      </c>
      <c r="W710" s="49">
        <f t="shared" si="726"/>
        <v>3.82</v>
      </c>
      <c r="X710" s="49">
        <f t="shared" si="727"/>
        <v>-9.68</v>
      </c>
    </row>
    <row r="711" spans="1:24" x14ac:dyDescent="0.4">
      <c r="A711" s="1" t="s">
        <v>138</v>
      </c>
      <c r="B711" s="1" t="s">
        <v>83</v>
      </c>
      <c r="C711" s="1" t="s">
        <v>87</v>
      </c>
      <c r="D711" s="1" t="s">
        <v>412</v>
      </c>
      <c r="E711" s="1" t="s">
        <v>413</v>
      </c>
      <c r="F711" s="1" t="s">
        <v>129</v>
      </c>
      <c r="G711" s="1" t="s">
        <v>331</v>
      </c>
      <c r="H711" s="1">
        <v>100</v>
      </c>
      <c r="I711" s="1">
        <v>40</v>
      </c>
      <c r="J711" s="51">
        <v>45401</v>
      </c>
      <c r="K711" s="1" t="s">
        <v>57</v>
      </c>
      <c r="L711" s="51">
        <v>45303</v>
      </c>
      <c r="M711" s="1" t="s">
        <v>139</v>
      </c>
      <c r="N711" s="1">
        <v>-150</v>
      </c>
      <c r="O711" s="1">
        <v>0.6</v>
      </c>
      <c r="P711" s="1">
        <v>-9000</v>
      </c>
      <c r="Q711" s="1">
        <v>44.981999999999999</v>
      </c>
      <c r="R711" s="1" t="s">
        <v>83</v>
      </c>
      <c r="T711" s="50">
        <f>IF(ISNUMBER(VLOOKUP(U711,Blotter!B:C,2,0)),VLOOKUP(U711,Blotter!B:C,2,0),"")</f>
        <v>31</v>
      </c>
      <c r="U711" s="49" t="str">
        <f t="shared" ref="U711:U713" si="728">D711</f>
        <v>URA   240419C00040000</v>
      </c>
      <c r="V711" s="49">
        <f t="shared" ref="V711:V713" si="729">N711</f>
        <v>-150</v>
      </c>
      <c r="W711" s="49">
        <f t="shared" ref="W711:W713" si="730">O711</f>
        <v>0.6</v>
      </c>
      <c r="X711" s="49">
        <f t="shared" ref="X711:X713" si="731">Q711</f>
        <v>44.981999999999999</v>
      </c>
    </row>
    <row r="712" spans="1:24" x14ac:dyDescent="0.4">
      <c r="A712" s="1" t="s">
        <v>138</v>
      </c>
      <c r="B712" s="1" t="s">
        <v>83</v>
      </c>
      <c r="C712" s="1" t="s">
        <v>82</v>
      </c>
      <c r="D712" s="1" t="s">
        <v>384</v>
      </c>
      <c r="E712" s="1" t="s">
        <v>387</v>
      </c>
      <c r="F712" s="1" t="s">
        <v>126</v>
      </c>
      <c r="G712" s="1" t="s">
        <v>25</v>
      </c>
      <c r="H712" s="1">
        <v>25000</v>
      </c>
      <c r="J712" s="51">
        <v>45377</v>
      </c>
      <c r="L712" s="51">
        <v>45303</v>
      </c>
      <c r="M712" s="1" t="s">
        <v>135</v>
      </c>
      <c r="N712" s="1">
        <v>5</v>
      </c>
      <c r="O712" s="1">
        <v>3.7465000000000002</v>
      </c>
      <c r="P712" s="1">
        <v>468312.5</v>
      </c>
      <c r="Q712" s="1">
        <v>-12.1</v>
      </c>
      <c r="R712" s="1" t="s">
        <v>83</v>
      </c>
      <c r="T712" s="50">
        <f>IF(ISNUMBER(VLOOKUP(U712,Blotter!B:C,2,0)),VLOOKUP(U712,Blotter!B:C,2,0),"")</f>
        <v>37</v>
      </c>
      <c r="U712" s="49" t="str">
        <f t="shared" si="728"/>
        <v>HGH4</v>
      </c>
      <c r="V712" s="49">
        <f t="shared" si="729"/>
        <v>5</v>
      </c>
      <c r="W712" s="49">
        <f t="shared" si="730"/>
        <v>3.7465000000000002</v>
      </c>
      <c r="X712" s="49">
        <f t="shared" si="731"/>
        <v>-12.1</v>
      </c>
    </row>
    <row r="713" spans="1:24" x14ac:dyDescent="0.4">
      <c r="A713" s="1" t="s">
        <v>138</v>
      </c>
      <c r="B713" s="1" t="s">
        <v>83</v>
      </c>
      <c r="C713" s="1" t="s">
        <v>82</v>
      </c>
      <c r="D713" s="1" t="s">
        <v>384</v>
      </c>
      <c r="E713" s="1" t="s">
        <v>387</v>
      </c>
      <c r="F713" s="1" t="s">
        <v>126</v>
      </c>
      <c r="G713" s="1" t="s">
        <v>25</v>
      </c>
      <c r="H713" s="1">
        <v>25000</v>
      </c>
      <c r="J713" s="51">
        <v>45377</v>
      </c>
      <c r="L713" s="51">
        <v>45303</v>
      </c>
      <c r="M713" s="1" t="s">
        <v>139</v>
      </c>
      <c r="N713" s="1">
        <v>-4</v>
      </c>
      <c r="O713" s="1">
        <v>3.7469999999999999</v>
      </c>
      <c r="P713" s="1">
        <v>-374700</v>
      </c>
      <c r="Q713" s="1">
        <v>-9.68</v>
      </c>
      <c r="R713" s="1" t="s">
        <v>83</v>
      </c>
      <c r="T713" s="50">
        <f>IF(ISNUMBER(VLOOKUP(U713,Blotter!B:C,2,0)),VLOOKUP(U713,Blotter!B:C,2,0),"")</f>
        <v>37</v>
      </c>
      <c r="U713" s="49" t="str">
        <f t="shared" si="728"/>
        <v>HGH4</v>
      </c>
      <c r="V713" s="49">
        <f t="shared" si="729"/>
        <v>-4</v>
      </c>
      <c r="W713" s="49">
        <f t="shared" si="730"/>
        <v>3.7469999999999999</v>
      </c>
      <c r="X713" s="49">
        <f t="shared" si="731"/>
        <v>-9.68</v>
      </c>
    </row>
    <row r="714" spans="1:24" x14ac:dyDescent="0.4">
      <c r="A714" s="1" t="s">
        <v>138</v>
      </c>
      <c r="B714" s="1" t="s">
        <v>83</v>
      </c>
      <c r="C714" s="1" t="s">
        <v>82</v>
      </c>
      <c r="D714" s="1" t="s">
        <v>414</v>
      </c>
      <c r="E714" s="1" t="s">
        <v>417</v>
      </c>
      <c r="F714" s="1" t="s">
        <v>93</v>
      </c>
      <c r="G714" s="1" t="s">
        <v>24</v>
      </c>
      <c r="H714" s="1">
        <v>1000</v>
      </c>
      <c r="J714" s="51">
        <v>45313</v>
      </c>
      <c r="L714" s="51">
        <v>45307</v>
      </c>
      <c r="M714" s="1" t="s">
        <v>135</v>
      </c>
      <c r="N714" s="1">
        <v>4</v>
      </c>
      <c r="O714" s="1">
        <v>71.94</v>
      </c>
      <c r="P714" s="1">
        <v>287760</v>
      </c>
      <c r="Q714" s="1">
        <v>-9.48</v>
      </c>
      <c r="R714" s="1" t="s">
        <v>83</v>
      </c>
      <c r="T714" s="50">
        <f>IF(ISNUMBER(VLOOKUP(U714,Blotter!B:C,2,0)),VLOOKUP(U714,Blotter!B:C,2,0),"")</f>
        <v>41</v>
      </c>
      <c r="U714" s="49" t="str">
        <f t="shared" ref="U714" si="732">D714</f>
        <v>CLG4</v>
      </c>
      <c r="V714" s="49">
        <f t="shared" ref="V714" si="733">N714</f>
        <v>4</v>
      </c>
      <c r="W714" s="49">
        <f t="shared" ref="W714" si="734">O714</f>
        <v>71.94</v>
      </c>
      <c r="X714" s="49">
        <f t="shared" ref="X714" si="735">Q714</f>
        <v>-9.48</v>
      </c>
    </row>
    <row r="715" spans="1:24" x14ac:dyDescent="0.4">
      <c r="A715" s="1" t="s">
        <v>138</v>
      </c>
      <c r="B715" s="1" t="s">
        <v>83</v>
      </c>
      <c r="C715" s="1" t="s">
        <v>82</v>
      </c>
      <c r="D715" s="1" t="s">
        <v>384</v>
      </c>
      <c r="E715" s="1" t="s">
        <v>387</v>
      </c>
      <c r="F715" s="1" t="s">
        <v>126</v>
      </c>
      <c r="G715" s="1" t="s">
        <v>25</v>
      </c>
      <c r="H715" s="1">
        <v>25000</v>
      </c>
      <c r="J715" s="51">
        <v>45377</v>
      </c>
      <c r="L715" s="51">
        <v>45307</v>
      </c>
      <c r="M715" s="1" t="s">
        <v>139</v>
      </c>
      <c r="N715" s="1">
        <v>-2</v>
      </c>
      <c r="O715" s="1">
        <v>3.78</v>
      </c>
      <c r="P715" s="1">
        <v>-189000</v>
      </c>
      <c r="Q715" s="1">
        <v>-4.84</v>
      </c>
      <c r="R715" s="1" t="s">
        <v>83</v>
      </c>
      <c r="T715" s="50">
        <f>IF(ISNUMBER(VLOOKUP(U715,Blotter!B:C,2,0)),VLOOKUP(U715,Blotter!B:C,2,0),"")</f>
        <v>37</v>
      </c>
      <c r="U715" s="49" t="str">
        <f t="shared" ref="U715" si="736">D715</f>
        <v>HGH4</v>
      </c>
      <c r="V715" s="49">
        <f t="shared" ref="V715" si="737">N715</f>
        <v>-2</v>
      </c>
      <c r="W715" s="49">
        <f t="shared" ref="W715" si="738">O715</f>
        <v>3.78</v>
      </c>
      <c r="X715" s="49">
        <f t="shared" ref="X715" si="739">Q715</f>
        <v>-4.84</v>
      </c>
    </row>
    <row r="716" spans="1:24" x14ac:dyDescent="0.4">
      <c r="A716" s="1" t="s">
        <v>138</v>
      </c>
      <c r="B716" s="1" t="s">
        <v>83</v>
      </c>
      <c r="C716" s="1" t="s">
        <v>82</v>
      </c>
      <c r="D716" s="1" t="s">
        <v>384</v>
      </c>
      <c r="E716" s="1" t="s">
        <v>387</v>
      </c>
      <c r="F716" s="1" t="s">
        <v>126</v>
      </c>
      <c r="G716" s="1" t="s">
        <v>25</v>
      </c>
      <c r="H716" s="1">
        <v>25000</v>
      </c>
      <c r="J716" s="51">
        <v>45377</v>
      </c>
      <c r="L716" s="51">
        <v>45307</v>
      </c>
      <c r="M716" s="1" t="s">
        <v>139</v>
      </c>
      <c r="N716" s="1">
        <v>-3</v>
      </c>
      <c r="O716" s="1">
        <v>3.78</v>
      </c>
      <c r="P716" s="1">
        <v>-283500</v>
      </c>
      <c r="Q716" s="1">
        <v>-7.26</v>
      </c>
      <c r="R716" s="1" t="s">
        <v>83</v>
      </c>
      <c r="T716" s="50">
        <f>IF(ISNUMBER(VLOOKUP(U716,Blotter!B:C,2,0)),VLOOKUP(U716,Blotter!B:C,2,0),"")</f>
        <v>37</v>
      </c>
      <c r="U716" s="49" t="str">
        <f t="shared" ref="U716" si="740">D716</f>
        <v>HGH4</v>
      </c>
      <c r="V716" s="49">
        <f t="shared" ref="V716" si="741">N716</f>
        <v>-3</v>
      </c>
      <c r="W716" s="49">
        <f t="shared" ref="W716" si="742">O716</f>
        <v>3.78</v>
      </c>
      <c r="X716" s="49">
        <f t="shared" ref="X716" si="743">Q716</f>
        <v>-7.26</v>
      </c>
    </row>
    <row r="717" spans="1:24" x14ac:dyDescent="0.4">
      <c r="A717" s="1" t="s">
        <v>138</v>
      </c>
      <c r="B717" s="1" t="s">
        <v>83</v>
      </c>
      <c r="C717" s="1" t="s">
        <v>82</v>
      </c>
      <c r="D717" s="1" t="s">
        <v>414</v>
      </c>
      <c r="E717" s="1" t="s">
        <v>417</v>
      </c>
      <c r="F717" s="1" t="s">
        <v>93</v>
      </c>
      <c r="G717" s="1" t="s">
        <v>24</v>
      </c>
      <c r="H717" s="1">
        <v>1000</v>
      </c>
      <c r="J717" s="51">
        <v>45313</v>
      </c>
      <c r="L717" s="51">
        <v>45308</v>
      </c>
      <c r="M717" s="1" t="s">
        <v>139</v>
      </c>
      <c r="N717" s="1">
        <v>-4</v>
      </c>
      <c r="O717" s="1">
        <v>72</v>
      </c>
      <c r="P717" s="1">
        <v>-288000</v>
      </c>
      <c r="Q717" s="1">
        <v>-9.48</v>
      </c>
      <c r="R717" s="1" t="s">
        <v>83</v>
      </c>
      <c r="T717" s="50">
        <f>IF(ISNUMBER(VLOOKUP(U717,Blotter!B:C,2,0)),VLOOKUP(U717,Blotter!B:C,2,0),"")</f>
        <v>41</v>
      </c>
      <c r="U717" s="49" t="str">
        <f t="shared" ref="U717:U718" si="744">D717</f>
        <v>CLG4</v>
      </c>
      <c r="V717" s="49">
        <f t="shared" ref="V717:V718" si="745">N717</f>
        <v>-4</v>
      </c>
      <c r="W717" s="49">
        <f t="shared" ref="W717:W718" si="746">O717</f>
        <v>72</v>
      </c>
      <c r="X717" s="49">
        <f t="shared" ref="X717:X718" si="747">Q717</f>
        <v>-9.48</v>
      </c>
    </row>
    <row r="718" spans="1:24" x14ac:dyDescent="0.4">
      <c r="A718" s="1" t="s">
        <v>138</v>
      </c>
      <c r="B718" s="1" t="s">
        <v>83</v>
      </c>
      <c r="C718" s="1" t="s">
        <v>82</v>
      </c>
      <c r="D718" s="1" t="s">
        <v>384</v>
      </c>
      <c r="E718" s="1" t="s">
        <v>387</v>
      </c>
      <c r="F718" s="1" t="s">
        <v>126</v>
      </c>
      <c r="G718" s="1" t="s">
        <v>25</v>
      </c>
      <c r="H718" s="1">
        <v>25000</v>
      </c>
      <c r="J718" s="51">
        <v>45377</v>
      </c>
      <c r="L718" s="51">
        <v>45308</v>
      </c>
      <c r="M718" s="1" t="s">
        <v>135</v>
      </c>
      <c r="N718" s="1">
        <v>2</v>
      </c>
      <c r="O718" s="1">
        <v>3.73</v>
      </c>
      <c r="P718" s="1">
        <v>186500</v>
      </c>
      <c r="Q718" s="1">
        <v>-4.84</v>
      </c>
      <c r="R718" s="1" t="s">
        <v>83</v>
      </c>
      <c r="T718" s="50">
        <f>IF(ISNUMBER(VLOOKUP(U718,Blotter!B:C,2,0)),VLOOKUP(U718,Blotter!B:C,2,0),"")</f>
        <v>37</v>
      </c>
      <c r="U718" s="49" t="str">
        <f t="shared" si="744"/>
        <v>HGH4</v>
      </c>
      <c r="V718" s="49">
        <f t="shared" si="745"/>
        <v>2</v>
      </c>
      <c r="W718" s="49">
        <f t="shared" si="746"/>
        <v>3.73</v>
      </c>
      <c r="X718" s="49">
        <f t="shared" si="747"/>
        <v>-4.84</v>
      </c>
    </row>
    <row r="719" spans="1:24" x14ac:dyDescent="0.4">
      <c r="A719" s="1" t="s">
        <v>138</v>
      </c>
      <c r="B719" s="1" t="s">
        <v>83</v>
      </c>
      <c r="C719" s="1" t="s">
        <v>82</v>
      </c>
      <c r="D719" s="1" t="s">
        <v>384</v>
      </c>
      <c r="E719" s="1" t="s">
        <v>387</v>
      </c>
      <c r="F719" s="1" t="s">
        <v>126</v>
      </c>
      <c r="G719" s="1" t="s">
        <v>25</v>
      </c>
      <c r="H719" s="1">
        <v>25000</v>
      </c>
      <c r="J719" s="51">
        <v>45377</v>
      </c>
      <c r="L719" s="51">
        <v>45309</v>
      </c>
      <c r="M719" s="1" t="s">
        <v>135</v>
      </c>
      <c r="N719" s="1">
        <v>2</v>
      </c>
      <c r="O719" s="1">
        <v>3.7250000000000001</v>
      </c>
      <c r="P719" s="1">
        <v>186250</v>
      </c>
      <c r="Q719" s="1">
        <v>-4.84</v>
      </c>
      <c r="R719" s="1" t="s">
        <v>83</v>
      </c>
      <c r="T719" s="50">
        <f>IF(ISNUMBER(VLOOKUP(U719,Blotter!B:C,2,0)),VLOOKUP(U719,Blotter!B:C,2,0),"")</f>
        <v>37</v>
      </c>
      <c r="U719" s="49" t="str">
        <f t="shared" ref="U719:U723" si="748">D719</f>
        <v>HGH4</v>
      </c>
      <c r="V719" s="49">
        <f t="shared" ref="V719:V723" si="749">N719</f>
        <v>2</v>
      </c>
      <c r="W719" s="49">
        <f t="shared" ref="W719:W723" si="750">O719</f>
        <v>3.7250000000000001</v>
      </c>
      <c r="X719" s="49">
        <f t="shared" ref="X719:X723" si="751">Q719</f>
        <v>-4.84</v>
      </c>
    </row>
    <row r="720" spans="1:24" x14ac:dyDescent="0.4">
      <c r="A720" s="1" t="s">
        <v>138</v>
      </c>
      <c r="B720" s="1" t="s">
        <v>83</v>
      </c>
      <c r="C720" s="1" t="s">
        <v>87</v>
      </c>
      <c r="D720" s="1" t="s">
        <v>364</v>
      </c>
      <c r="E720" s="1" t="s">
        <v>365</v>
      </c>
      <c r="F720" s="1" t="s">
        <v>129</v>
      </c>
      <c r="G720" s="1" t="s">
        <v>362</v>
      </c>
      <c r="H720" s="1">
        <v>100</v>
      </c>
      <c r="I720" s="1">
        <v>17.5</v>
      </c>
      <c r="J720" s="51">
        <v>45310</v>
      </c>
      <c r="K720" s="1" t="s">
        <v>57</v>
      </c>
      <c r="L720" s="51">
        <v>45310</v>
      </c>
      <c r="M720" s="1" t="s">
        <v>139</v>
      </c>
      <c r="N720" s="1">
        <v>-80</v>
      </c>
      <c r="O720" s="1">
        <v>0</v>
      </c>
      <c r="P720" s="1">
        <v>0</v>
      </c>
      <c r="Q720" s="1">
        <v>0</v>
      </c>
      <c r="R720" s="1" t="s">
        <v>83</v>
      </c>
      <c r="T720" s="50">
        <f>IF(ISNUMBER(VLOOKUP(U720,Blotter!B:C,2,0)),VLOOKUP(U720,Blotter!B:C,2,0),"")</f>
        <v>35</v>
      </c>
      <c r="U720" s="49" t="str">
        <f t="shared" si="748"/>
        <v>SAVE  240119C00017500</v>
      </c>
      <c r="V720" s="49">
        <f t="shared" si="749"/>
        <v>-80</v>
      </c>
      <c r="W720" s="49">
        <f t="shared" si="750"/>
        <v>0</v>
      </c>
      <c r="X720" s="49">
        <f t="shared" si="751"/>
        <v>0</v>
      </c>
    </row>
    <row r="721" spans="1:24" x14ac:dyDescent="0.4">
      <c r="A721" s="1" t="s">
        <v>138</v>
      </c>
      <c r="B721" s="1" t="s">
        <v>83</v>
      </c>
      <c r="C721" s="1" t="s">
        <v>87</v>
      </c>
      <c r="D721" s="1" t="s">
        <v>366</v>
      </c>
      <c r="E721" s="1" t="s">
        <v>367</v>
      </c>
      <c r="F721" s="1" t="s">
        <v>129</v>
      </c>
      <c r="G721" s="1" t="s">
        <v>362</v>
      </c>
      <c r="H721" s="1">
        <v>100</v>
      </c>
      <c r="I721" s="1">
        <v>27.5</v>
      </c>
      <c r="J721" s="51">
        <v>45310</v>
      </c>
      <c r="K721" s="1" t="s">
        <v>57</v>
      </c>
      <c r="L721" s="51">
        <v>45310</v>
      </c>
      <c r="M721" s="1" t="s">
        <v>135</v>
      </c>
      <c r="N721" s="1">
        <v>80</v>
      </c>
      <c r="O721" s="1">
        <v>0</v>
      </c>
      <c r="P721" s="1">
        <v>0</v>
      </c>
      <c r="Q721" s="1">
        <v>0</v>
      </c>
      <c r="R721" s="1" t="s">
        <v>83</v>
      </c>
      <c r="T721" s="50">
        <f>IF(ISNUMBER(VLOOKUP(U721,Blotter!B:C,2,0)),VLOOKUP(U721,Blotter!B:C,2,0),"")</f>
        <v>35</v>
      </c>
      <c r="U721" s="49" t="str">
        <f t="shared" si="748"/>
        <v>SAVE  240119C00027500</v>
      </c>
      <c r="V721" s="49">
        <f t="shared" si="749"/>
        <v>80</v>
      </c>
      <c r="W721" s="49">
        <f t="shared" si="750"/>
        <v>0</v>
      </c>
      <c r="X721" s="49">
        <f t="shared" si="751"/>
        <v>0</v>
      </c>
    </row>
    <row r="722" spans="1:24" x14ac:dyDescent="0.4">
      <c r="A722" s="1" t="s">
        <v>138</v>
      </c>
      <c r="B722" s="1" t="s">
        <v>83</v>
      </c>
      <c r="C722" s="1" t="s">
        <v>82</v>
      </c>
      <c r="D722" s="1" t="s">
        <v>384</v>
      </c>
      <c r="E722" s="1" t="s">
        <v>387</v>
      </c>
      <c r="F722" s="1" t="s">
        <v>126</v>
      </c>
      <c r="G722" s="1" t="s">
        <v>25</v>
      </c>
      <c r="H722" s="1">
        <v>25000</v>
      </c>
      <c r="J722" s="51">
        <v>45377</v>
      </c>
      <c r="L722" s="51">
        <v>45310</v>
      </c>
      <c r="M722" s="1" t="s">
        <v>139</v>
      </c>
      <c r="N722" s="1">
        <v>-2</v>
      </c>
      <c r="O722" s="1">
        <v>3.7749999999999999</v>
      </c>
      <c r="P722" s="1">
        <v>-188750</v>
      </c>
      <c r="Q722" s="1">
        <v>-4.84</v>
      </c>
      <c r="R722" s="1" t="s">
        <v>83</v>
      </c>
      <c r="T722" s="50">
        <f>IF(ISNUMBER(VLOOKUP(U722,Blotter!B:C,2,0)),VLOOKUP(U722,Blotter!B:C,2,0),"")</f>
        <v>37</v>
      </c>
      <c r="U722" s="49" t="str">
        <f t="shared" si="748"/>
        <v>HGH4</v>
      </c>
      <c r="V722" s="49">
        <f t="shared" si="749"/>
        <v>-2</v>
      </c>
      <c r="W722" s="49">
        <f t="shared" si="750"/>
        <v>3.7749999999999999</v>
      </c>
      <c r="X722" s="49">
        <f t="shared" si="751"/>
        <v>-4.84</v>
      </c>
    </row>
    <row r="723" spans="1:24" x14ac:dyDescent="0.4">
      <c r="A723" s="1" t="s">
        <v>138</v>
      </c>
      <c r="B723" s="1" t="s">
        <v>83</v>
      </c>
      <c r="C723" s="1" t="s">
        <v>82</v>
      </c>
      <c r="D723" s="1" t="s">
        <v>384</v>
      </c>
      <c r="E723" s="1" t="s">
        <v>387</v>
      </c>
      <c r="F723" s="1" t="s">
        <v>126</v>
      </c>
      <c r="G723" s="1" t="s">
        <v>25</v>
      </c>
      <c r="H723" s="1">
        <v>25000</v>
      </c>
      <c r="J723" s="51">
        <v>45377</v>
      </c>
      <c r="L723" s="51">
        <v>45310</v>
      </c>
      <c r="M723" s="1" t="s">
        <v>139</v>
      </c>
      <c r="N723" s="1">
        <v>-1</v>
      </c>
      <c r="O723" s="1">
        <v>3.79</v>
      </c>
      <c r="P723" s="1">
        <v>-94750</v>
      </c>
      <c r="Q723" s="1">
        <v>-2.42</v>
      </c>
      <c r="R723" s="1" t="s">
        <v>83</v>
      </c>
      <c r="T723" s="50">
        <f>IF(ISNUMBER(VLOOKUP(U723,Blotter!B:C,2,0)),VLOOKUP(U723,Blotter!B:C,2,0),"")</f>
        <v>37</v>
      </c>
      <c r="U723" s="49" t="str">
        <f t="shared" si="748"/>
        <v>HGH4</v>
      </c>
      <c r="V723" s="49">
        <f t="shared" si="749"/>
        <v>-1</v>
      </c>
      <c r="W723" s="49">
        <f t="shared" si="750"/>
        <v>3.79</v>
      </c>
      <c r="X723" s="49">
        <f t="shared" si="751"/>
        <v>-2.42</v>
      </c>
    </row>
    <row r="724" spans="1:24" x14ac:dyDescent="0.4">
      <c r="A724" s="1" t="s">
        <v>138</v>
      </c>
      <c r="B724" s="1" t="s">
        <v>83</v>
      </c>
      <c r="C724" s="1" t="s">
        <v>82</v>
      </c>
      <c r="D724" s="1" t="s">
        <v>384</v>
      </c>
      <c r="E724" s="1" t="s">
        <v>387</v>
      </c>
      <c r="F724" s="1" t="s">
        <v>126</v>
      </c>
      <c r="G724" s="1" t="s">
        <v>25</v>
      </c>
      <c r="H724" s="1">
        <v>25000</v>
      </c>
      <c r="J724" s="51">
        <v>45377</v>
      </c>
      <c r="L724" s="51">
        <v>45310</v>
      </c>
      <c r="M724" s="1" t="s">
        <v>139</v>
      </c>
      <c r="N724" s="1">
        <v>-1</v>
      </c>
      <c r="O724" s="1">
        <v>3.79</v>
      </c>
      <c r="P724" s="1">
        <v>-94750</v>
      </c>
      <c r="Q724" s="1">
        <v>-2.42</v>
      </c>
      <c r="R724" s="1" t="s">
        <v>83</v>
      </c>
      <c r="T724" s="50">
        <f>IF(ISNUMBER(VLOOKUP(U724,Blotter!B:C,2,0)),VLOOKUP(U724,Blotter!B:C,2,0),"")</f>
        <v>37</v>
      </c>
      <c r="U724" s="49" t="str">
        <f t="shared" ref="U724" si="752">D724</f>
        <v>HGH4</v>
      </c>
      <c r="V724" s="49">
        <f t="shared" ref="V724" si="753">N724</f>
        <v>-1</v>
      </c>
      <c r="W724" s="49">
        <f t="shared" ref="W724" si="754">O724</f>
        <v>3.79</v>
      </c>
      <c r="X724" s="49">
        <f t="shared" ref="X724" si="755">Q724</f>
        <v>-2.42</v>
      </c>
    </row>
    <row r="725" spans="1:24" x14ac:dyDescent="0.4">
      <c r="A725" s="1" t="s">
        <v>138</v>
      </c>
      <c r="B725" s="1" t="s">
        <v>83</v>
      </c>
      <c r="C725" s="1" t="s">
        <v>82</v>
      </c>
      <c r="D725" s="1" t="s">
        <v>384</v>
      </c>
      <c r="E725" s="1" t="s">
        <v>387</v>
      </c>
      <c r="F725" s="1" t="s">
        <v>126</v>
      </c>
      <c r="G725" s="1" t="s">
        <v>25</v>
      </c>
      <c r="H725" s="1">
        <v>25000</v>
      </c>
      <c r="J725" s="51">
        <v>45377</v>
      </c>
      <c r="L725" s="51">
        <v>45315</v>
      </c>
      <c r="M725" s="1" t="s">
        <v>139</v>
      </c>
      <c r="N725" s="1">
        <v>-2</v>
      </c>
      <c r="O725" s="1">
        <v>3.8454999999999999</v>
      </c>
      <c r="P725" s="1">
        <v>-192275</v>
      </c>
      <c r="Q725" s="1">
        <v>-4.84</v>
      </c>
      <c r="R725" s="1" t="s">
        <v>83</v>
      </c>
      <c r="T725" s="50">
        <f>IF(ISNUMBER(VLOOKUP(U725,Blotter!B:C,2,0)),VLOOKUP(U725,Blotter!B:C,2,0),"")</f>
        <v>37</v>
      </c>
      <c r="U725" s="49" t="str">
        <f t="shared" ref="U725:U727" si="756">D725</f>
        <v>HGH4</v>
      </c>
      <c r="V725" s="49">
        <f t="shared" ref="V725:V727" si="757">N725</f>
        <v>-2</v>
      </c>
      <c r="W725" s="49">
        <f t="shared" ref="W725:W727" si="758">O725</f>
        <v>3.8454999999999999</v>
      </c>
      <c r="X725" s="49">
        <f t="shared" ref="X725:X727" si="759">Q725</f>
        <v>-4.84</v>
      </c>
    </row>
    <row r="726" spans="1:24" x14ac:dyDescent="0.4">
      <c r="A726" s="1" t="s">
        <v>138</v>
      </c>
      <c r="B726" s="1" t="s">
        <v>83</v>
      </c>
      <c r="C726" s="1" t="s">
        <v>82</v>
      </c>
      <c r="D726" s="1" t="s">
        <v>384</v>
      </c>
      <c r="E726" s="1" t="s">
        <v>387</v>
      </c>
      <c r="F726" s="1" t="s">
        <v>126</v>
      </c>
      <c r="G726" s="1" t="s">
        <v>25</v>
      </c>
      <c r="H726" s="1">
        <v>25000</v>
      </c>
      <c r="J726" s="51">
        <v>45377</v>
      </c>
      <c r="L726" s="51">
        <v>45315</v>
      </c>
      <c r="M726" s="1" t="s">
        <v>139</v>
      </c>
      <c r="N726" s="1">
        <v>-2</v>
      </c>
      <c r="O726" s="1">
        <v>3.86</v>
      </c>
      <c r="P726" s="1">
        <v>-193000</v>
      </c>
      <c r="Q726" s="1">
        <v>-4.84</v>
      </c>
      <c r="R726" s="1" t="s">
        <v>83</v>
      </c>
      <c r="T726" s="50">
        <f>IF(ISNUMBER(VLOOKUP(U726,Blotter!B:C,2,0)),VLOOKUP(U726,Blotter!B:C,2,0),"")</f>
        <v>37</v>
      </c>
      <c r="U726" s="49" t="str">
        <f t="shared" si="756"/>
        <v>HGH4</v>
      </c>
      <c r="V726" s="49">
        <f t="shared" si="757"/>
        <v>-2</v>
      </c>
      <c r="W726" s="49">
        <f t="shared" si="758"/>
        <v>3.86</v>
      </c>
      <c r="X726" s="49">
        <f t="shared" si="759"/>
        <v>-4.84</v>
      </c>
    </row>
    <row r="727" spans="1:24" x14ac:dyDescent="0.4">
      <c r="A727" s="1" t="s">
        <v>138</v>
      </c>
      <c r="B727" s="1" t="s">
        <v>83</v>
      </c>
      <c r="C727" s="1" t="s">
        <v>82</v>
      </c>
      <c r="D727" s="1" t="s">
        <v>384</v>
      </c>
      <c r="E727" s="1" t="s">
        <v>387</v>
      </c>
      <c r="F727" s="1" t="s">
        <v>126</v>
      </c>
      <c r="G727" s="1" t="s">
        <v>25</v>
      </c>
      <c r="H727" s="1">
        <v>25000</v>
      </c>
      <c r="J727" s="51">
        <v>45377</v>
      </c>
      <c r="L727" s="51">
        <v>45315</v>
      </c>
      <c r="M727" s="1" t="s">
        <v>139</v>
      </c>
      <c r="N727" s="1">
        <v>-2</v>
      </c>
      <c r="O727" s="1">
        <v>3.87</v>
      </c>
      <c r="P727" s="1">
        <v>-193500</v>
      </c>
      <c r="Q727" s="1">
        <v>-4.84</v>
      </c>
      <c r="R727" s="1" t="s">
        <v>83</v>
      </c>
      <c r="T727" s="50">
        <f>IF(ISNUMBER(VLOOKUP(U727,Blotter!B:C,2,0)),VLOOKUP(U727,Blotter!B:C,2,0),"")</f>
        <v>37</v>
      </c>
      <c r="U727" s="49" t="str">
        <f t="shared" si="756"/>
        <v>HGH4</v>
      </c>
      <c r="V727" s="49">
        <f t="shared" si="757"/>
        <v>-2</v>
      </c>
      <c r="W727" s="49">
        <f t="shared" si="758"/>
        <v>3.87</v>
      </c>
      <c r="X727" s="49">
        <f t="shared" si="759"/>
        <v>-4.84</v>
      </c>
    </row>
    <row r="728" spans="1:24" x14ac:dyDescent="0.4">
      <c r="A728" s="1" t="s">
        <v>138</v>
      </c>
      <c r="B728" s="1" t="s">
        <v>83</v>
      </c>
      <c r="C728" s="1" t="s">
        <v>82</v>
      </c>
      <c r="D728" s="1" t="s">
        <v>423</v>
      </c>
      <c r="E728" s="1" t="s">
        <v>425</v>
      </c>
      <c r="F728" s="1" t="s">
        <v>93</v>
      </c>
      <c r="G728" s="1" t="s">
        <v>24</v>
      </c>
      <c r="H728" s="1">
        <v>1000</v>
      </c>
      <c r="J728" s="51">
        <v>45342</v>
      </c>
      <c r="L728" s="51">
        <v>45324</v>
      </c>
      <c r="M728" s="1" t="s">
        <v>135</v>
      </c>
      <c r="N728" s="1">
        <v>1</v>
      </c>
      <c r="O728" s="1">
        <v>74.02</v>
      </c>
      <c r="P728" s="1">
        <v>74020</v>
      </c>
      <c r="Q728" s="1">
        <v>-2.37</v>
      </c>
      <c r="R728" s="1" t="s">
        <v>83</v>
      </c>
      <c r="T728" s="50">
        <f>IF(ISNUMBER(VLOOKUP(U728,Blotter!B:C,2,0)),VLOOKUP(U728,Blotter!B:C,2,0),"")</f>
        <v>41</v>
      </c>
      <c r="U728" s="49" t="str">
        <f t="shared" ref="U728" si="760">D728</f>
        <v>CLH4</v>
      </c>
      <c r="V728" s="49">
        <f t="shared" ref="V728" si="761">N728</f>
        <v>1</v>
      </c>
      <c r="W728" s="49">
        <f t="shared" ref="W728" si="762">O728</f>
        <v>74.02</v>
      </c>
      <c r="X728" s="49">
        <f t="shared" ref="X728" si="763">Q728</f>
        <v>-2.37</v>
      </c>
    </row>
    <row r="729" spans="1:24" x14ac:dyDescent="0.4">
      <c r="A729" s="1" t="s">
        <v>138</v>
      </c>
      <c r="B729" s="1" t="s">
        <v>83</v>
      </c>
      <c r="C729" s="1" t="s">
        <v>82</v>
      </c>
      <c r="D729" s="1" t="s">
        <v>423</v>
      </c>
      <c r="E729" s="1" t="s">
        <v>425</v>
      </c>
      <c r="F729" s="1" t="s">
        <v>93</v>
      </c>
      <c r="G729" s="1" t="s">
        <v>24</v>
      </c>
      <c r="H729" s="1">
        <v>1000</v>
      </c>
      <c r="J729" s="51">
        <v>45342</v>
      </c>
      <c r="L729" s="51">
        <v>45324</v>
      </c>
      <c r="M729" s="1" t="s">
        <v>135</v>
      </c>
      <c r="N729" s="1">
        <v>1</v>
      </c>
      <c r="O729" s="1">
        <v>74.02</v>
      </c>
      <c r="P729" s="1">
        <v>74020</v>
      </c>
      <c r="Q729" s="1">
        <v>-2.37</v>
      </c>
      <c r="R729" s="1" t="s">
        <v>83</v>
      </c>
      <c r="T729" s="50">
        <f>IF(ISNUMBER(VLOOKUP(U729,Blotter!B:C,2,0)),VLOOKUP(U729,Blotter!B:C,2,0),"")</f>
        <v>41</v>
      </c>
      <c r="U729" s="49" t="str">
        <f t="shared" ref="U729" si="764">D729</f>
        <v>CLH4</v>
      </c>
      <c r="V729" s="49">
        <f t="shared" ref="V729" si="765">N729</f>
        <v>1</v>
      </c>
      <c r="W729" s="49">
        <f t="shared" ref="W729" si="766">O729</f>
        <v>74.02</v>
      </c>
      <c r="X729" s="49">
        <f t="shared" ref="X729" si="767">Q729</f>
        <v>-2.37</v>
      </c>
    </row>
    <row r="730" spans="1:24" x14ac:dyDescent="0.4">
      <c r="A730" s="1" t="s">
        <v>138</v>
      </c>
      <c r="B730" s="1" t="s">
        <v>83</v>
      </c>
      <c r="C730" s="1" t="s">
        <v>82</v>
      </c>
      <c r="D730" s="1" t="s">
        <v>423</v>
      </c>
      <c r="E730" s="1" t="s">
        <v>425</v>
      </c>
      <c r="F730" s="1" t="s">
        <v>93</v>
      </c>
      <c r="G730" s="1" t="s">
        <v>24</v>
      </c>
      <c r="H730" s="1">
        <v>1000</v>
      </c>
      <c r="J730" s="51">
        <v>45342</v>
      </c>
      <c r="L730" s="51">
        <v>45324</v>
      </c>
      <c r="M730" s="1" t="s">
        <v>135</v>
      </c>
      <c r="N730" s="1">
        <v>1</v>
      </c>
      <c r="O730" s="1">
        <v>74.02</v>
      </c>
      <c r="P730" s="1">
        <v>74020</v>
      </c>
      <c r="Q730" s="1">
        <v>-2.37</v>
      </c>
      <c r="R730" s="1" t="s">
        <v>83</v>
      </c>
      <c r="T730" s="50">
        <f>IF(ISNUMBER(VLOOKUP(U730,Blotter!B:C,2,0)),VLOOKUP(U730,Blotter!B:C,2,0),"")</f>
        <v>41</v>
      </c>
      <c r="U730" s="49" t="str">
        <f t="shared" ref="U730" si="768">D730</f>
        <v>CLH4</v>
      </c>
      <c r="V730" s="49">
        <f t="shared" ref="V730" si="769">N730</f>
        <v>1</v>
      </c>
      <c r="W730" s="49">
        <f t="shared" ref="W730" si="770">O730</f>
        <v>74.02</v>
      </c>
      <c r="X730" s="49">
        <f t="shared" ref="X730" si="771">Q730</f>
        <v>-2.37</v>
      </c>
    </row>
    <row r="731" spans="1:24" x14ac:dyDescent="0.4">
      <c r="A731" s="1" t="s">
        <v>138</v>
      </c>
      <c r="B731" s="1" t="s">
        <v>83</v>
      </c>
      <c r="C731" s="1" t="s">
        <v>82</v>
      </c>
      <c r="D731" s="1" t="s">
        <v>423</v>
      </c>
      <c r="E731" s="1" t="s">
        <v>425</v>
      </c>
      <c r="F731" s="1" t="s">
        <v>93</v>
      </c>
      <c r="G731" s="1" t="s">
        <v>24</v>
      </c>
      <c r="H731" s="1">
        <v>1000</v>
      </c>
      <c r="J731" s="51">
        <v>45342</v>
      </c>
      <c r="L731" s="51">
        <v>45324</v>
      </c>
      <c r="M731" s="1" t="s">
        <v>135</v>
      </c>
      <c r="N731" s="1">
        <v>1</v>
      </c>
      <c r="O731" s="1">
        <v>74.02</v>
      </c>
      <c r="P731" s="1">
        <v>74020</v>
      </c>
      <c r="Q731" s="1">
        <v>-2.37</v>
      </c>
      <c r="R731" s="1" t="s">
        <v>83</v>
      </c>
      <c r="T731" s="50">
        <f>IF(ISNUMBER(VLOOKUP(U731,Blotter!B:C,2,0)),VLOOKUP(U731,Blotter!B:C,2,0),"")</f>
        <v>41</v>
      </c>
      <c r="U731" s="49" t="str">
        <f t="shared" ref="U731:U740" si="772">D731</f>
        <v>CLH4</v>
      </c>
      <c r="V731" s="49">
        <f t="shared" ref="V731:V740" si="773">N731</f>
        <v>1</v>
      </c>
      <c r="W731" s="49">
        <f t="shared" ref="W731:W740" si="774">O731</f>
        <v>74.02</v>
      </c>
      <c r="X731" s="49">
        <f t="shared" ref="X731:X740" si="775">Q731</f>
        <v>-2.37</v>
      </c>
    </row>
    <row r="732" spans="1:24" x14ac:dyDescent="0.4">
      <c r="A732" s="1" t="s">
        <v>138</v>
      </c>
      <c r="B732" s="1" t="s">
        <v>83</v>
      </c>
      <c r="C732" s="1" t="s">
        <v>82</v>
      </c>
      <c r="D732" s="1" t="s">
        <v>423</v>
      </c>
      <c r="E732" s="1" t="s">
        <v>425</v>
      </c>
      <c r="F732" s="1" t="s">
        <v>93</v>
      </c>
      <c r="G732" s="1" t="s">
        <v>24</v>
      </c>
      <c r="H732" s="1">
        <v>1000</v>
      </c>
      <c r="J732" s="51">
        <v>45342</v>
      </c>
      <c r="L732" s="51">
        <v>45324</v>
      </c>
      <c r="M732" s="1" t="s">
        <v>135</v>
      </c>
      <c r="N732" s="1">
        <v>1</v>
      </c>
      <c r="O732" s="1">
        <v>73.75</v>
      </c>
      <c r="P732" s="1">
        <v>73750</v>
      </c>
      <c r="Q732" s="1">
        <v>-2.37</v>
      </c>
      <c r="R732" s="1" t="s">
        <v>83</v>
      </c>
      <c r="T732" s="50">
        <f>IF(ISNUMBER(VLOOKUP(U732,Blotter!B:C,2,0)),VLOOKUP(U732,Blotter!B:C,2,0),"")</f>
        <v>41</v>
      </c>
      <c r="U732" s="49" t="str">
        <f t="shared" si="772"/>
        <v>CLH4</v>
      </c>
      <c r="V732" s="49">
        <f t="shared" si="773"/>
        <v>1</v>
      </c>
      <c r="W732" s="49">
        <f t="shared" si="774"/>
        <v>73.75</v>
      </c>
      <c r="X732" s="49">
        <f t="shared" si="775"/>
        <v>-2.37</v>
      </c>
    </row>
    <row r="733" spans="1:24" x14ac:dyDescent="0.4">
      <c r="A733" s="1" t="s">
        <v>138</v>
      </c>
      <c r="B733" s="1" t="s">
        <v>83</v>
      </c>
      <c r="C733" s="1" t="s">
        <v>82</v>
      </c>
      <c r="D733" s="1" t="s">
        <v>384</v>
      </c>
      <c r="E733" s="1" t="s">
        <v>387</v>
      </c>
      <c r="F733" s="1" t="s">
        <v>126</v>
      </c>
      <c r="G733" s="1" t="s">
        <v>25</v>
      </c>
      <c r="H733" s="1">
        <v>25000</v>
      </c>
      <c r="J733" s="51">
        <v>45377</v>
      </c>
      <c r="L733" s="51">
        <v>45324</v>
      </c>
      <c r="M733" s="1" t="s">
        <v>135</v>
      </c>
      <c r="N733" s="1">
        <v>1</v>
      </c>
      <c r="O733" s="1">
        <v>3.8250000000000002</v>
      </c>
      <c r="P733" s="1">
        <v>95625</v>
      </c>
      <c r="Q733" s="1">
        <v>-2.4700000000000002</v>
      </c>
      <c r="R733" s="1" t="s">
        <v>83</v>
      </c>
      <c r="T733" s="50">
        <f>IF(ISNUMBER(VLOOKUP(U733,Blotter!B:C,2,0)),VLOOKUP(U733,Blotter!B:C,2,0),"")</f>
        <v>37</v>
      </c>
      <c r="U733" s="49" t="str">
        <f t="shared" si="772"/>
        <v>HGH4</v>
      </c>
      <c r="V733" s="49">
        <f t="shared" si="773"/>
        <v>1</v>
      </c>
      <c r="W733" s="49">
        <f t="shared" si="774"/>
        <v>3.8250000000000002</v>
      </c>
      <c r="X733" s="49">
        <f t="shared" si="775"/>
        <v>-2.4700000000000002</v>
      </c>
    </row>
    <row r="734" spans="1:24" x14ac:dyDescent="0.4">
      <c r="A734" s="1" t="s">
        <v>138</v>
      </c>
      <c r="B734" s="1" t="s">
        <v>83</v>
      </c>
      <c r="C734" s="1" t="s">
        <v>82</v>
      </c>
      <c r="D734" s="1" t="s">
        <v>384</v>
      </c>
      <c r="E734" s="1" t="s">
        <v>387</v>
      </c>
      <c r="F734" s="1" t="s">
        <v>126</v>
      </c>
      <c r="G734" s="1" t="s">
        <v>25</v>
      </c>
      <c r="H734" s="1">
        <v>25000</v>
      </c>
      <c r="J734" s="51">
        <v>45377</v>
      </c>
      <c r="L734" s="51">
        <v>45324</v>
      </c>
      <c r="M734" s="1" t="s">
        <v>135</v>
      </c>
      <c r="N734" s="1">
        <v>3</v>
      </c>
      <c r="O734" s="1">
        <v>3.8250000000000002</v>
      </c>
      <c r="P734" s="1">
        <v>286875</v>
      </c>
      <c r="Q734" s="1">
        <v>-7.41</v>
      </c>
      <c r="R734" s="1" t="s">
        <v>83</v>
      </c>
      <c r="T734" s="50">
        <f>IF(ISNUMBER(VLOOKUP(U734,Blotter!B:C,2,0)),VLOOKUP(U734,Blotter!B:C,2,0),"")</f>
        <v>37</v>
      </c>
      <c r="U734" s="49" t="str">
        <f t="shared" si="772"/>
        <v>HGH4</v>
      </c>
      <c r="V734" s="49">
        <f t="shared" si="773"/>
        <v>3</v>
      </c>
      <c r="W734" s="49">
        <f t="shared" si="774"/>
        <v>3.8250000000000002</v>
      </c>
      <c r="X734" s="49">
        <f t="shared" si="775"/>
        <v>-7.41</v>
      </c>
    </row>
    <row r="735" spans="1:24" x14ac:dyDescent="0.4">
      <c r="A735" s="1" t="s">
        <v>138</v>
      </c>
      <c r="B735" s="1" t="s">
        <v>83</v>
      </c>
      <c r="C735" s="1" t="s">
        <v>82</v>
      </c>
      <c r="D735" s="1" t="s">
        <v>424</v>
      </c>
      <c r="E735" s="1" t="s">
        <v>426</v>
      </c>
      <c r="F735" s="1" t="s">
        <v>93</v>
      </c>
      <c r="G735" s="1" t="s">
        <v>5</v>
      </c>
      <c r="H735" s="1">
        <v>10000</v>
      </c>
      <c r="J735" s="51">
        <v>45349</v>
      </c>
      <c r="L735" s="51">
        <v>45324</v>
      </c>
      <c r="M735" s="1" t="s">
        <v>135</v>
      </c>
      <c r="N735" s="1">
        <v>2</v>
      </c>
      <c r="O735" s="1">
        <v>2.0499999999999998</v>
      </c>
      <c r="P735" s="1">
        <v>41000</v>
      </c>
      <c r="Q735" s="1">
        <v>-4.9400000000000004</v>
      </c>
      <c r="R735" s="1" t="s">
        <v>83</v>
      </c>
      <c r="T735" s="50">
        <f>IF(ISNUMBER(VLOOKUP(U735,Blotter!B:C,2,0)),VLOOKUP(U735,Blotter!B:C,2,0),"")</f>
        <v>36</v>
      </c>
      <c r="U735" s="49" t="str">
        <f t="shared" si="772"/>
        <v>NGH4</v>
      </c>
      <c r="V735" s="49">
        <f t="shared" si="773"/>
        <v>2</v>
      </c>
      <c r="W735" s="49">
        <f t="shared" si="774"/>
        <v>2.0499999999999998</v>
      </c>
      <c r="X735" s="49">
        <f t="shared" si="775"/>
        <v>-4.9400000000000004</v>
      </c>
    </row>
    <row r="736" spans="1:24" x14ac:dyDescent="0.4">
      <c r="A736" s="1" t="s">
        <v>138</v>
      </c>
      <c r="B736" s="1" t="s">
        <v>83</v>
      </c>
      <c r="C736" s="1" t="s">
        <v>82</v>
      </c>
      <c r="D736" s="1" t="s">
        <v>424</v>
      </c>
      <c r="E736" s="1" t="s">
        <v>426</v>
      </c>
      <c r="F736" s="1" t="s">
        <v>93</v>
      </c>
      <c r="G736" s="1" t="s">
        <v>5</v>
      </c>
      <c r="H736" s="1">
        <v>10000</v>
      </c>
      <c r="J736" s="51">
        <v>45349</v>
      </c>
      <c r="L736" s="51">
        <v>45324</v>
      </c>
      <c r="M736" s="1" t="s">
        <v>135</v>
      </c>
      <c r="N736" s="1">
        <v>2</v>
      </c>
      <c r="O736" s="1">
        <v>2.0499999999999998</v>
      </c>
      <c r="P736" s="1">
        <v>41000</v>
      </c>
      <c r="Q736" s="1">
        <v>-4.9400000000000004</v>
      </c>
      <c r="R736" s="1" t="s">
        <v>83</v>
      </c>
      <c r="T736" s="50">
        <f>IF(ISNUMBER(VLOOKUP(U736,Blotter!B:C,2,0)),VLOOKUP(U736,Blotter!B:C,2,0),"")</f>
        <v>36</v>
      </c>
      <c r="U736" s="49" t="str">
        <f t="shared" si="772"/>
        <v>NGH4</v>
      </c>
      <c r="V736" s="49">
        <f t="shared" si="773"/>
        <v>2</v>
      </c>
      <c r="W736" s="49">
        <f t="shared" si="774"/>
        <v>2.0499999999999998</v>
      </c>
      <c r="X736" s="49">
        <f t="shared" si="775"/>
        <v>-4.9400000000000004</v>
      </c>
    </row>
    <row r="737" spans="1:24" x14ac:dyDescent="0.4">
      <c r="A737" s="1" t="s">
        <v>138</v>
      </c>
      <c r="B737" s="1" t="s">
        <v>83</v>
      </c>
      <c r="C737" s="1" t="s">
        <v>82</v>
      </c>
      <c r="D737" s="59" t="s">
        <v>419</v>
      </c>
      <c r="E737" s="1" t="s">
        <v>427</v>
      </c>
      <c r="F737" s="1" t="s">
        <v>127</v>
      </c>
      <c r="G737" s="1" t="s">
        <v>29</v>
      </c>
      <c r="H737" s="1">
        <v>5000</v>
      </c>
      <c r="J737" s="51">
        <v>45365</v>
      </c>
      <c r="L737" s="51">
        <v>45324</v>
      </c>
      <c r="M737" s="1" t="s">
        <v>135</v>
      </c>
      <c r="N737" s="1">
        <v>2</v>
      </c>
      <c r="O737" s="59">
        <v>602.75</v>
      </c>
      <c r="P737" s="1">
        <v>60275</v>
      </c>
      <c r="Q737" s="1">
        <v>-5.94</v>
      </c>
      <c r="R737" s="1" t="s">
        <v>83</v>
      </c>
      <c r="T737" s="50">
        <f>IF(ISNUMBER(VLOOKUP(U737,Blotter!B:C,2,0)),VLOOKUP(U737,Blotter!B:C,2,0),"")</f>
        <v>43</v>
      </c>
      <c r="U737" s="49" t="str">
        <f t="shared" si="772"/>
        <v>ZWH4</v>
      </c>
      <c r="V737" s="49">
        <f t="shared" si="773"/>
        <v>2</v>
      </c>
      <c r="W737" s="49">
        <f t="shared" si="774"/>
        <v>602.75</v>
      </c>
      <c r="X737" s="49">
        <f t="shared" si="775"/>
        <v>-5.94</v>
      </c>
    </row>
    <row r="738" spans="1:24" x14ac:dyDescent="0.4">
      <c r="A738" s="1" t="s">
        <v>138</v>
      </c>
      <c r="B738" s="1" t="s">
        <v>83</v>
      </c>
      <c r="C738" s="1" t="s">
        <v>82</v>
      </c>
      <c r="D738" s="59" t="s">
        <v>419</v>
      </c>
      <c r="E738" s="1" t="s">
        <v>427</v>
      </c>
      <c r="F738" s="1" t="s">
        <v>127</v>
      </c>
      <c r="G738" s="1" t="s">
        <v>29</v>
      </c>
      <c r="H738" s="1">
        <v>5000</v>
      </c>
      <c r="J738" s="51">
        <v>45365</v>
      </c>
      <c r="L738" s="51">
        <v>45324</v>
      </c>
      <c r="M738" s="1" t="s">
        <v>135</v>
      </c>
      <c r="N738" s="1">
        <v>4</v>
      </c>
      <c r="O738" s="59">
        <v>602.75</v>
      </c>
      <c r="P738" s="1">
        <v>120550</v>
      </c>
      <c r="Q738" s="1">
        <v>-11.88</v>
      </c>
      <c r="R738" s="1" t="s">
        <v>83</v>
      </c>
      <c r="T738" s="50">
        <f>IF(ISNUMBER(VLOOKUP(U738,Blotter!B:C,2,0)),VLOOKUP(U738,Blotter!B:C,2,0),"")</f>
        <v>43</v>
      </c>
      <c r="U738" s="49" t="str">
        <f t="shared" si="772"/>
        <v>ZWH4</v>
      </c>
      <c r="V738" s="49">
        <f t="shared" si="773"/>
        <v>4</v>
      </c>
      <c r="W738" s="49">
        <f t="shared" si="774"/>
        <v>602.75</v>
      </c>
      <c r="X738" s="49">
        <f t="shared" si="775"/>
        <v>-11.88</v>
      </c>
    </row>
    <row r="739" spans="1:24" x14ac:dyDescent="0.4">
      <c r="A739" s="1" t="s">
        <v>138</v>
      </c>
      <c r="B739" s="1" t="s">
        <v>83</v>
      </c>
      <c r="C739" s="1" t="s">
        <v>82</v>
      </c>
      <c r="D739" s="59" t="s">
        <v>419</v>
      </c>
      <c r="E739" s="1" t="s">
        <v>427</v>
      </c>
      <c r="F739" s="1" t="s">
        <v>127</v>
      </c>
      <c r="G739" s="1" t="s">
        <v>29</v>
      </c>
      <c r="H739" s="1">
        <v>5000</v>
      </c>
      <c r="J739" s="51">
        <v>45365</v>
      </c>
      <c r="L739" s="51">
        <v>45324</v>
      </c>
      <c r="M739" s="1" t="s">
        <v>135</v>
      </c>
      <c r="N739" s="1">
        <v>3</v>
      </c>
      <c r="O739" s="59">
        <v>602.75</v>
      </c>
      <c r="P739" s="1">
        <v>90412.5</v>
      </c>
      <c r="Q739" s="1">
        <v>-8.91</v>
      </c>
      <c r="R739" s="1" t="s">
        <v>83</v>
      </c>
      <c r="T739" s="50">
        <f>IF(ISNUMBER(VLOOKUP(U739,Blotter!B:C,2,0)),VLOOKUP(U739,Blotter!B:C,2,0),"")</f>
        <v>43</v>
      </c>
      <c r="U739" s="49" t="str">
        <f t="shared" si="772"/>
        <v>ZWH4</v>
      </c>
      <c r="V739" s="49">
        <f t="shared" si="773"/>
        <v>3</v>
      </c>
      <c r="W739" s="49">
        <f t="shared" si="774"/>
        <v>602.75</v>
      </c>
      <c r="X739" s="49">
        <f t="shared" si="775"/>
        <v>-8.91</v>
      </c>
    </row>
    <row r="740" spans="1:24" x14ac:dyDescent="0.4">
      <c r="A740" s="1" t="s">
        <v>138</v>
      </c>
      <c r="B740" s="1" t="s">
        <v>83</v>
      </c>
      <c r="C740" s="1" t="s">
        <v>82</v>
      </c>
      <c r="D740" s="59" t="s">
        <v>419</v>
      </c>
      <c r="E740" s="1" t="s">
        <v>427</v>
      </c>
      <c r="F740" s="1" t="s">
        <v>127</v>
      </c>
      <c r="G740" s="1" t="s">
        <v>29</v>
      </c>
      <c r="H740" s="1">
        <v>5000</v>
      </c>
      <c r="J740" s="51">
        <v>45365</v>
      </c>
      <c r="L740" s="51">
        <v>45324</v>
      </c>
      <c r="M740" s="1" t="s">
        <v>135</v>
      </c>
      <c r="N740" s="1">
        <v>2</v>
      </c>
      <c r="O740" s="59">
        <v>602.75</v>
      </c>
      <c r="P740" s="1">
        <v>60275</v>
      </c>
      <c r="Q740" s="1">
        <v>-5.94</v>
      </c>
      <c r="R740" s="1" t="s">
        <v>83</v>
      </c>
      <c r="T740" s="50">
        <f>IF(ISNUMBER(VLOOKUP(U740,Blotter!B:C,2,0)),VLOOKUP(U740,Blotter!B:C,2,0),"")</f>
        <v>43</v>
      </c>
      <c r="U740" s="49" t="str">
        <f t="shared" si="772"/>
        <v>ZWH4</v>
      </c>
      <c r="V740" s="49">
        <f t="shared" si="773"/>
        <v>2</v>
      </c>
      <c r="W740" s="49">
        <f t="shared" si="774"/>
        <v>602.75</v>
      </c>
      <c r="X740" s="49">
        <f t="shared" si="775"/>
        <v>-5.94</v>
      </c>
    </row>
    <row r="741" spans="1:24" x14ac:dyDescent="0.4">
      <c r="A741" s="1" t="s">
        <v>138</v>
      </c>
      <c r="B741" s="1" t="s">
        <v>83</v>
      </c>
      <c r="C741" s="1" t="s">
        <v>82</v>
      </c>
      <c r="D741" s="1" t="s">
        <v>384</v>
      </c>
      <c r="E741" s="1" t="s">
        <v>387</v>
      </c>
      <c r="F741" s="1" t="s">
        <v>126</v>
      </c>
      <c r="G741" s="1" t="s">
        <v>25</v>
      </c>
      <c r="H741" s="1">
        <v>25000</v>
      </c>
      <c r="J741" s="51">
        <v>45377</v>
      </c>
      <c r="L741" s="51">
        <v>45327</v>
      </c>
      <c r="M741" s="1" t="s">
        <v>135</v>
      </c>
      <c r="N741" s="1">
        <v>2</v>
      </c>
      <c r="O741" s="1">
        <v>3.7875000000000001</v>
      </c>
      <c r="P741" s="1">
        <v>189375</v>
      </c>
      <c r="Q741" s="1">
        <v>-4.9400000000000004</v>
      </c>
      <c r="R741" s="1" t="s">
        <v>83</v>
      </c>
      <c r="T741" s="50">
        <f>IF(ISNUMBER(VLOOKUP(U741,Blotter!B:C,2,0)),VLOOKUP(U741,Blotter!B:C,2,0),"")</f>
        <v>37</v>
      </c>
      <c r="U741" s="49" t="str">
        <f t="shared" ref="U741:U742" si="776">D741</f>
        <v>HGH4</v>
      </c>
      <c r="V741" s="49">
        <f t="shared" ref="V741:V742" si="777">N741</f>
        <v>2</v>
      </c>
      <c r="W741" s="49">
        <f t="shared" ref="W741:W742" si="778">O741</f>
        <v>3.7875000000000001</v>
      </c>
      <c r="X741" s="49">
        <f t="shared" ref="X741:X742" si="779">Q741</f>
        <v>-4.9400000000000004</v>
      </c>
    </row>
    <row r="742" spans="1:24" x14ac:dyDescent="0.4">
      <c r="A742" s="1" t="s">
        <v>138</v>
      </c>
      <c r="B742" s="1" t="s">
        <v>83</v>
      </c>
      <c r="C742" s="1" t="s">
        <v>82</v>
      </c>
      <c r="D742" s="1" t="s">
        <v>424</v>
      </c>
      <c r="E742" s="1" t="s">
        <v>426</v>
      </c>
      <c r="F742" s="1" t="s">
        <v>93</v>
      </c>
      <c r="G742" s="1" t="s">
        <v>5</v>
      </c>
      <c r="H742" s="1">
        <v>10000</v>
      </c>
      <c r="J742" s="51">
        <v>45349</v>
      </c>
      <c r="L742" s="51">
        <v>45327</v>
      </c>
      <c r="M742" s="1" t="s">
        <v>139</v>
      </c>
      <c r="N742" s="1">
        <v>-4</v>
      </c>
      <c r="O742" s="1">
        <v>2.1150000000000002</v>
      </c>
      <c r="P742" s="1">
        <v>-84600</v>
      </c>
      <c r="Q742" s="1">
        <v>-9.8800000000000008</v>
      </c>
      <c r="R742" s="1" t="s">
        <v>83</v>
      </c>
      <c r="T742" s="50">
        <f>IF(ISNUMBER(VLOOKUP(U742,Blotter!B:C,2,0)),VLOOKUP(U742,Blotter!B:C,2,0),"")</f>
        <v>36</v>
      </c>
      <c r="U742" s="49" t="str">
        <f t="shared" si="776"/>
        <v>NGH4</v>
      </c>
      <c r="V742" s="49">
        <f t="shared" si="777"/>
        <v>-4</v>
      </c>
      <c r="W742" s="49">
        <f t="shared" si="778"/>
        <v>2.1150000000000002</v>
      </c>
      <c r="X742" s="49">
        <f t="shared" si="779"/>
        <v>-9.8800000000000008</v>
      </c>
    </row>
    <row r="743" spans="1:24" x14ac:dyDescent="0.4">
      <c r="A743" s="1" t="s">
        <v>138</v>
      </c>
      <c r="B743" s="1" t="s">
        <v>83</v>
      </c>
      <c r="C743" s="1" t="s">
        <v>82</v>
      </c>
      <c r="D743" s="1" t="s">
        <v>423</v>
      </c>
      <c r="E743" s="1" t="s">
        <v>425</v>
      </c>
      <c r="F743" s="1" t="s">
        <v>93</v>
      </c>
      <c r="G743" s="1" t="s">
        <v>24</v>
      </c>
      <c r="H743" s="1">
        <v>1000</v>
      </c>
      <c r="J743" s="51">
        <v>45342</v>
      </c>
      <c r="L743" s="51">
        <v>45329</v>
      </c>
      <c r="M743" s="1" t="s">
        <v>139</v>
      </c>
      <c r="N743" s="1">
        <v>-2</v>
      </c>
      <c r="O743" s="1">
        <v>73.959999999999994</v>
      </c>
      <c r="P743" s="1">
        <v>-147920</v>
      </c>
      <c r="Q743" s="1">
        <v>-4.74</v>
      </c>
      <c r="R743" s="1" t="s">
        <v>83</v>
      </c>
      <c r="T743" s="50">
        <f>IF(ISNUMBER(VLOOKUP(U743,Blotter!B:C,2,0)),VLOOKUP(U743,Blotter!B:C,2,0),"")</f>
        <v>41</v>
      </c>
      <c r="U743" s="49" t="str">
        <f t="shared" ref="U743:U747" si="780">D743</f>
        <v>CLH4</v>
      </c>
      <c r="V743" s="49">
        <f t="shared" ref="V743:V747" si="781">N743</f>
        <v>-2</v>
      </c>
      <c r="W743" s="49">
        <f t="shared" ref="W743:W747" si="782">O743</f>
        <v>73.959999999999994</v>
      </c>
      <c r="X743" s="49">
        <f t="shared" ref="X743:X747" si="783">Q743</f>
        <v>-4.74</v>
      </c>
    </row>
    <row r="744" spans="1:24" x14ac:dyDescent="0.4">
      <c r="A744" s="1" t="s">
        <v>138</v>
      </c>
      <c r="B744" s="1" t="s">
        <v>83</v>
      </c>
      <c r="C744" s="1" t="s">
        <v>82</v>
      </c>
      <c r="D744" s="1" t="s">
        <v>423</v>
      </c>
      <c r="E744" s="1" t="s">
        <v>425</v>
      </c>
      <c r="F744" s="1" t="s">
        <v>93</v>
      </c>
      <c r="G744" s="1" t="s">
        <v>24</v>
      </c>
      <c r="H744" s="1">
        <v>1000</v>
      </c>
      <c r="J744" s="51">
        <v>45342</v>
      </c>
      <c r="L744" s="51">
        <v>45329</v>
      </c>
      <c r="M744" s="1" t="s">
        <v>139</v>
      </c>
      <c r="N744" s="1">
        <v>-1</v>
      </c>
      <c r="O744" s="1">
        <v>73.959999999999994</v>
      </c>
      <c r="P744" s="1">
        <v>-73960</v>
      </c>
      <c r="Q744" s="1">
        <v>-2.37</v>
      </c>
      <c r="R744" s="1" t="s">
        <v>83</v>
      </c>
      <c r="T744" s="50">
        <f>IF(ISNUMBER(VLOOKUP(U744,Blotter!B:C,2,0)),VLOOKUP(U744,Blotter!B:C,2,0),"")</f>
        <v>41</v>
      </c>
      <c r="U744" s="49" t="str">
        <f t="shared" si="780"/>
        <v>CLH4</v>
      </c>
      <c r="V744" s="49">
        <f t="shared" si="781"/>
        <v>-1</v>
      </c>
      <c r="W744" s="49">
        <f t="shared" si="782"/>
        <v>73.959999999999994</v>
      </c>
      <c r="X744" s="49">
        <f t="shared" si="783"/>
        <v>-2.37</v>
      </c>
    </row>
    <row r="745" spans="1:24" x14ac:dyDescent="0.4">
      <c r="A745" s="1" t="s">
        <v>138</v>
      </c>
      <c r="B745" s="1" t="s">
        <v>83</v>
      </c>
      <c r="C745" s="1" t="s">
        <v>82</v>
      </c>
      <c r="D745" s="1" t="s">
        <v>423</v>
      </c>
      <c r="E745" s="1" t="s">
        <v>425</v>
      </c>
      <c r="F745" s="1" t="s">
        <v>93</v>
      </c>
      <c r="G745" s="1" t="s">
        <v>24</v>
      </c>
      <c r="H745" s="1">
        <v>1000</v>
      </c>
      <c r="J745" s="51">
        <v>45342</v>
      </c>
      <c r="L745" s="51">
        <v>45329</v>
      </c>
      <c r="M745" s="1" t="s">
        <v>139</v>
      </c>
      <c r="N745" s="1">
        <v>-2</v>
      </c>
      <c r="O745" s="1">
        <v>74.05</v>
      </c>
      <c r="P745" s="1">
        <v>-148100</v>
      </c>
      <c r="Q745" s="1">
        <v>-4.74</v>
      </c>
      <c r="R745" s="1" t="s">
        <v>83</v>
      </c>
      <c r="T745" s="50">
        <f>IF(ISNUMBER(VLOOKUP(U745,Blotter!B:C,2,0)),VLOOKUP(U745,Blotter!B:C,2,0),"")</f>
        <v>41</v>
      </c>
      <c r="U745" s="49" t="str">
        <f t="shared" si="780"/>
        <v>CLH4</v>
      </c>
      <c r="V745" s="49">
        <f t="shared" si="781"/>
        <v>-2</v>
      </c>
      <c r="W745" s="49">
        <f t="shared" si="782"/>
        <v>74.05</v>
      </c>
      <c r="X745" s="49">
        <f t="shared" si="783"/>
        <v>-4.74</v>
      </c>
    </row>
    <row r="746" spans="1:24" x14ac:dyDescent="0.4">
      <c r="A746" s="1" t="s">
        <v>138</v>
      </c>
      <c r="B746" s="1" t="s">
        <v>83</v>
      </c>
      <c r="C746" s="1" t="s">
        <v>82</v>
      </c>
      <c r="D746" s="1" t="s">
        <v>384</v>
      </c>
      <c r="E746" s="1" t="s">
        <v>387</v>
      </c>
      <c r="F746" s="1" t="s">
        <v>126</v>
      </c>
      <c r="G746" s="1" t="s">
        <v>25</v>
      </c>
      <c r="H746" s="1">
        <v>25000</v>
      </c>
      <c r="J746" s="51">
        <v>45377</v>
      </c>
      <c r="L746" s="51">
        <v>45329</v>
      </c>
      <c r="M746" s="1" t="s">
        <v>135</v>
      </c>
      <c r="N746" s="1">
        <v>2</v>
      </c>
      <c r="O746" s="1">
        <v>3.74</v>
      </c>
      <c r="P746" s="1">
        <v>187000</v>
      </c>
      <c r="Q746" s="1">
        <v>-4.9400000000000004</v>
      </c>
      <c r="R746" s="1" t="s">
        <v>83</v>
      </c>
      <c r="T746" s="50">
        <f>IF(ISNUMBER(VLOOKUP(U746,Blotter!B:C,2,0)),VLOOKUP(U746,Blotter!B:C,2,0),"")</f>
        <v>37</v>
      </c>
      <c r="U746" s="49" t="str">
        <f t="shared" si="780"/>
        <v>HGH4</v>
      </c>
      <c r="V746" s="49">
        <f t="shared" si="781"/>
        <v>2</v>
      </c>
      <c r="W746" s="49">
        <f t="shared" si="782"/>
        <v>3.74</v>
      </c>
      <c r="X746" s="49">
        <f t="shared" si="783"/>
        <v>-4.9400000000000004</v>
      </c>
    </row>
    <row r="747" spans="1:24" x14ac:dyDescent="0.4">
      <c r="A747" s="1" t="s">
        <v>138</v>
      </c>
      <c r="B747" s="1" t="s">
        <v>83</v>
      </c>
      <c r="C747" s="1" t="s">
        <v>82</v>
      </c>
      <c r="D747" s="59" t="s">
        <v>419</v>
      </c>
      <c r="E747" s="1" t="s">
        <v>427</v>
      </c>
      <c r="F747" s="1" t="s">
        <v>127</v>
      </c>
      <c r="G747" s="1" t="s">
        <v>29</v>
      </c>
      <c r="H747" s="1">
        <v>5000</v>
      </c>
      <c r="J747" s="51">
        <v>45365</v>
      </c>
      <c r="L747" s="51">
        <v>45329</v>
      </c>
      <c r="M747" s="1" t="s">
        <v>139</v>
      </c>
      <c r="N747" s="1">
        <v>-6</v>
      </c>
      <c r="O747" s="59">
        <v>603</v>
      </c>
      <c r="P747" s="1">
        <v>-180900</v>
      </c>
      <c r="Q747" s="1">
        <v>-17.82</v>
      </c>
      <c r="R747" s="1" t="s">
        <v>83</v>
      </c>
      <c r="T747" s="50">
        <f>IF(ISNUMBER(VLOOKUP(U747,Blotter!B:C,2,0)),VLOOKUP(U747,Blotter!B:C,2,0),"")</f>
        <v>43</v>
      </c>
      <c r="U747" s="49" t="str">
        <f t="shared" si="780"/>
        <v>ZWH4</v>
      </c>
      <c r="V747" s="49">
        <f t="shared" si="781"/>
        <v>-6</v>
      </c>
      <c r="W747" s="49">
        <f t="shared" si="782"/>
        <v>603</v>
      </c>
      <c r="X747" s="49">
        <f t="shared" si="783"/>
        <v>-17.82</v>
      </c>
    </row>
    <row r="748" spans="1:24" x14ac:dyDescent="0.4">
      <c r="A748" s="1" t="s">
        <v>138</v>
      </c>
      <c r="B748" s="1" t="s">
        <v>83</v>
      </c>
      <c r="C748" s="1" t="s">
        <v>82</v>
      </c>
      <c r="D748" s="59" t="s">
        <v>419</v>
      </c>
      <c r="E748" s="1" t="s">
        <v>427</v>
      </c>
      <c r="F748" s="1" t="s">
        <v>127</v>
      </c>
      <c r="G748" s="1" t="s">
        <v>29</v>
      </c>
      <c r="H748" s="1">
        <v>5000</v>
      </c>
      <c r="J748" s="51">
        <v>45365</v>
      </c>
      <c r="L748" s="51">
        <v>45330</v>
      </c>
      <c r="M748" s="1" t="s">
        <v>135</v>
      </c>
      <c r="N748" s="1">
        <v>1</v>
      </c>
      <c r="O748" s="59">
        <v>592.25</v>
      </c>
      <c r="P748" s="1">
        <v>29612.5</v>
      </c>
      <c r="Q748" s="1">
        <v>-2.97</v>
      </c>
      <c r="R748" s="1" t="s">
        <v>83</v>
      </c>
      <c r="T748" s="50">
        <f>IF(ISNUMBER(VLOOKUP(U748,Blotter!B:C,2,0)),VLOOKUP(U748,Blotter!B:C,2,0),"")</f>
        <v>43</v>
      </c>
      <c r="U748" s="49" t="str">
        <f t="shared" ref="U748" si="784">D748</f>
        <v>ZWH4</v>
      </c>
      <c r="V748" s="49">
        <f t="shared" ref="V748" si="785">N748</f>
        <v>1</v>
      </c>
      <c r="W748" s="49">
        <f t="shared" ref="W748" si="786">O748</f>
        <v>592.25</v>
      </c>
      <c r="X748" s="49">
        <f t="shared" ref="X748" si="787">Q748</f>
        <v>-2.97</v>
      </c>
    </row>
    <row r="749" spans="1:24" x14ac:dyDescent="0.4">
      <c r="A749" s="1" t="s">
        <v>138</v>
      </c>
      <c r="B749" s="1" t="s">
        <v>83</v>
      </c>
      <c r="C749" s="1" t="s">
        <v>82</v>
      </c>
      <c r="D749" s="59" t="s">
        <v>419</v>
      </c>
      <c r="E749" s="1" t="s">
        <v>427</v>
      </c>
      <c r="F749" s="1" t="s">
        <v>127</v>
      </c>
      <c r="G749" s="1" t="s">
        <v>29</v>
      </c>
      <c r="H749" s="1">
        <v>5000</v>
      </c>
      <c r="J749" s="51">
        <v>45365</v>
      </c>
      <c r="L749" s="51">
        <v>45330</v>
      </c>
      <c r="M749" s="1" t="s">
        <v>135</v>
      </c>
      <c r="N749" s="1">
        <v>2</v>
      </c>
      <c r="O749" s="59">
        <v>592.25</v>
      </c>
      <c r="P749" s="1">
        <v>59225</v>
      </c>
      <c r="Q749" s="1">
        <v>-5.94</v>
      </c>
      <c r="R749" s="1" t="s">
        <v>83</v>
      </c>
      <c r="T749" s="50">
        <f>IF(ISNUMBER(VLOOKUP(U749,Blotter!B:C,2,0)),VLOOKUP(U749,Blotter!B:C,2,0),"")</f>
        <v>43</v>
      </c>
      <c r="U749" s="49" t="str">
        <f t="shared" ref="U749" si="788">D749</f>
        <v>ZWH4</v>
      </c>
      <c r="V749" s="49">
        <f t="shared" ref="V749" si="789">N749</f>
        <v>2</v>
      </c>
      <c r="W749" s="49">
        <f t="shared" ref="W749" si="790">O749</f>
        <v>592.25</v>
      </c>
      <c r="X749" s="49">
        <f t="shared" ref="X749" si="791">Q749</f>
        <v>-5.94</v>
      </c>
    </row>
    <row r="750" spans="1:24" x14ac:dyDescent="0.4">
      <c r="A750" s="1" t="s">
        <v>138</v>
      </c>
      <c r="B750" s="1" t="s">
        <v>83</v>
      </c>
      <c r="C750" s="1" t="s">
        <v>82</v>
      </c>
      <c r="D750" s="1" t="s">
        <v>384</v>
      </c>
      <c r="E750" s="1" t="s">
        <v>387</v>
      </c>
      <c r="F750" s="1" t="s">
        <v>126</v>
      </c>
      <c r="G750" s="1" t="s">
        <v>25</v>
      </c>
      <c r="H750" s="1">
        <v>25000</v>
      </c>
      <c r="J750" s="51">
        <v>45377</v>
      </c>
      <c r="L750" s="51">
        <v>45331</v>
      </c>
      <c r="M750" s="1" t="s">
        <v>135</v>
      </c>
      <c r="N750" s="1">
        <v>2</v>
      </c>
      <c r="O750" s="1">
        <v>3.6629999999999998</v>
      </c>
      <c r="P750" s="1">
        <v>183150</v>
      </c>
      <c r="Q750" s="1">
        <v>-4.9400000000000004</v>
      </c>
      <c r="R750" s="1" t="s">
        <v>83</v>
      </c>
      <c r="T750" s="50">
        <f>IF(ISNUMBER(VLOOKUP(U750,Blotter!B:C,2,0)),VLOOKUP(U750,Blotter!B:C,2,0),"")</f>
        <v>37</v>
      </c>
      <c r="U750" s="49" t="str">
        <f t="shared" ref="U750:U752" si="792">D750</f>
        <v>HGH4</v>
      </c>
      <c r="V750" s="49">
        <f t="shared" ref="V750:V752" si="793">N750</f>
        <v>2</v>
      </c>
      <c r="W750" s="49">
        <f t="shared" ref="W750:W752" si="794">O750</f>
        <v>3.6629999999999998</v>
      </c>
      <c r="X750" s="49">
        <f t="shared" ref="X750:X752" si="795">Q750</f>
        <v>-4.9400000000000004</v>
      </c>
    </row>
    <row r="751" spans="1:24" x14ac:dyDescent="0.4">
      <c r="A751" s="1" t="s">
        <v>138</v>
      </c>
      <c r="B751" s="1" t="s">
        <v>83</v>
      </c>
      <c r="C751" s="1" t="s">
        <v>82</v>
      </c>
      <c r="D751" s="59" t="s">
        <v>419</v>
      </c>
      <c r="E751" s="1" t="s">
        <v>427</v>
      </c>
      <c r="F751" s="1" t="s">
        <v>127</v>
      </c>
      <c r="G751" s="1" t="s">
        <v>29</v>
      </c>
      <c r="H751" s="1">
        <v>5000</v>
      </c>
      <c r="J751" s="51">
        <v>45365</v>
      </c>
      <c r="L751" s="51">
        <v>45331</v>
      </c>
      <c r="M751" s="1" t="s">
        <v>135</v>
      </c>
      <c r="N751" s="1">
        <v>1</v>
      </c>
      <c r="O751" s="59">
        <v>600</v>
      </c>
      <c r="P751" s="1">
        <v>30000</v>
      </c>
      <c r="Q751" s="1">
        <v>-2.97</v>
      </c>
      <c r="R751" s="1" t="s">
        <v>83</v>
      </c>
      <c r="T751" s="50">
        <f>IF(ISNUMBER(VLOOKUP(U751,Blotter!B:C,2,0)),VLOOKUP(U751,Blotter!B:C,2,0),"")</f>
        <v>43</v>
      </c>
      <c r="U751" s="49" t="str">
        <f t="shared" si="792"/>
        <v>ZWH4</v>
      </c>
      <c r="V751" s="49">
        <f t="shared" si="793"/>
        <v>1</v>
      </c>
      <c r="W751" s="49">
        <f t="shared" si="794"/>
        <v>600</v>
      </c>
      <c r="X751" s="49">
        <f t="shared" si="795"/>
        <v>-2.97</v>
      </c>
    </row>
    <row r="752" spans="1:24" x14ac:dyDescent="0.4">
      <c r="A752" s="1" t="s">
        <v>138</v>
      </c>
      <c r="B752" s="1" t="s">
        <v>83</v>
      </c>
      <c r="C752" s="1" t="s">
        <v>82</v>
      </c>
      <c r="D752" s="59" t="s">
        <v>419</v>
      </c>
      <c r="E752" s="1" t="s">
        <v>427</v>
      </c>
      <c r="F752" s="1" t="s">
        <v>127</v>
      </c>
      <c r="G752" s="1" t="s">
        <v>29</v>
      </c>
      <c r="H752" s="1">
        <v>5000</v>
      </c>
      <c r="J752" s="51">
        <v>45365</v>
      </c>
      <c r="L752" s="51">
        <v>45331</v>
      </c>
      <c r="M752" s="1" t="s">
        <v>135</v>
      </c>
      <c r="N752" s="1">
        <v>2</v>
      </c>
      <c r="O752" s="59">
        <v>600</v>
      </c>
      <c r="P752" s="1">
        <v>60000</v>
      </c>
      <c r="Q752" s="1">
        <v>-5.94</v>
      </c>
      <c r="R752" s="1" t="s">
        <v>83</v>
      </c>
      <c r="T752" s="50">
        <f>IF(ISNUMBER(VLOOKUP(U752,Blotter!B:C,2,0)),VLOOKUP(U752,Blotter!B:C,2,0),"")</f>
        <v>43</v>
      </c>
      <c r="U752" s="49" t="str">
        <f t="shared" si="792"/>
        <v>ZWH4</v>
      </c>
      <c r="V752" s="49">
        <f t="shared" si="793"/>
        <v>2</v>
      </c>
      <c r="W752" s="49">
        <f t="shared" si="794"/>
        <v>600</v>
      </c>
      <c r="X752" s="49">
        <f t="shared" si="795"/>
        <v>-5.94</v>
      </c>
    </row>
    <row r="753" spans="1:24" x14ac:dyDescent="0.4">
      <c r="A753" s="1" t="s">
        <v>138</v>
      </c>
      <c r="B753" s="1" t="s">
        <v>83</v>
      </c>
      <c r="C753" s="1" t="s">
        <v>82</v>
      </c>
      <c r="D753" s="59" t="s">
        <v>419</v>
      </c>
      <c r="E753" s="1" t="s">
        <v>427</v>
      </c>
      <c r="F753" s="1" t="s">
        <v>127</v>
      </c>
      <c r="G753" s="1" t="s">
        <v>29</v>
      </c>
      <c r="H753" s="1">
        <v>5000</v>
      </c>
      <c r="J753" s="51">
        <v>45365</v>
      </c>
      <c r="L753" s="51">
        <v>45334</v>
      </c>
      <c r="M753" s="1" t="s">
        <v>135</v>
      </c>
      <c r="N753" s="1">
        <v>1</v>
      </c>
      <c r="O753" s="59">
        <v>591.75</v>
      </c>
      <c r="P753" s="1">
        <v>29587.5</v>
      </c>
      <c r="Q753" s="1">
        <v>-2.97</v>
      </c>
      <c r="R753" s="1" t="s">
        <v>83</v>
      </c>
      <c r="T753" s="50">
        <f>IF(ISNUMBER(VLOOKUP(U753,Blotter!B:C,2,0)),VLOOKUP(U753,Blotter!B:C,2,0),"")</f>
        <v>43</v>
      </c>
      <c r="U753" s="49" t="str">
        <f t="shared" ref="U753:U754" si="796">D753</f>
        <v>ZWH4</v>
      </c>
      <c r="V753" s="49">
        <f t="shared" ref="V753:V754" si="797">N753</f>
        <v>1</v>
      </c>
      <c r="W753" s="49">
        <f t="shared" ref="W753:W754" si="798">O753</f>
        <v>591.75</v>
      </c>
      <c r="X753" s="49">
        <f t="shared" ref="X753:X754" si="799">Q753</f>
        <v>-2.97</v>
      </c>
    </row>
    <row r="754" spans="1:24" x14ac:dyDescent="0.4">
      <c r="A754" s="1" t="s">
        <v>138</v>
      </c>
      <c r="B754" s="1" t="s">
        <v>83</v>
      </c>
      <c r="C754" s="1" t="s">
        <v>82</v>
      </c>
      <c r="D754" s="59" t="s">
        <v>419</v>
      </c>
      <c r="E754" s="1" t="s">
        <v>427</v>
      </c>
      <c r="F754" s="1" t="s">
        <v>127</v>
      </c>
      <c r="G754" s="1" t="s">
        <v>29</v>
      </c>
      <c r="H754" s="1">
        <v>5000</v>
      </c>
      <c r="J754" s="51">
        <v>45365</v>
      </c>
      <c r="L754" s="51">
        <v>45334</v>
      </c>
      <c r="M754" s="1" t="s">
        <v>135</v>
      </c>
      <c r="N754" s="1">
        <v>4</v>
      </c>
      <c r="O754" s="59">
        <v>591.75</v>
      </c>
      <c r="P754" s="1">
        <v>118350</v>
      </c>
      <c r="Q754" s="1">
        <v>-11.88</v>
      </c>
      <c r="R754" s="1" t="s">
        <v>83</v>
      </c>
      <c r="T754" s="50">
        <f>IF(ISNUMBER(VLOOKUP(U754,Blotter!B:C,2,0)),VLOOKUP(U754,Blotter!B:C,2,0),"")</f>
        <v>43</v>
      </c>
      <c r="U754" s="49" t="str">
        <f t="shared" si="796"/>
        <v>ZWH4</v>
      </c>
      <c r="V754" s="49">
        <f t="shared" si="797"/>
        <v>4</v>
      </c>
      <c r="W754" s="49">
        <f t="shared" si="798"/>
        <v>591.75</v>
      </c>
      <c r="X754" s="49">
        <f t="shared" si="799"/>
        <v>-11.88</v>
      </c>
    </row>
    <row r="755" spans="1:24" x14ac:dyDescent="0.4">
      <c r="A755" s="1" t="s">
        <v>138</v>
      </c>
      <c r="B755" s="1" t="s">
        <v>83</v>
      </c>
      <c r="C755" s="1" t="s">
        <v>82</v>
      </c>
      <c r="D755" s="59" t="s">
        <v>419</v>
      </c>
      <c r="E755" s="1" t="s">
        <v>427</v>
      </c>
      <c r="F755" s="1" t="s">
        <v>127</v>
      </c>
      <c r="G755" s="1" t="s">
        <v>29</v>
      </c>
      <c r="H755" s="1">
        <v>5000</v>
      </c>
      <c r="J755" s="51">
        <v>45365</v>
      </c>
      <c r="L755" s="51">
        <v>45337</v>
      </c>
      <c r="M755" s="1" t="s">
        <v>135</v>
      </c>
      <c r="N755" s="1">
        <v>4</v>
      </c>
      <c r="O755" s="59">
        <v>575</v>
      </c>
      <c r="P755" s="1">
        <v>115000</v>
      </c>
      <c r="Q755" s="1">
        <v>-11.88</v>
      </c>
      <c r="R755" s="1" t="s">
        <v>83</v>
      </c>
      <c r="T755" s="50">
        <f>IF(ISNUMBER(VLOOKUP(U755,Blotter!B:C,2,0)),VLOOKUP(U755,Blotter!B:C,2,0),"")</f>
        <v>43</v>
      </c>
      <c r="U755" s="49" t="str">
        <f t="shared" ref="U755" si="800">D755</f>
        <v>ZWH4</v>
      </c>
      <c r="V755" s="49">
        <f t="shared" ref="V755" si="801">N755</f>
        <v>4</v>
      </c>
      <c r="W755" s="49">
        <f t="shared" ref="W755" si="802">O755</f>
        <v>575</v>
      </c>
      <c r="X755" s="49">
        <f t="shared" ref="X755" si="803">Q755</f>
        <v>-11.88</v>
      </c>
    </row>
    <row r="756" spans="1:24" x14ac:dyDescent="0.4">
      <c r="A756" s="1" t="s">
        <v>138</v>
      </c>
      <c r="B756" s="1" t="s">
        <v>83</v>
      </c>
      <c r="C756" s="1" t="s">
        <v>86</v>
      </c>
      <c r="D756" s="1" t="s">
        <v>336</v>
      </c>
      <c r="E756" s="1" t="s">
        <v>343</v>
      </c>
      <c r="F756" s="1" t="s">
        <v>124</v>
      </c>
      <c r="G756" s="1" t="s">
        <v>342</v>
      </c>
      <c r="H756" s="1">
        <v>40000</v>
      </c>
      <c r="I756" s="1">
        <v>0.86</v>
      </c>
      <c r="J756" s="51">
        <v>45338</v>
      </c>
      <c r="K756" s="1" t="s">
        <v>57</v>
      </c>
      <c r="L756" s="51">
        <v>45338</v>
      </c>
      <c r="M756" s="1" t="s">
        <v>135</v>
      </c>
      <c r="N756" s="1">
        <v>40</v>
      </c>
      <c r="O756" s="1">
        <v>0</v>
      </c>
      <c r="P756" s="1">
        <v>0</v>
      </c>
      <c r="Q756" s="1">
        <v>0</v>
      </c>
      <c r="R756" s="1" t="s">
        <v>83</v>
      </c>
      <c r="T756" s="50">
        <f>IF(ISNUMBER(VLOOKUP(U756,Blotter!B:C,2,0)),VLOOKUP(U756,Blotter!B:C,2,0),"")</f>
        <v>32</v>
      </c>
      <c r="U756" s="49" t="str">
        <f t="shared" ref="U756" si="804">D756</f>
        <v>HEG4 C0860</v>
      </c>
      <c r="V756" s="49">
        <f t="shared" ref="V756" si="805">N756</f>
        <v>40</v>
      </c>
      <c r="W756" s="49">
        <f t="shared" ref="W756" si="806">O756</f>
        <v>0</v>
      </c>
      <c r="X756" s="49">
        <f t="shared" ref="X756" si="807">Q756</f>
        <v>0</v>
      </c>
    </row>
    <row r="757" spans="1:24" x14ac:dyDescent="0.4">
      <c r="A757" s="1" t="s">
        <v>138</v>
      </c>
      <c r="B757" s="1" t="s">
        <v>83</v>
      </c>
      <c r="C757" s="1" t="s">
        <v>82</v>
      </c>
      <c r="D757" s="1" t="s">
        <v>428</v>
      </c>
      <c r="E757" s="1" t="s">
        <v>430</v>
      </c>
      <c r="F757" s="1" t="s">
        <v>100</v>
      </c>
      <c r="G757" s="1" t="s">
        <v>101</v>
      </c>
      <c r="H757" s="1">
        <v>50000</v>
      </c>
      <c r="J757" s="51">
        <v>45427</v>
      </c>
      <c r="L757" s="51">
        <v>45342</v>
      </c>
      <c r="M757" s="1" t="s">
        <v>135</v>
      </c>
      <c r="N757" s="1">
        <v>2</v>
      </c>
      <c r="O757" s="59">
        <v>92</v>
      </c>
      <c r="P757" s="1">
        <v>92000</v>
      </c>
      <c r="Q757" s="1">
        <v>-5.94</v>
      </c>
      <c r="R757" s="1" t="s">
        <v>83</v>
      </c>
      <c r="T757" s="50">
        <f>IF(ISNUMBER(VLOOKUP(U757,Blotter!B:C,2,0)),VLOOKUP(U757,Blotter!B:C,2,0),"")</f>
        <v>46</v>
      </c>
      <c r="U757" s="49" t="str">
        <f t="shared" ref="U757" si="808">D757</f>
        <v>CTK4</v>
      </c>
      <c r="V757" s="49">
        <f t="shared" ref="V757" si="809">N757</f>
        <v>2</v>
      </c>
      <c r="W757" s="49">
        <f t="shared" ref="W757" si="810">O757</f>
        <v>92</v>
      </c>
      <c r="X757" s="49">
        <f t="shared" ref="X757" si="811">Q757</f>
        <v>-5.94</v>
      </c>
    </row>
    <row r="758" spans="1:24" x14ac:dyDescent="0.4">
      <c r="A758" s="1" t="s">
        <v>138</v>
      </c>
      <c r="B758" s="1" t="s">
        <v>83</v>
      </c>
      <c r="C758" s="1" t="s">
        <v>82</v>
      </c>
      <c r="D758" s="1" t="s">
        <v>428</v>
      </c>
      <c r="E758" s="1" t="s">
        <v>430</v>
      </c>
      <c r="F758" s="1" t="s">
        <v>100</v>
      </c>
      <c r="G758" s="1" t="s">
        <v>101</v>
      </c>
      <c r="H758" s="1">
        <v>50000</v>
      </c>
      <c r="J758" s="51">
        <v>45427</v>
      </c>
      <c r="L758" s="51">
        <v>45342</v>
      </c>
      <c r="M758" s="1" t="s">
        <v>135</v>
      </c>
      <c r="N758" s="1">
        <v>5</v>
      </c>
      <c r="O758" s="59">
        <v>92</v>
      </c>
      <c r="P758" s="1">
        <v>230000</v>
      </c>
      <c r="Q758" s="1">
        <v>-14.85</v>
      </c>
      <c r="R758" s="1" t="s">
        <v>83</v>
      </c>
      <c r="T758" s="50">
        <f>IF(ISNUMBER(VLOOKUP(U758,Blotter!B:C,2,0)),VLOOKUP(U758,Blotter!B:C,2,0),"")</f>
        <v>46</v>
      </c>
      <c r="U758" s="49" t="str">
        <f t="shared" ref="U758:U762" si="812">D758</f>
        <v>CTK4</v>
      </c>
      <c r="V758" s="49">
        <f t="shared" ref="V758:V762" si="813">N758</f>
        <v>5</v>
      </c>
      <c r="W758" s="49">
        <f t="shared" ref="W758:W762" si="814">O758</f>
        <v>92</v>
      </c>
      <c r="X758" s="49">
        <f t="shared" ref="X758:X762" si="815">Q758</f>
        <v>-14.85</v>
      </c>
    </row>
    <row r="759" spans="1:24" x14ac:dyDescent="0.4">
      <c r="A759" s="1" t="s">
        <v>138</v>
      </c>
      <c r="B759" s="1" t="s">
        <v>83</v>
      </c>
      <c r="C759" s="1" t="s">
        <v>82</v>
      </c>
      <c r="D759" s="1" t="s">
        <v>428</v>
      </c>
      <c r="E759" s="1" t="s">
        <v>430</v>
      </c>
      <c r="F759" s="1" t="s">
        <v>100</v>
      </c>
      <c r="G759" s="1" t="s">
        <v>101</v>
      </c>
      <c r="H759" s="1">
        <v>50000</v>
      </c>
      <c r="J759" s="51">
        <v>45427</v>
      </c>
      <c r="L759" s="51">
        <v>45342</v>
      </c>
      <c r="M759" s="1" t="s">
        <v>135</v>
      </c>
      <c r="N759" s="1">
        <v>3</v>
      </c>
      <c r="O759" s="59">
        <v>92</v>
      </c>
      <c r="P759" s="1">
        <v>138000</v>
      </c>
      <c r="Q759" s="1">
        <v>-8.91</v>
      </c>
      <c r="R759" s="1" t="s">
        <v>83</v>
      </c>
      <c r="T759" s="50">
        <f>IF(ISNUMBER(VLOOKUP(U759,Blotter!B:C,2,0)),VLOOKUP(U759,Blotter!B:C,2,0),"")</f>
        <v>46</v>
      </c>
      <c r="U759" s="49" t="str">
        <f t="shared" si="812"/>
        <v>CTK4</v>
      </c>
      <c r="V759" s="49">
        <f t="shared" si="813"/>
        <v>3</v>
      </c>
      <c r="W759" s="49">
        <f t="shared" si="814"/>
        <v>92</v>
      </c>
      <c r="X759" s="49">
        <f t="shared" si="815"/>
        <v>-8.91</v>
      </c>
    </row>
    <row r="760" spans="1:24" x14ac:dyDescent="0.4">
      <c r="A760" s="1" t="s">
        <v>138</v>
      </c>
      <c r="B760" s="1" t="s">
        <v>83</v>
      </c>
      <c r="C760" s="1" t="s">
        <v>82</v>
      </c>
      <c r="D760" s="59" t="s">
        <v>419</v>
      </c>
      <c r="E760" s="1" t="s">
        <v>427</v>
      </c>
      <c r="F760" s="1" t="s">
        <v>127</v>
      </c>
      <c r="G760" s="1" t="s">
        <v>29</v>
      </c>
      <c r="H760" s="1">
        <v>5000</v>
      </c>
      <c r="J760" s="51">
        <v>45365</v>
      </c>
      <c r="L760" s="51">
        <v>45342</v>
      </c>
      <c r="M760" s="1" t="s">
        <v>139</v>
      </c>
      <c r="N760" s="1">
        <v>-1</v>
      </c>
      <c r="O760" s="59">
        <v>585</v>
      </c>
      <c r="P760" s="1">
        <v>-29250</v>
      </c>
      <c r="Q760" s="1">
        <v>-2.97</v>
      </c>
      <c r="R760" s="1" t="s">
        <v>83</v>
      </c>
      <c r="T760" s="50">
        <f>IF(ISNUMBER(VLOOKUP(U760,Blotter!B:C,2,0)),VLOOKUP(U760,Blotter!B:C,2,0),"")</f>
        <v>43</v>
      </c>
      <c r="U760" s="49" t="str">
        <f t="shared" si="812"/>
        <v>ZWH4</v>
      </c>
      <c r="V760" s="49">
        <f t="shared" si="813"/>
        <v>-1</v>
      </c>
      <c r="W760" s="49">
        <f t="shared" si="814"/>
        <v>585</v>
      </c>
      <c r="X760" s="49">
        <f t="shared" si="815"/>
        <v>-2.97</v>
      </c>
    </row>
    <row r="761" spans="1:24" x14ac:dyDescent="0.4">
      <c r="A761" s="1" t="s">
        <v>138</v>
      </c>
      <c r="B761" s="1" t="s">
        <v>83</v>
      </c>
      <c r="C761" s="1" t="s">
        <v>82</v>
      </c>
      <c r="D761" s="59" t="s">
        <v>419</v>
      </c>
      <c r="E761" s="1" t="s">
        <v>427</v>
      </c>
      <c r="F761" s="1" t="s">
        <v>127</v>
      </c>
      <c r="G761" s="1" t="s">
        <v>29</v>
      </c>
      <c r="H761" s="1">
        <v>5000</v>
      </c>
      <c r="J761" s="51">
        <v>45365</v>
      </c>
      <c r="L761" s="51">
        <v>45342</v>
      </c>
      <c r="M761" s="1" t="s">
        <v>139</v>
      </c>
      <c r="N761" s="1">
        <v>-1</v>
      </c>
      <c r="O761" s="59">
        <v>585</v>
      </c>
      <c r="P761" s="1">
        <v>-29250</v>
      </c>
      <c r="Q761" s="1">
        <v>-2.97</v>
      </c>
      <c r="R761" s="1" t="s">
        <v>83</v>
      </c>
      <c r="T761" s="50">
        <f>IF(ISNUMBER(VLOOKUP(U761,Blotter!B:C,2,0)),VLOOKUP(U761,Blotter!B:C,2,0),"")</f>
        <v>43</v>
      </c>
      <c r="U761" s="49" t="str">
        <f t="shared" si="812"/>
        <v>ZWH4</v>
      </c>
      <c r="V761" s="49">
        <f t="shared" si="813"/>
        <v>-1</v>
      </c>
      <c r="W761" s="49">
        <f t="shared" si="814"/>
        <v>585</v>
      </c>
      <c r="X761" s="49">
        <f t="shared" si="815"/>
        <v>-2.97</v>
      </c>
    </row>
    <row r="762" spans="1:24" x14ac:dyDescent="0.4">
      <c r="A762" s="1" t="s">
        <v>138</v>
      </c>
      <c r="B762" s="1" t="s">
        <v>83</v>
      </c>
      <c r="C762" s="1" t="s">
        <v>82</v>
      </c>
      <c r="D762" s="59" t="s">
        <v>419</v>
      </c>
      <c r="E762" s="1" t="s">
        <v>427</v>
      </c>
      <c r="F762" s="1" t="s">
        <v>127</v>
      </c>
      <c r="G762" s="1" t="s">
        <v>29</v>
      </c>
      <c r="H762" s="1">
        <v>5000</v>
      </c>
      <c r="J762" s="51">
        <v>45365</v>
      </c>
      <c r="L762" s="51">
        <v>45342</v>
      </c>
      <c r="M762" s="1" t="s">
        <v>139</v>
      </c>
      <c r="N762" s="1">
        <v>-4</v>
      </c>
      <c r="O762" s="59">
        <v>585</v>
      </c>
      <c r="P762" s="1">
        <v>-117000</v>
      </c>
      <c r="Q762" s="1">
        <v>-11.88</v>
      </c>
      <c r="R762" s="1" t="s">
        <v>83</v>
      </c>
      <c r="T762" s="50">
        <f>IF(ISNUMBER(VLOOKUP(U762,Blotter!B:C,2,0)),VLOOKUP(U762,Blotter!B:C,2,0),"")</f>
        <v>43</v>
      </c>
      <c r="U762" s="49" t="str">
        <f t="shared" si="812"/>
        <v>ZWH4</v>
      </c>
      <c r="V762" s="49">
        <f t="shared" si="813"/>
        <v>-4</v>
      </c>
      <c r="W762" s="49">
        <f t="shared" si="814"/>
        <v>585</v>
      </c>
      <c r="X762" s="49">
        <f t="shared" si="815"/>
        <v>-11.88</v>
      </c>
    </row>
    <row r="763" spans="1:24" x14ac:dyDescent="0.4">
      <c r="A763" s="1" t="s">
        <v>138</v>
      </c>
      <c r="B763" s="1" t="s">
        <v>83</v>
      </c>
      <c r="C763" s="1" t="s">
        <v>82</v>
      </c>
      <c r="D763" s="1" t="s">
        <v>428</v>
      </c>
      <c r="E763" s="1" t="s">
        <v>430</v>
      </c>
      <c r="F763" s="1" t="s">
        <v>100</v>
      </c>
      <c r="G763" s="1" t="s">
        <v>101</v>
      </c>
      <c r="H763" s="1">
        <v>50000</v>
      </c>
      <c r="J763" s="51">
        <v>45427</v>
      </c>
      <c r="L763" s="51">
        <v>45343</v>
      </c>
      <c r="M763" s="1" t="s">
        <v>135</v>
      </c>
      <c r="N763" s="1">
        <v>1</v>
      </c>
      <c r="O763" s="59">
        <v>91.5</v>
      </c>
      <c r="P763" s="1">
        <v>45750</v>
      </c>
      <c r="Q763" s="1">
        <v>-2.97</v>
      </c>
      <c r="R763" s="1" t="s">
        <v>83</v>
      </c>
      <c r="T763" s="50">
        <f>IF(ISNUMBER(VLOOKUP(U763,Blotter!B:C,2,0)),VLOOKUP(U763,Blotter!B:C,2,0),"")</f>
        <v>46</v>
      </c>
      <c r="U763" s="49" t="str">
        <f t="shared" ref="U763" si="816">D763</f>
        <v>CTK4</v>
      </c>
      <c r="V763" s="49">
        <f t="shared" ref="V763" si="817">N763</f>
        <v>1</v>
      </c>
      <c r="W763" s="49">
        <f t="shared" ref="W763" si="818">O763</f>
        <v>91.5</v>
      </c>
      <c r="X763" s="49">
        <f t="shared" ref="X763" si="819">Q763</f>
        <v>-2.97</v>
      </c>
    </row>
    <row r="764" spans="1:24" x14ac:dyDescent="0.4">
      <c r="A764" s="1" t="s">
        <v>138</v>
      </c>
      <c r="B764" s="1" t="s">
        <v>83</v>
      </c>
      <c r="C764" s="1" t="s">
        <v>82</v>
      </c>
      <c r="D764" s="1" t="s">
        <v>428</v>
      </c>
      <c r="E764" s="1" t="s">
        <v>430</v>
      </c>
      <c r="F764" s="1" t="s">
        <v>100</v>
      </c>
      <c r="G764" s="1" t="s">
        <v>101</v>
      </c>
      <c r="H764" s="1">
        <v>50000</v>
      </c>
      <c r="J764" s="51">
        <v>45427</v>
      </c>
      <c r="L764" s="51">
        <v>45343</v>
      </c>
      <c r="M764" s="1" t="s">
        <v>135</v>
      </c>
      <c r="N764" s="1">
        <v>1</v>
      </c>
      <c r="O764" s="59">
        <v>91.5</v>
      </c>
      <c r="P764" s="1">
        <v>45750</v>
      </c>
      <c r="Q764" s="1">
        <v>-2.97</v>
      </c>
      <c r="R764" s="1" t="s">
        <v>83</v>
      </c>
      <c r="T764" s="50">
        <f>IF(ISNUMBER(VLOOKUP(U764,Blotter!B:C,2,0)),VLOOKUP(U764,Blotter!B:C,2,0),"")</f>
        <v>46</v>
      </c>
      <c r="U764" s="49" t="str">
        <f t="shared" ref="U764:U768" si="820">D764</f>
        <v>CTK4</v>
      </c>
      <c r="V764" s="49">
        <f t="shared" ref="V764:V768" si="821">N764</f>
        <v>1</v>
      </c>
      <c r="W764" s="49">
        <f t="shared" ref="W764:W768" si="822">O764</f>
        <v>91.5</v>
      </c>
      <c r="X764" s="49">
        <f t="shared" ref="X764:X768" si="823">Q764</f>
        <v>-2.97</v>
      </c>
    </row>
    <row r="765" spans="1:24" x14ac:dyDescent="0.4">
      <c r="A765" s="1" t="s">
        <v>138</v>
      </c>
      <c r="B765" s="1" t="s">
        <v>83</v>
      </c>
      <c r="C765" s="1" t="s">
        <v>82</v>
      </c>
      <c r="D765" s="1" t="s">
        <v>428</v>
      </c>
      <c r="E765" s="1" t="s">
        <v>430</v>
      </c>
      <c r="F765" s="1" t="s">
        <v>100</v>
      </c>
      <c r="G765" s="1" t="s">
        <v>101</v>
      </c>
      <c r="H765" s="1">
        <v>50000</v>
      </c>
      <c r="J765" s="51">
        <v>45427</v>
      </c>
      <c r="L765" s="51">
        <v>45343</v>
      </c>
      <c r="M765" s="1" t="s">
        <v>135</v>
      </c>
      <c r="N765" s="1">
        <v>1</v>
      </c>
      <c r="O765" s="59">
        <v>91.5</v>
      </c>
      <c r="P765" s="1">
        <v>45750</v>
      </c>
      <c r="Q765" s="1">
        <v>-2.97</v>
      </c>
      <c r="R765" s="1" t="s">
        <v>83</v>
      </c>
      <c r="T765" s="50">
        <f>IF(ISNUMBER(VLOOKUP(U765,Blotter!B:C,2,0)),VLOOKUP(U765,Blotter!B:C,2,0),"")</f>
        <v>46</v>
      </c>
      <c r="U765" s="49" t="str">
        <f t="shared" si="820"/>
        <v>CTK4</v>
      </c>
      <c r="V765" s="49">
        <f t="shared" si="821"/>
        <v>1</v>
      </c>
      <c r="W765" s="49">
        <f t="shared" si="822"/>
        <v>91.5</v>
      </c>
      <c r="X765" s="49">
        <f t="shared" si="823"/>
        <v>-2.97</v>
      </c>
    </row>
    <row r="766" spans="1:24" x14ac:dyDescent="0.4">
      <c r="A766" s="1" t="s">
        <v>138</v>
      </c>
      <c r="B766" s="1" t="s">
        <v>83</v>
      </c>
      <c r="C766" s="1" t="s">
        <v>82</v>
      </c>
      <c r="D766" s="1" t="s">
        <v>428</v>
      </c>
      <c r="E766" s="1" t="s">
        <v>430</v>
      </c>
      <c r="F766" s="1" t="s">
        <v>100</v>
      </c>
      <c r="G766" s="1" t="s">
        <v>101</v>
      </c>
      <c r="H766" s="1">
        <v>50000</v>
      </c>
      <c r="J766" s="51">
        <v>45427</v>
      </c>
      <c r="L766" s="51">
        <v>45343</v>
      </c>
      <c r="M766" s="1" t="s">
        <v>135</v>
      </c>
      <c r="N766" s="1">
        <v>2</v>
      </c>
      <c r="O766" s="59">
        <v>91.5</v>
      </c>
      <c r="P766" s="1">
        <v>91500</v>
      </c>
      <c r="Q766" s="1">
        <v>-5.94</v>
      </c>
      <c r="R766" s="1" t="s">
        <v>83</v>
      </c>
      <c r="T766" s="50">
        <f>IF(ISNUMBER(VLOOKUP(U766,Blotter!B:C,2,0)),VLOOKUP(U766,Blotter!B:C,2,0),"")</f>
        <v>46</v>
      </c>
      <c r="U766" s="49" t="str">
        <f t="shared" si="820"/>
        <v>CTK4</v>
      </c>
      <c r="V766" s="49">
        <f t="shared" si="821"/>
        <v>2</v>
      </c>
      <c r="W766" s="49">
        <f t="shared" si="822"/>
        <v>91.5</v>
      </c>
      <c r="X766" s="49">
        <f t="shared" si="823"/>
        <v>-5.94</v>
      </c>
    </row>
    <row r="767" spans="1:24" x14ac:dyDescent="0.4">
      <c r="A767" s="1" t="s">
        <v>138</v>
      </c>
      <c r="B767" s="1" t="s">
        <v>83</v>
      </c>
      <c r="C767" s="1" t="s">
        <v>82</v>
      </c>
      <c r="D767" s="1" t="s">
        <v>384</v>
      </c>
      <c r="E767" s="1" t="s">
        <v>387</v>
      </c>
      <c r="F767" s="1" t="s">
        <v>126</v>
      </c>
      <c r="G767" s="1" t="s">
        <v>25</v>
      </c>
      <c r="H767" s="1">
        <v>25000</v>
      </c>
      <c r="J767" s="51">
        <v>45377</v>
      </c>
      <c r="L767" s="51">
        <v>45343</v>
      </c>
      <c r="M767" s="1" t="s">
        <v>139</v>
      </c>
      <c r="N767" s="1">
        <v>-5</v>
      </c>
      <c r="O767" s="1">
        <v>3.89</v>
      </c>
      <c r="P767" s="1">
        <v>-486250</v>
      </c>
      <c r="Q767" s="1">
        <v>-12.35</v>
      </c>
      <c r="R767" s="1" t="s">
        <v>83</v>
      </c>
      <c r="T767" s="50">
        <f>IF(ISNUMBER(VLOOKUP(U767,Blotter!B:C,2,0)),VLOOKUP(U767,Blotter!B:C,2,0),"")</f>
        <v>37</v>
      </c>
      <c r="U767" s="49" t="str">
        <f t="shared" si="820"/>
        <v>HGH4</v>
      </c>
      <c r="V767" s="49">
        <f t="shared" si="821"/>
        <v>-5</v>
      </c>
      <c r="W767" s="49">
        <f t="shared" si="822"/>
        <v>3.89</v>
      </c>
      <c r="X767" s="49">
        <f t="shared" si="823"/>
        <v>-12.35</v>
      </c>
    </row>
    <row r="768" spans="1:24" x14ac:dyDescent="0.4">
      <c r="A768" s="1" t="s">
        <v>138</v>
      </c>
      <c r="B768" s="1" t="s">
        <v>83</v>
      </c>
      <c r="C768" s="1" t="s">
        <v>82</v>
      </c>
      <c r="D768" s="1" t="s">
        <v>431</v>
      </c>
      <c r="E768" s="1" t="s">
        <v>432</v>
      </c>
      <c r="F768" s="1" t="s">
        <v>126</v>
      </c>
      <c r="G768" s="1" t="s">
        <v>25</v>
      </c>
      <c r="H768" s="1">
        <v>25000</v>
      </c>
      <c r="J768" s="51">
        <v>45441</v>
      </c>
      <c r="L768" s="51">
        <v>45343</v>
      </c>
      <c r="M768" s="1" t="s">
        <v>135</v>
      </c>
      <c r="N768" s="1">
        <v>5</v>
      </c>
      <c r="O768" s="1">
        <v>3.8845000000000001</v>
      </c>
      <c r="P768" s="1">
        <v>485562.5</v>
      </c>
      <c r="Q768" s="1">
        <v>-12.35</v>
      </c>
      <c r="R768" s="1" t="s">
        <v>83</v>
      </c>
      <c r="T768" s="50">
        <f>IF(ISNUMBER(VLOOKUP(U768,Blotter!B:C,2,0)),VLOOKUP(U768,Blotter!B:C,2,0),"")</f>
        <v>37</v>
      </c>
      <c r="U768" s="49" t="str">
        <f t="shared" si="820"/>
        <v>HGK4</v>
      </c>
      <c r="V768" s="49">
        <f t="shared" si="821"/>
        <v>5</v>
      </c>
      <c r="W768" s="49">
        <f t="shared" si="822"/>
        <v>3.8845000000000001</v>
      </c>
      <c r="X768" s="49">
        <f t="shared" si="823"/>
        <v>-12.35</v>
      </c>
    </row>
    <row r="769" spans="1:24" x14ac:dyDescent="0.4">
      <c r="A769" s="1" t="s">
        <v>138</v>
      </c>
      <c r="B769" s="1" t="s">
        <v>83</v>
      </c>
      <c r="C769" s="1" t="s">
        <v>82</v>
      </c>
      <c r="D769" s="59" t="s">
        <v>419</v>
      </c>
      <c r="E769" s="1" t="s">
        <v>427</v>
      </c>
      <c r="F769" s="1" t="s">
        <v>127</v>
      </c>
      <c r="G769" s="1" t="s">
        <v>29</v>
      </c>
      <c r="H769" s="1">
        <v>5000</v>
      </c>
      <c r="J769" s="51">
        <v>45365</v>
      </c>
      <c r="L769" s="51">
        <v>45344</v>
      </c>
      <c r="M769" s="1" t="s">
        <v>139</v>
      </c>
      <c r="N769" s="1">
        <v>-1</v>
      </c>
      <c r="O769" s="59">
        <v>583</v>
      </c>
      <c r="P769" s="1">
        <v>-29150</v>
      </c>
      <c r="Q769" s="1">
        <v>-2.97</v>
      </c>
      <c r="R769" s="1" t="s">
        <v>83</v>
      </c>
      <c r="T769" s="50">
        <f>IF(ISNUMBER(VLOOKUP(U769,Blotter!B:C,2,0)),VLOOKUP(U769,Blotter!B:C,2,0),"")</f>
        <v>43</v>
      </c>
      <c r="U769" s="49" t="str">
        <f t="shared" ref="U769:U770" si="824">D769</f>
        <v>ZWH4</v>
      </c>
      <c r="V769" s="49">
        <f t="shared" ref="V769:V770" si="825">N769</f>
        <v>-1</v>
      </c>
      <c r="W769" s="49">
        <f t="shared" ref="W769:W770" si="826">O769</f>
        <v>583</v>
      </c>
      <c r="X769" s="49">
        <f t="shared" ref="X769:X770" si="827">Q769</f>
        <v>-2.97</v>
      </c>
    </row>
    <row r="770" spans="1:24" x14ac:dyDescent="0.4">
      <c r="A770" s="1" t="s">
        <v>138</v>
      </c>
      <c r="B770" s="1" t="s">
        <v>83</v>
      </c>
      <c r="C770" s="1" t="s">
        <v>82</v>
      </c>
      <c r="D770" s="59" t="s">
        <v>419</v>
      </c>
      <c r="E770" s="1" t="s">
        <v>427</v>
      </c>
      <c r="F770" s="1" t="s">
        <v>127</v>
      </c>
      <c r="G770" s="1" t="s">
        <v>29</v>
      </c>
      <c r="H770" s="1">
        <v>5000</v>
      </c>
      <c r="J770" s="51">
        <v>45365</v>
      </c>
      <c r="L770" s="51">
        <v>45344</v>
      </c>
      <c r="M770" s="1" t="s">
        <v>139</v>
      </c>
      <c r="N770" s="1">
        <v>-2</v>
      </c>
      <c r="O770" s="59">
        <v>583</v>
      </c>
      <c r="P770" s="1">
        <v>-58300</v>
      </c>
      <c r="Q770" s="1">
        <v>-5.94</v>
      </c>
      <c r="R770" s="1" t="s">
        <v>83</v>
      </c>
      <c r="T770" s="50">
        <f>IF(ISNUMBER(VLOOKUP(U770,Blotter!B:C,2,0)),VLOOKUP(U770,Blotter!B:C,2,0),"")</f>
        <v>43</v>
      </c>
      <c r="U770" s="49" t="str">
        <f t="shared" si="824"/>
        <v>ZWH4</v>
      </c>
      <c r="V770" s="49">
        <f t="shared" si="825"/>
        <v>-2</v>
      </c>
      <c r="W770" s="49">
        <f t="shared" si="826"/>
        <v>583</v>
      </c>
      <c r="X770" s="49">
        <f t="shared" si="827"/>
        <v>-5.94</v>
      </c>
    </row>
    <row r="771" spans="1:24" x14ac:dyDescent="0.4">
      <c r="A771" s="1" t="s">
        <v>138</v>
      </c>
      <c r="B771" s="1" t="s">
        <v>83</v>
      </c>
      <c r="C771" s="1" t="s">
        <v>82</v>
      </c>
      <c r="D771" s="59" t="s">
        <v>419</v>
      </c>
      <c r="E771" s="1" t="s">
        <v>427</v>
      </c>
      <c r="F771" s="1" t="s">
        <v>127</v>
      </c>
      <c r="G771" s="1" t="s">
        <v>29</v>
      </c>
      <c r="H771" s="1">
        <v>5000</v>
      </c>
      <c r="J771" s="51">
        <v>45365</v>
      </c>
      <c r="L771" s="51">
        <v>45344</v>
      </c>
      <c r="M771" s="1" t="s">
        <v>139</v>
      </c>
      <c r="N771" s="1">
        <v>-1</v>
      </c>
      <c r="O771" s="59">
        <v>583</v>
      </c>
      <c r="P771" s="1">
        <v>-29150</v>
      </c>
      <c r="Q771" s="1">
        <v>-2.97</v>
      </c>
      <c r="R771" s="1" t="s">
        <v>83</v>
      </c>
      <c r="T771" s="50">
        <f>IF(ISNUMBER(VLOOKUP(U771,Blotter!B:C,2,0)),VLOOKUP(U771,Blotter!B:C,2,0),"")</f>
        <v>43</v>
      </c>
      <c r="U771" s="49" t="str">
        <f t="shared" ref="U771:U778" si="828">D771</f>
        <v>ZWH4</v>
      </c>
      <c r="V771" s="49">
        <f t="shared" ref="V771:V778" si="829">N771</f>
        <v>-1</v>
      </c>
      <c r="W771" s="49">
        <f t="shared" ref="W771:W778" si="830">O771</f>
        <v>583</v>
      </c>
      <c r="X771" s="49">
        <f t="shared" ref="X771:X778" si="831">Q771</f>
        <v>-2.97</v>
      </c>
    </row>
    <row r="772" spans="1:24" x14ac:dyDescent="0.4">
      <c r="A772" s="1" t="s">
        <v>138</v>
      </c>
      <c r="B772" s="1" t="s">
        <v>83</v>
      </c>
      <c r="C772" s="1" t="s">
        <v>82</v>
      </c>
      <c r="D772" s="59" t="s">
        <v>419</v>
      </c>
      <c r="E772" s="1" t="s">
        <v>427</v>
      </c>
      <c r="F772" s="1" t="s">
        <v>127</v>
      </c>
      <c r="G772" s="1" t="s">
        <v>29</v>
      </c>
      <c r="H772" s="1">
        <v>5000</v>
      </c>
      <c r="J772" s="51">
        <v>45365</v>
      </c>
      <c r="L772" s="51">
        <v>45344</v>
      </c>
      <c r="M772" s="1" t="s">
        <v>139</v>
      </c>
      <c r="N772" s="1">
        <v>-7</v>
      </c>
      <c r="O772" s="59">
        <v>595</v>
      </c>
      <c r="P772" s="1">
        <v>-208250</v>
      </c>
      <c r="Q772" s="1">
        <v>-20.79</v>
      </c>
      <c r="R772" s="1" t="s">
        <v>83</v>
      </c>
      <c r="T772" s="50">
        <f>IF(ISNUMBER(VLOOKUP(U772,Blotter!B:C,2,0)),VLOOKUP(U772,Blotter!B:C,2,0),"")</f>
        <v>43</v>
      </c>
      <c r="U772" s="49" t="str">
        <f t="shared" si="828"/>
        <v>ZWH4</v>
      </c>
      <c r="V772" s="49">
        <f t="shared" si="829"/>
        <v>-7</v>
      </c>
      <c r="W772" s="49">
        <f t="shared" si="830"/>
        <v>595</v>
      </c>
      <c r="X772" s="49">
        <f t="shared" si="831"/>
        <v>-20.79</v>
      </c>
    </row>
    <row r="773" spans="1:24" x14ac:dyDescent="0.4">
      <c r="A773" s="1" t="s">
        <v>138</v>
      </c>
      <c r="B773" s="1" t="s">
        <v>83</v>
      </c>
      <c r="C773" s="1" t="s">
        <v>82</v>
      </c>
      <c r="D773" s="59" t="s">
        <v>419</v>
      </c>
      <c r="E773" s="1" t="s">
        <v>427</v>
      </c>
      <c r="F773" s="1" t="s">
        <v>127</v>
      </c>
      <c r="G773" s="1" t="s">
        <v>29</v>
      </c>
      <c r="H773" s="1">
        <v>5000</v>
      </c>
      <c r="J773" s="51">
        <v>45365</v>
      </c>
      <c r="L773" s="51">
        <v>45344</v>
      </c>
      <c r="M773" s="1" t="s">
        <v>139</v>
      </c>
      <c r="N773" s="1">
        <v>-1</v>
      </c>
      <c r="O773" s="59">
        <v>595</v>
      </c>
      <c r="P773" s="1">
        <v>-29750</v>
      </c>
      <c r="Q773" s="1">
        <v>-2.97</v>
      </c>
      <c r="R773" s="1" t="s">
        <v>83</v>
      </c>
      <c r="T773" s="50">
        <f>IF(ISNUMBER(VLOOKUP(U773,Blotter!B:C,2,0)),VLOOKUP(U773,Blotter!B:C,2,0),"")</f>
        <v>43</v>
      </c>
      <c r="U773" s="49" t="str">
        <f t="shared" si="828"/>
        <v>ZWH4</v>
      </c>
      <c r="V773" s="49">
        <f t="shared" si="829"/>
        <v>-1</v>
      </c>
      <c r="W773" s="49">
        <f t="shared" si="830"/>
        <v>595</v>
      </c>
      <c r="X773" s="49">
        <f t="shared" si="831"/>
        <v>-2.97</v>
      </c>
    </row>
    <row r="774" spans="1:24" x14ac:dyDescent="0.4">
      <c r="A774" s="1" t="s">
        <v>138</v>
      </c>
      <c r="B774" s="1" t="s">
        <v>83</v>
      </c>
      <c r="C774" s="1" t="s">
        <v>82</v>
      </c>
      <c r="D774" s="59" t="s">
        <v>419</v>
      </c>
      <c r="E774" s="1" t="s">
        <v>427</v>
      </c>
      <c r="F774" s="1" t="s">
        <v>127</v>
      </c>
      <c r="G774" s="1" t="s">
        <v>29</v>
      </c>
      <c r="H774" s="1">
        <v>5000</v>
      </c>
      <c r="J774" s="51">
        <v>45365</v>
      </c>
      <c r="L774" s="51">
        <v>45344</v>
      </c>
      <c r="M774" s="1" t="s">
        <v>139</v>
      </c>
      <c r="N774" s="1">
        <v>-1</v>
      </c>
      <c r="O774" s="59">
        <v>595</v>
      </c>
      <c r="P774" s="1">
        <v>-29750</v>
      </c>
      <c r="Q774" s="1">
        <v>-2.97</v>
      </c>
      <c r="R774" s="1" t="s">
        <v>83</v>
      </c>
      <c r="T774" s="50">
        <f>IF(ISNUMBER(VLOOKUP(U774,Blotter!B:C,2,0)),VLOOKUP(U774,Blotter!B:C,2,0),"")</f>
        <v>43</v>
      </c>
      <c r="U774" s="49" t="str">
        <f t="shared" si="828"/>
        <v>ZWH4</v>
      </c>
      <c r="V774" s="49">
        <f t="shared" si="829"/>
        <v>-1</v>
      </c>
      <c r="W774" s="49">
        <f t="shared" si="830"/>
        <v>595</v>
      </c>
      <c r="X774" s="49">
        <f t="shared" si="831"/>
        <v>-2.97</v>
      </c>
    </row>
    <row r="775" spans="1:24" x14ac:dyDescent="0.4">
      <c r="A775" s="1" t="s">
        <v>138</v>
      </c>
      <c r="B775" s="1" t="s">
        <v>83</v>
      </c>
      <c r="C775" s="1" t="s">
        <v>82</v>
      </c>
      <c r="D775" s="59" t="s">
        <v>419</v>
      </c>
      <c r="E775" s="1" t="s">
        <v>427</v>
      </c>
      <c r="F775" s="1" t="s">
        <v>127</v>
      </c>
      <c r="G775" s="1" t="s">
        <v>29</v>
      </c>
      <c r="H775" s="1">
        <v>5000</v>
      </c>
      <c r="J775" s="51">
        <v>45365</v>
      </c>
      <c r="L775" s="51">
        <v>45344</v>
      </c>
      <c r="M775" s="1" t="s">
        <v>139</v>
      </c>
      <c r="N775" s="1">
        <v>-1</v>
      </c>
      <c r="O775" s="59">
        <v>595</v>
      </c>
      <c r="P775" s="1">
        <v>-29750</v>
      </c>
      <c r="Q775" s="1">
        <v>-2.97</v>
      </c>
      <c r="R775" s="1" t="s">
        <v>83</v>
      </c>
      <c r="T775" s="50">
        <f>IF(ISNUMBER(VLOOKUP(U775,Blotter!B:C,2,0)),VLOOKUP(U775,Blotter!B:C,2,0),"")</f>
        <v>43</v>
      </c>
      <c r="U775" s="49" t="str">
        <f t="shared" si="828"/>
        <v>ZWH4</v>
      </c>
      <c r="V775" s="49">
        <f t="shared" si="829"/>
        <v>-1</v>
      </c>
      <c r="W775" s="49">
        <f t="shared" si="830"/>
        <v>595</v>
      </c>
      <c r="X775" s="49">
        <f t="shared" si="831"/>
        <v>-2.97</v>
      </c>
    </row>
    <row r="776" spans="1:24" x14ac:dyDescent="0.4">
      <c r="A776" s="1" t="s">
        <v>138</v>
      </c>
      <c r="B776" s="1" t="s">
        <v>83</v>
      </c>
      <c r="C776" s="1" t="s">
        <v>82</v>
      </c>
      <c r="D776" s="59" t="s">
        <v>433</v>
      </c>
      <c r="E776" s="1" t="s">
        <v>434</v>
      </c>
      <c r="F776" s="1" t="s">
        <v>127</v>
      </c>
      <c r="G776" s="1" t="s">
        <v>29</v>
      </c>
      <c r="H776" s="1">
        <v>5000</v>
      </c>
      <c r="J776" s="51">
        <v>45426</v>
      </c>
      <c r="L776" s="51">
        <v>45344</v>
      </c>
      <c r="M776" s="1" t="s">
        <v>135</v>
      </c>
      <c r="N776" s="1">
        <v>10</v>
      </c>
      <c r="O776" s="59">
        <v>585</v>
      </c>
      <c r="P776" s="1">
        <v>292500</v>
      </c>
      <c r="Q776" s="1">
        <v>-29.7</v>
      </c>
      <c r="R776" s="1" t="s">
        <v>83</v>
      </c>
      <c r="T776" s="50">
        <f>IF(ISNUMBER(VLOOKUP(U776,Blotter!B:C,2,0)),VLOOKUP(U776,Blotter!B:C,2,0),"")</f>
        <v>43</v>
      </c>
      <c r="U776" s="49" t="str">
        <f t="shared" si="828"/>
        <v>ZWK4</v>
      </c>
      <c r="V776" s="49">
        <f t="shared" si="829"/>
        <v>10</v>
      </c>
      <c r="W776" s="49">
        <f t="shared" si="830"/>
        <v>585</v>
      </c>
      <c r="X776" s="49">
        <f t="shared" si="831"/>
        <v>-29.7</v>
      </c>
    </row>
    <row r="777" spans="1:24" x14ac:dyDescent="0.4">
      <c r="A777" s="1" t="s">
        <v>138</v>
      </c>
      <c r="B777" s="1" t="s">
        <v>83</v>
      </c>
      <c r="C777" s="1" t="s">
        <v>82</v>
      </c>
      <c r="D777" s="59" t="s">
        <v>433</v>
      </c>
      <c r="E777" s="1" t="s">
        <v>434</v>
      </c>
      <c r="F777" s="1" t="s">
        <v>127</v>
      </c>
      <c r="G777" s="1" t="s">
        <v>29</v>
      </c>
      <c r="H777" s="1">
        <v>5000</v>
      </c>
      <c r="J777" s="51">
        <v>45426</v>
      </c>
      <c r="L777" s="51">
        <v>45344</v>
      </c>
      <c r="M777" s="1" t="s">
        <v>135</v>
      </c>
      <c r="N777" s="1">
        <v>3</v>
      </c>
      <c r="O777" s="59">
        <v>576</v>
      </c>
      <c r="P777" s="1">
        <v>86400</v>
      </c>
      <c r="Q777" s="1">
        <v>-8.91</v>
      </c>
      <c r="R777" s="1" t="s">
        <v>83</v>
      </c>
      <c r="T777" s="50">
        <f>IF(ISNUMBER(VLOOKUP(U777,Blotter!B:C,2,0)),VLOOKUP(U777,Blotter!B:C,2,0),"")</f>
        <v>43</v>
      </c>
      <c r="U777" s="49" t="str">
        <f t="shared" si="828"/>
        <v>ZWK4</v>
      </c>
      <c r="V777" s="49">
        <f t="shared" si="829"/>
        <v>3</v>
      </c>
      <c r="W777" s="49">
        <f t="shared" si="830"/>
        <v>576</v>
      </c>
      <c r="X777" s="49">
        <f t="shared" si="831"/>
        <v>-8.91</v>
      </c>
    </row>
    <row r="778" spans="1:24" x14ac:dyDescent="0.4">
      <c r="A778" s="1" t="s">
        <v>138</v>
      </c>
      <c r="B778" s="1" t="s">
        <v>83</v>
      </c>
      <c r="C778" s="1" t="s">
        <v>82</v>
      </c>
      <c r="D778" s="59" t="s">
        <v>433</v>
      </c>
      <c r="E778" s="1" t="s">
        <v>434</v>
      </c>
      <c r="F778" s="1" t="s">
        <v>127</v>
      </c>
      <c r="G778" s="1" t="s">
        <v>29</v>
      </c>
      <c r="H778" s="1">
        <v>5000</v>
      </c>
      <c r="J778" s="51">
        <v>45426</v>
      </c>
      <c r="L778" s="51">
        <v>45344</v>
      </c>
      <c r="M778" s="1" t="s">
        <v>135</v>
      </c>
      <c r="N778" s="1">
        <v>2</v>
      </c>
      <c r="O778" s="59">
        <v>576</v>
      </c>
      <c r="P778" s="1">
        <v>57600</v>
      </c>
      <c r="Q778" s="1">
        <v>-5.94</v>
      </c>
      <c r="R778" s="1" t="s">
        <v>83</v>
      </c>
      <c r="T778" s="50">
        <f>IF(ISNUMBER(VLOOKUP(U778,Blotter!B:C,2,0)),VLOOKUP(U778,Blotter!B:C,2,0),"")</f>
        <v>43</v>
      </c>
      <c r="U778" s="49" t="str">
        <f t="shared" si="828"/>
        <v>ZWK4</v>
      </c>
      <c r="V778" s="49">
        <f t="shared" si="829"/>
        <v>2</v>
      </c>
      <c r="W778" s="49">
        <f t="shared" si="830"/>
        <v>576</v>
      </c>
      <c r="X778" s="49">
        <f t="shared" si="831"/>
        <v>-5.94</v>
      </c>
    </row>
    <row r="779" spans="1:24" x14ac:dyDescent="0.4">
      <c r="A779" s="1" t="s">
        <v>138</v>
      </c>
      <c r="B779" s="1" t="s">
        <v>83</v>
      </c>
      <c r="C779" s="1" t="s">
        <v>82</v>
      </c>
      <c r="D779" s="1" t="s">
        <v>428</v>
      </c>
      <c r="E779" s="1" t="s">
        <v>430</v>
      </c>
      <c r="F779" s="1" t="s">
        <v>100</v>
      </c>
      <c r="G779" s="1" t="s">
        <v>101</v>
      </c>
      <c r="H779" s="1">
        <v>50000</v>
      </c>
      <c r="J779" s="51">
        <v>45427</v>
      </c>
      <c r="L779" s="51">
        <v>45345</v>
      </c>
      <c r="M779" s="1" t="s">
        <v>135</v>
      </c>
      <c r="N779" s="1">
        <v>2</v>
      </c>
      <c r="O779" s="59">
        <v>93.25</v>
      </c>
      <c r="P779" s="1">
        <v>93250</v>
      </c>
      <c r="Q779" s="1">
        <v>-5.94</v>
      </c>
      <c r="R779" s="1" t="s">
        <v>83</v>
      </c>
      <c r="T779" s="50">
        <f>IF(ISNUMBER(VLOOKUP(U779,Blotter!B:C,2,0)),VLOOKUP(U779,Blotter!B:C,2,0),"")</f>
        <v>46</v>
      </c>
      <c r="U779" s="49" t="str">
        <f t="shared" ref="U779:U785" si="832">D779</f>
        <v>CTK4</v>
      </c>
      <c r="V779" s="49">
        <f t="shared" ref="V779:V785" si="833">N779</f>
        <v>2</v>
      </c>
      <c r="W779" s="49">
        <f t="shared" ref="W779:W785" si="834">O779</f>
        <v>93.25</v>
      </c>
      <c r="X779" s="49">
        <f t="shared" ref="X779:X785" si="835">Q779</f>
        <v>-5.94</v>
      </c>
    </row>
    <row r="780" spans="1:24" x14ac:dyDescent="0.4">
      <c r="A780" s="1" t="s">
        <v>138</v>
      </c>
      <c r="B780" s="1" t="s">
        <v>83</v>
      </c>
      <c r="C780" s="1" t="s">
        <v>82</v>
      </c>
      <c r="D780" s="1" t="s">
        <v>428</v>
      </c>
      <c r="E780" s="1" t="s">
        <v>430</v>
      </c>
      <c r="F780" s="1" t="s">
        <v>100</v>
      </c>
      <c r="G780" s="1" t="s">
        <v>101</v>
      </c>
      <c r="H780" s="1">
        <v>50000</v>
      </c>
      <c r="J780" s="51">
        <v>45427</v>
      </c>
      <c r="L780" s="51">
        <v>45345</v>
      </c>
      <c r="M780" s="1" t="s">
        <v>135</v>
      </c>
      <c r="N780" s="1">
        <v>3</v>
      </c>
      <c r="O780" s="59">
        <v>93.25</v>
      </c>
      <c r="P780" s="1">
        <v>139875</v>
      </c>
      <c r="Q780" s="1">
        <v>-8.91</v>
      </c>
      <c r="R780" s="1" t="s">
        <v>83</v>
      </c>
      <c r="T780" s="50">
        <f>IF(ISNUMBER(VLOOKUP(U780,Blotter!B:C,2,0)),VLOOKUP(U780,Blotter!B:C,2,0),"")</f>
        <v>46</v>
      </c>
      <c r="U780" s="49" t="str">
        <f t="shared" si="832"/>
        <v>CTK4</v>
      </c>
      <c r="V780" s="49">
        <f t="shared" si="833"/>
        <v>3</v>
      </c>
      <c r="W780" s="49">
        <f t="shared" si="834"/>
        <v>93.25</v>
      </c>
      <c r="X780" s="49">
        <f t="shared" si="835"/>
        <v>-8.91</v>
      </c>
    </row>
    <row r="781" spans="1:24" x14ac:dyDescent="0.4">
      <c r="A781" s="1" t="s">
        <v>138</v>
      </c>
      <c r="B781" s="1" t="s">
        <v>83</v>
      </c>
      <c r="C781" s="1" t="s">
        <v>82</v>
      </c>
      <c r="D781" s="59" t="s">
        <v>433</v>
      </c>
      <c r="E781" s="1" t="s">
        <v>434</v>
      </c>
      <c r="F781" s="1" t="s">
        <v>127</v>
      </c>
      <c r="G781" s="1" t="s">
        <v>29</v>
      </c>
      <c r="H781" s="1">
        <v>5000</v>
      </c>
      <c r="J781" s="51">
        <v>45426</v>
      </c>
      <c r="L781" s="51">
        <v>45345</v>
      </c>
      <c r="M781" s="1" t="s">
        <v>135</v>
      </c>
      <c r="N781" s="1">
        <v>1</v>
      </c>
      <c r="O781" s="59">
        <v>569.75</v>
      </c>
      <c r="P781" s="1">
        <v>28487.5</v>
      </c>
      <c r="Q781" s="1">
        <v>-2.97</v>
      </c>
      <c r="R781" s="1" t="s">
        <v>83</v>
      </c>
      <c r="T781" s="50">
        <f>IF(ISNUMBER(VLOOKUP(U781,Blotter!B:C,2,0)),VLOOKUP(U781,Blotter!B:C,2,0),"")</f>
        <v>43</v>
      </c>
      <c r="U781" s="49" t="str">
        <f t="shared" si="832"/>
        <v>ZWK4</v>
      </c>
      <c r="V781" s="49">
        <f t="shared" si="833"/>
        <v>1</v>
      </c>
      <c r="W781" s="49">
        <f t="shared" si="834"/>
        <v>569.75</v>
      </c>
      <c r="X781" s="49">
        <f t="shared" si="835"/>
        <v>-2.97</v>
      </c>
    </row>
    <row r="782" spans="1:24" x14ac:dyDescent="0.4">
      <c r="A782" s="1" t="s">
        <v>138</v>
      </c>
      <c r="B782" s="1" t="s">
        <v>83</v>
      </c>
      <c r="C782" s="1" t="s">
        <v>82</v>
      </c>
      <c r="D782" s="59" t="s">
        <v>433</v>
      </c>
      <c r="E782" s="1" t="s">
        <v>434</v>
      </c>
      <c r="F782" s="1" t="s">
        <v>127</v>
      </c>
      <c r="G782" s="1" t="s">
        <v>29</v>
      </c>
      <c r="H782" s="1">
        <v>5000</v>
      </c>
      <c r="J782" s="51">
        <v>45426</v>
      </c>
      <c r="L782" s="51">
        <v>45345</v>
      </c>
      <c r="M782" s="1" t="s">
        <v>135</v>
      </c>
      <c r="N782" s="1">
        <v>1</v>
      </c>
      <c r="O782" s="59">
        <v>569.75</v>
      </c>
      <c r="P782" s="1">
        <v>28487.5</v>
      </c>
      <c r="Q782" s="1">
        <v>-2.97</v>
      </c>
      <c r="R782" s="1" t="s">
        <v>83</v>
      </c>
      <c r="T782" s="50">
        <f>IF(ISNUMBER(VLOOKUP(U782,Blotter!B:C,2,0)),VLOOKUP(U782,Blotter!B:C,2,0),"")</f>
        <v>43</v>
      </c>
      <c r="U782" s="49" t="str">
        <f t="shared" si="832"/>
        <v>ZWK4</v>
      </c>
      <c r="V782" s="49">
        <f t="shared" si="833"/>
        <v>1</v>
      </c>
      <c r="W782" s="49">
        <f t="shared" si="834"/>
        <v>569.75</v>
      </c>
      <c r="X782" s="49">
        <f t="shared" si="835"/>
        <v>-2.97</v>
      </c>
    </row>
    <row r="783" spans="1:24" x14ac:dyDescent="0.4">
      <c r="A783" s="1" t="s">
        <v>138</v>
      </c>
      <c r="B783" s="1" t="s">
        <v>83</v>
      </c>
      <c r="C783" s="1" t="s">
        <v>82</v>
      </c>
      <c r="D783" s="59" t="s">
        <v>433</v>
      </c>
      <c r="E783" s="1" t="s">
        <v>434</v>
      </c>
      <c r="F783" s="1" t="s">
        <v>127</v>
      </c>
      <c r="G783" s="1" t="s">
        <v>29</v>
      </c>
      <c r="H783" s="1">
        <v>5000</v>
      </c>
      <c r="J783" s="51">
        <v>45426</v>
      </c>
      <c r="L783" s="51">
        <v>45345</v>
      </c>
      <c r="M783" s="1" t="s">
        <v>135</v>
      </c>
      <c r="N783" s="1">
        <v>1</v>
      </c>
      <c r="O783" s="59">
        <v>569.75</v>
      </c>
      <c r="P783" s="1">
        <v>28487.5</v>
      </c>
      <c r="Q783" s="1">
        <v>-2.97</v>
      </c>
      <c r="R783" s="1" t="s">
        <v>83</v>
      </c>
      <c r="T783" s="50">
        <f>IF(ISNUMBER(VLOOKUP(U783,Blotter!B:C,2,0)),VLOOKUP(U783,Blotter!B:C,2,0),"")</f>
        <v>43</v>
      </c>
      <c r="U783" s="49" t="str">
        <f t="shared" si="832"/>
        <v>ZWK4</v>
      </c>
      <c r="V783" s="49">
        <f t="shared" si="833"/>
        <v>1</v>
      </c>
      <c r="W783" s="49">
        <f t="shared" si="834"/>
        <v>569.75</v>
      </c>
      <c r="X783" s="49">
        <f t="shared" si="835"/>
        <v>-2.97</v>
      </c>
    </row>
    <row r="784" spans="1:24" x14ac:dyDescent="0.4">
      <c r="A784" s="1" t="s">
        <v>138</v>
      </c>
      <c r="B784" s="1" t="s">
        <v>83</v>
      </c>
      <c r="C784" s="1" t="s">
        <v>82</v>
      </c>
      <c r="D784" s="59" t="s">
        <v>433</v>
      </c>
      <c r="E784" s="1" t="s">
        <v>434</v>
      </c>
      <c r="F784" s="1" t="s">
        <v>127</v>
      </c>
      <c r="G784" s="1" t="s">
        <v>29</v>
      </c>
      <c r="H784" s="1">
        <v>5000</v>
      </c>
      <c r="J784" s="51">
        <v>45426</v>
      </c>
      <c r="L784" s="51">
        <v>45345</v>
      </c>
      <c r="M784" s="1" t="s">
        <v>135</v>
      </c>
      <c r="N784" s="1">
        <v>1</v>
      </c>
      <c r="O784" s="59">
        <v>569.75</v>
      </c>
      <c r="P784" s="1">
        <v>28487.5</v>
      </c>
      <c r="Q784" s="1">
        <v>-2.97</v>
      </c>
      <c r="R784" s="1" t="s">
        <v>83</v>
      </c>
      <c r="T784" s="50">
        <f>IF(ISNUMBER(VLOOKUP(U784,Blotter!B:C,2,0)),VLOOKUP(U784,Blotter!B:C,2,0),"")</f>
        <v>43</v>
      </c>
      <c r="U784" s="49" t="str">
        <f t="shared" si="832"/>
        <v>ZWK4</v>
      </c>
      <c r="V784" s="49">
        <f t="shared" si="833"/>
        <v>1</v>
      </c>
      <c r="W784" s="49">
        <f t="shared" si="834"/>
        <v>569.75</v>
      </c>
      <c r="X784" s="49">
        <f t="shared" si="835"/>
        <v>-2.97</v>
      </c>
    </row>
    <row r="785" spans="1:24" x14ac:dyDescent="0.4">
      <c r="A785" s="1" t="s">
        <v>138</v>
      </c>
      <c r="B785" s="1" t="s">
        <v>83</v>
      </c>
      <c r="C785" s="1" t="s">
        <v>82</v>
      </c>
      <c r="D785" s="59" t="s">
        <v>433</v>
      </c>
      <c r="E785" s="1" t="s">
        <v>434</v>
      </c>
      <c r="F785" s="1" t="s">
        <v>127</v>
      </c>
      <c r="G785" s="1" t="s">
        <v>29</v>
      </c>
      <c r="H785" s="1">
        <v>5000</v>
      </c>
      <c r="J785" s="51">
        <v>45426</v>
      </c>
      <c r="L785" s="51">
        <v>45345</v>
      </c>
      <c r="M785" s="1" t="s">
        <v>135</v>
      </c>
      <c r="N785" s="1">
        <v>1</v>
      </c>
      <c r="O785" s="59">
        <v>569.75</v>
      </c>
      <c r="P785" s="1">
        <v>28487.5</v>
      </c>
      <c r="Q785" s="1">
        <v>-2.97</v>
      </c>
      <c r="R785" s="1" t="s">
        <v>83</v>
      </c>
      <c r="T785" s="50">
        <f>IF(ISNUMBER(VLOOKUP(U785,Blotter!B:C,2,0)),VLOOKUP(U785,Blotter!B:C,2,0),"")</f>
        <v>43</v>
      </c>
      <c r="U785" s="49" t="str">
        <f t="shared" si="832"/>
        <v>ZWK4</v>
      </c>
      <c r="V785" s="49">
        <f t="shared" si="833"/>
        <v>1</v>
      </c>
      <c r="W785" s="49">
        <f t="shared" si="834"/>
        <v>569.75</v>
      </c>
      <c r="X785" s="49">
        <f t="shared" si="835"/>
        <v>-2.97</v>
      </c>
    </row>
    <row r="786" spans="1:24" x14ac:dyDescent="0.4">
      <c r="A786" s="1" t="s">
        <v>138</v>
      </c>
      <c r="B786" s="1" t="s">
        <v>83</v>
      </c>
      <c r="C786" s="1" t="s">
        <v>82</v>
      </c>
      <c r="D786" s="1" t="s">
        <v>384</v>
      </c>
      <c r="E786" s="1" t="s">
        <v>387</v>
      </c>
      <c r="F786" s="1" t="s">
        <v>126</v>
      </c>
      <c r="G786" s="1" t="s">
        <v>25</v>
      </c>
      <c r="H786" s="1">
        <v>25000</v>
      </c>
      <c r="J786" s="51">
        <v>45377</v>
      </c>
      <c r="L786" s="51">
        <v>45349</v>
      </c>
      <c r="M786" s="1" t="s">
        <v>139</v>
      </c>
      <c r="N786" s="1">
        <v>-5</v>
      </c>
      <c r="O786" s="1">
        <v>3.84</v>
      </c>
      <c r="P786" s="1">
        <v>-480000</v>
      </c>
      <c r="Q786" s="1">
        <v>-12.35</v>
      </c>
      <c r="R786" s="1" t="s">
        <v>83</v>
      </c>
      <c r="T786" s="50">
        <f>IF(ISNUMBER(VLOOKUP(U786,Blotter!B:C,2,0)),VLOOKUP(U786,Blotter!B:C,2,0),"")</f>
        <v>37</v>
      </c>
      <c r="U786" s="49" t="str">
        <f t="shared" ref="U786" si="836">D786</f>
        <v>HGH4</v>
      </c>
      <c r="V786" s="49">
        <f t="shared" ref="V786" si="837">N786</f>
        <v>-5</v>
      </c>
      <c r="W786" s="49">
        <f t="shared" ref="W786" si="838">O786</f>
        <v>3.84</v>
      </c>
      <c r="X786" s="49">
        <f t="shared" ref="X786" si="839">Q786</f>
        <v>-12.35</v>
      </c>
    </row>
    <row r="787" spans="1:24" x14ac:dyDescent="0.4">
      <c r="A787" s="1" t="s">
        <v>138</v>
      </c>
      <c r="B787" s="1" t="s">
        <v>83</v>
      </c>
      <c r="C787" s="1" t="s">
        <v>82</v>
      </c>
      <c r="D787" s="59" t="s">
        <v>433</v>
      </c>
      <c r="E787" s="1" t="s">
        <v>434</v>
      </c>
      <c r="F787" s="1" t="s">
        <v>127</v>
      </c>
      <c r="G787" s="1" t="s">
        <v>29</v>
      </c>
      <c r="H787" s="1">
        <v>5000</v>
      </c>
      <c r="J787" s="51">
        <v>45426</v>
      </c>
      <c r="L787" s="51">
        <v>45349</v>
      </c>
      <c r="M787" s="1" t="s">
        <v>139</v>
      </c>
      <c r="N787" s="1">
        <v>-1</v>
      </c>
      <c r="O787" s="59">
        <v>585</v>
      </c>
      <c r="P787" s="1">
        <v>-29250</v>
      </c>
      <c r="Q787" s="1">
        <v>-2.97</v>
      </c>
      <c r="R787" s="1" t="s">
        <v>83</v>
      </c>
      <c r="T787" s="50">
        <f>IF(ISNUMBER(VLOOKUP(U787,Blotter!B:C,2,0)),VLOOKUP(U787,Blotter!B:C,2,0),"")</f>
        <v>43</v>
      </c>
      <c r="U787" s="49" t="str">
        <f t="shared" ref="U787:U791" si="840">D787</f>
        <v>ZWK4</v>
      </c>
      <c r="V787" s="49">
        <f t="shared" ref="V787:V791" si="841">N787</f>
        <v>-1</v>
      </c>
      <c r="W787" s="49">
        <f t="shared" ref="W787:W791" si="842">O787</f>
        <v>585</v>
      </c>
      <c r="X787" s="49">
        <f t="shared" ref="X787:X791" si="843">Q787</f>
        <v>-2.97</v>
      </c>
    </row>
    <row r="788" spans="1:24" x14ac:dyDescent="0.4">
      <c r="A788" s="1" t="s">
        <v>138</v>
      </c>
      <c r="B788" s="1" t="s">
        <v>83</v>
      </c>
      <c r="C788" s="1" t="s">
        <v>82</v>
      </c>
      <c r="D788" s="59" t="s">
        <v>433</v>
      </c>
      <c r="E788" s="1" t="s">
        <v>434</v>
      </c>
      <c r="F788" s="1" t="s">
        <v>127</v>
      </c>
      <c r="G788" s="1" t="s">
        <v>29</v>
      </c>
      <c r="H788" s="1">
        <v>5000</v>
      </c>
      <c r="J788" s="51">
        <v>45426</v>
      </c>
      <c r="L788" s="51">
        <v>45349</v>
      </c>
      <c r="M788" s="1" t="s">
        <v>139</v>
      </c>
      <c r="N788" s="1">
        <v>-1</v>
      </c>
      <c r="O788" s="59">
        <v>585</v>
      </c>
      <c r="P788" s="1">
        <v>-29250</v>
      </c>
      <c r="Q788" s="1">
        <v>-2.97</v>
      </c>
      <c r="R788" s="1" t="s">
        <v>83</v>
      </c>
      <c r="T788" s="50">
        <f>IF(ISNUMBER(VLOOKUP(U788,Blotter!B:C,2,0)),VLOOKUP(U788,Blotter!B:C,2,0),"")</f>
        <v>43</v>
      </c>
      <c r="U788" s="49" t="str">
        <f t="shared" si="840"/>
        <v>ZWK4</v>
      </c>
      <c r="V788" s="49">
        <f t="shared" si="841"/>
        <v>-1</v>
      </c>
      <c r="W788" s="49">
        <f t="shared" si="842"/>
        <v>585</v>
      </c>
      <c r="X788" s="49">
        <f t="shared" si="843"/>
        <v>-2.97</v>
      </c>
    </row>
    <row r="789" spans="1:24" x14ac:dyDescent="0.4">
      <c r="A789" s="1" t="s">
        <v>138</v>
      </c>
      <c r="B789" s="1" t="s">
        <v>83</v>
      </c>
      <c r="C789" s="1" t="s">
        <v>82</v>
      </c>
      <c r="D789" s="59" t="s">
        <v>433</v>
      </c>
      <c r="E789" s="1" t="s">
        <v>434</v>
      </c>
      <c r="F789" s="1" t="s">
        <v>127</v>
      </c>
      <c r="G789" s="1" t="s">
        <v>29</v>
      </c>
      <c r="H789" s="1">
        <v>5000</v>
      </c>
      <c r="J789" s="51">
        <v>45426</v>
      </c>
      <c r="L789" s="51">
        <v>45349</v>
      </c>
      <c r="M789" s="1" t="s">
        <v>139</v>
      </c>
      <c r="N789" s="1">
        <v>-3</v>
      </c>
      <c r="O789" s="59">
        <v>585</v>
      </c>
      <c r="P789" s="1">
        <v>-87750</v>
      </c>
      <c r="Q789" s="1">
        <v>-8.91</v>
      </c>
      <c r="R789" s="1" t="s">
        <v>83</v>
      </c>
      <c r="T789" s="50">
        <f>IF(ISNUMBER(VLOOKUP(U789,Blotter!B:C,2,0)),VLOOKUP(U789,Blotter!B:C,2,0),"")</f>
        <v>43</v>
      </c>
      <c r="U789" s="49" t="str">
        <f t="shared" si="840"/>
        <v>ZWK4</v>
      </c>
      <c r="V789" s="49">
        <f t="shared" si="841"/>
        <v>-3</v>
      </c>
      <c r="W789" s="49">
        <f t="shared" si="842"/>
        <v>585</v>
      </c>
      <c r="X789" s="49">
        <f t="shared" si="843"/>
        <v>-8.91</v>
      </c>
    </row>
    <row r="790" spans="1:24" x14ac:dyDescent="0.4">
      <c r="A790" s="1" t="s">
        <v>138</v>
      </c>
      <c r="B790" s="1" t="s">
        <v>83</v>
      </c>
      <c r="C790" s="1" t="s">
        <v>82</v>
      </c>
      <c r="D790" s="59" t="s">
        <v>433</v>
      </c>
      <c r="E790" s="1" t="s">
        <v>434</v>
      </c>
      <c r="F790" s="1" t="s">
        <v>127</v>
      </c>
      <c r="G790" s="1" t="s">
        <v>29</v>
      </c>
      <c r="H790" s="1">
        <v>5000</v>
      </c>
      <c r="J790" s="51">
        <v>45426</v>
      </c>
      <c r="L790" s="51">
        <v>45349</v>
      </c>
      <c r="M790" s="1" t="s">
        <v>139</v>
      </c>
      <c r="N790" s="1">
        <v>-4</v>
      </c>
      <c r="O790" s="59">
        <v>585</v>
      </c>
      <c r="P790" s="1">
        <v>-117000</v>
      </c>
      <c r="Q790" s="1">
        <v>-11.88</v>
      </c>
      <c r="R790" s="1" t="s">
        <v>83</v>
      </c>
      <c r="T790" s="50">
        <f>IF(ISNUMBER(VLOOKUP(U790,Blotter!B:C,2,0)),VLOOKUP(U790,Blotter!B:C,2,0),"")</f>
        <v>43</v>
      </c>
      <c r="U790" s="49" t="str">
        <f t="shared" si="840"/>
        <v>ZWK4</v>
      </c>
      <c r="V790" s="49">
        <f t="shared" si="841"/>
        <v>-4</v>
      </c>
      <c r="W790" s="49">
        <f t="shared" si="842"/>
        <v>585</v>
      </c>
      <c r="X790" s="49">
        <f t="shared" si="843"/>
        <v>-11.88</v>
      </c>
    </row>
    <row r="791" spans="1:24" x14ac:dyDescent="0.4">
      <c r="A791" s="1" t="s">
        <v>138</v>
      </c>
      <c r="B791" s="1" t="s">
        <v>83</v>
      </c>
      <c r="C791" s="1" t="s">
        <v>82</v>
      </c>
      <c r="D791" s="59" t="s">
        <v>433</v>
      </c>
      <c r="E791" s="1" t="s">
        <v>434</v>
      </c>
      <c r="F791" s="1" t="s">
        <v>127</v>
      </c>
      <c r="G791" s="1" t="s">
        <v>29</v>
      </c>
      <c r="H791" s="1">
        <v>5000</v>
      </c>
      <c r="J791" s="51">
        <v>45426</v>
      </c>
      <c r="L791" s="51">
        <v>45349</v>
      </c>
      <c r="M791" s="1" t="s">
        <v>139</v>
      </c>
      <c r="N791" s="1">
        <v>-1</v>
      </c>
      <c r="O791" s="59">
        <v>585</v>
      </c>
      <c r="P791" s="1">
        <v>-29250</v>
      </c>
      <c r="Q791" s="1">
        <v>-2.97</v>
      </c>
      <c r="R791" s="1" t="s">
        <v>83</v>
      </c>
      <c r="T791" s="50">
        <f>IF(ISNUMBER(VLOOKUP(U791,Blotter!B:C,2,0)),VLOOKUP(U791,Blotter!B:C,2,0),"")</f>
        <v>43</v>
      </c>
      <c r="U791" s="49" t="str">
        <f t="shared" si="840"/>
        <v>ZWK4</v>
      </c>
      <c r="V791" s="49">
        <f t="shared" si="841"/>
        <v>-1</v>
      </c>
      <c r="W791" s="49">
        <f t="shared" si="842"/>
        <v>585</v>
      </c>
      <c r="X791" s="49">
        <f t="shared" si="843"/>
        <v>-2.97</v>
      </c>
    </row>
    <row r="792" spans="1:24" x14ac:dyDescent="0.4">
      <c r="A792" s="1" t="s">
        <v>138</v>
      </c>
      <c r="B792" s="1" t="s">
        <v>83</v>
      </c>
      <c r="C792" s="1" t="s">
        <v>82</v>
      </c>
      <c r="D792" s="1" t="s">
        <v>438</v>
      </c>
      <c r="E792" s="1" t="s">
        <v>440</v>
      </c>
      <c r="F792" s="1" t="s">
        <v>93</v>
      </c>
      <c r="G792" s="1" t="s">
        <v>24</v>
      </c>
      <c r="H792" s="1">
        <v>1000</v>
      </c>
      <c r="J792" s="51">
        <v>45371</v>
      </c>
      <c r="L792" s="51">
        <v>45350</v>
      </c>
      <c r="M792" s="1" t="s">
        <v>135</v>
      </c>
      <c r="N792" s="1">
        <v>1</v>
      </c>
      <c r="O792" s="1">
        <v>79.5</v>
      </c>
      <c r="P792" s="1">
        <v>79500</v>
      </c>
      <c r="Q792" s="1">
        <v>-2.37</v>
      </c>
      <c r="R792" s="1" t="s">
        <v>83</v>
      </c>
      <c r="T792" s="50">
        <f>IF(ISNUMBER(VLOOKUP(U792,Blotter!B:C,2,0)),VLOOKUP(U792,Blotter!B:C,2,0),"")</f>
        <v>47</v>
      </c>
      <c r="U792" s="49" t="str">
        <f t="shared" ref="U792" si="844">D792</f>
        <v>CLJ4</v>
      </c>
      <c r="V792" s="49">
        <f t="shared" ref="V792" si="845">N792</f>
        <v>1</v>
      </c>
      <c r="W792" s="49">
        <f t="shared" ref="W792" si="846">O792</f>
        <v>79.5</v>
      </c>
      <c r="X792" s="49">
        <f t="shared" ref="X792" si="847">Q792</f>
        <v>-2.37</v>
      </c>
    </row>
    <row r="793" spans="1:24" x14ac:dyDescent="0.4">
      <c r="A793" s="1" t="s">
        <v>138</v>
      </c>
      <c r="B793" s="1" t="s">
        <v>83</v>
      </c>
      <c r="C793" s="1" t="s">
        <v>82</v>
      </c>
      <c r="D793" s="1" t="s">
        <v>438</v>
      </c>
      <c r="E793" s="1" t="s">
        <v>440</v>
      </c>
      <c r="F793" s="1" t="s">
        <v>93</v>
      </c>
      <c r="G793" s="1" t="s">
        <v>24</v>
      </c>
      <c r="H793" s="1">
        <v>1000</v>
      </c>
      <c r="J793" s="51">
        <v>45371</v>
      </c>
      <c r="L793" s="51">
        <v>45350</v>
      </c>
      <c r="M793" s="1" t="s">
        <v>135</v>
      </c>
      <c r="N793" s="1">
        <v>3</v>
      </c>
      <c r="O793" s="1">
        <v>79.5</v>
      </c>
      <c r="P793" s="1">
        <v>238500</v>
      </c>
      <c r="Q793" s="1">
        <v>-7.11</v>
      </c>
      <c r="R793" s="1" t="s">
        <v>83</v>
      </c>
      <c r="T793" s="50">
        <f>IF(ISNUMBER(VLOOKUP(U793,Blotter!B:C,2,0)),VLOOKUP(U793,Blotter!B:C,2,0),"")</f>
        <v>47</v>
      </c>
      <c r="U793" s="49" t="str">
        <f t="shared" ref="U793:U798" si="848">D793</f>
        <v>CLJ4</v>
      </c>
      <c r="V793" s="49">
        <f t="shared" ref="V793:V798" si="849">N793</f>
        <v>3</v>
      </c>
      <c r="W793" s="49">
        <f t="shared" ref="W793:W798" si="850">O793</f>
        <v>79.5</v>
      </c>
      <c r="X793" s="49">
        <f t="shared" ref="X793:X798" si="851">Q793</f>
        <v>-7.11</v>
      </c>
    </row>
    <row r="794" spans="1:24" x14ac:dyDescent="0.4">
      <c r="A794" s="1" t="s">
        <v>138</v>
      </c>
      <c r="B794" s="1" t="s">
        <v>83</v>
      </c>
      <c r="C794" s="1" t="s">
        <v>82</v>
      </c>
      <c r="D794" s="1" t="s">
        <v>428</v>
      </c>
      <c r="E794" s="1" t="s">
        <v>430</v>
      </c>
      <c r="F794" s="1" t="s">
        <v>100</v>
      </c>
      <c r="G794" s="1" t="s">
        <v>101</v>
      </c>
      <c r="H794" s="1">
        <v>50000</v>
      </c>
      <c r="J794" s="51">
        <v>45427</v>
      </c>
      <c r="L794" s="51">
        <v>45350</v>
      </c>
      <c r="M794" s="1" t="s">
        <v>139</v>
      </c>
      <c r="N794" s="1">
        <v>-10</v>
      </c>
      <c r="O794" s="59">
        <v>101.7</v>
      </c>
      <c r="P794" s="1">
        <v>-508500</v>
      </c>
      <c r="Q794" s="1">
        <v>-29.7</v>
      </c>
      <c r="R794" s="1" t="s">
        <v>83</v>
      </c>
      <c r="T794" s="50">
        <f>IF(ISNUMBER(VLOOKUP(U794,Blotter!B:C,2,0)),VLOOKUP(U794,Blotter!B:C,2,0),"")</f>
        <v>46</v>
      </c>
      <c r="U794" s="49" t="str">
        <f t="shared" si="848"/>
        <v>CTK4</v>
      </c>
      <c r="V794" s="49">
        <f t="shared" si="849"/>
        <v>-10</v>
      </c>
      <c r="W794" s="49">
        <f t="shared" si="850"/>
        <v>101.7</v>
      </c>
      <c r="X794" s="49">
        <f t="shared" si="851"/>
        <v>-29.7</v>
      </c>
    </row>
    <row r="795" spans="1:24" x14ac:dyDescent="0.4">
      <c r="A795" s="1" t="s">
        <v>138</v>
      </c>
      <c r="B795" s="1" t="s">
        <v>83</v>
      </c>
      <c r="C795" s="1" t="s">
        <v>82</v>
      </c>
      <c r="D795" s="59" t="s">
        <v>433</v>
      </c>
      <c r="E795" s="1" t="s">
        <v>434</v>
      </c>
      <c r="F795" s="1" t="s">
        <v>127</v>
      </c>
      <c r="G795" s="1" t="s">
        <v>29</v>
      </c>
      <c r="H795" s="1">
        <v>5000</v>
      </c>
      <c r="J795" s="51">
        <v>45426</v>
      </c>
      <c r="L795" s="51">
        <v>45350</v>
      </c>
      <c r="M795" s="1" t="s">
        <v>135</v>
      </c>
      <c r="N795" s="1">
        <v>1</v>
      </c>
      <c r="O795" s="59">
        <v>573</v>
      </c>
      <c r="P795" s="1">
        <v>28650</v>
      </c>
      <c r="Q795" s="1">
        <v>-2.97</v>
      </c>
      <c r="R795" s="1" t="s">
        <v>83</v>
      </c>
      <c r="T795" s="50">
        <f>IF(ISNUMBER(VLOOKUP(U795,Blotter!B:C,2,0)),VLOOKUP(U795,Blotter!B:C,2,0),"")</f>
        <v>43</v>
      </c>
      <c r="U795" s="49" t="str">
        <f t="shared" si="848"/>
        <v>ZWK4</v>
      </c>
      <c r="V795" s="49">
        <f t="shared" si="849"/>
        <v>1</v>
      </c>
      <c r="W795" s="49">
        <f t="shared" si="850"/>
        <v>573</v>
      </c>
      <c r="X795" s="49">
        <f t="shared" si="851"/>
        <v>-2.97</v>
      </c>
    </row>
    <row r="796" spans="1:24" x14ac:dyDescent="0.4">
      <c r="A796" s="1" t="s">
        <v>138</v>
      </c>
      <c r="B796" s="1" t="s">
        <v>83</v>
      </c>
      <c r="C796" s="1" t="s">
        <v>82</v>
      </c>
      <c r="D796" s="59" t="s">
        <v>433</v>
      </c>
      <c r="E796" s="1" t="s">
        <v>434</v>
      </c>
      <c r="F796" s="1" t="s">
        <v>127</v>
      </c>
      <c r="G796" s="1" t="s">
        <v>29</v>
      </c>
      <c r="H796" s="1">
        <v>5000</v>
      </c>
      <c r="J796" s="51">
        <v>45426</v>
      </c>
      <c r="L796" s="51">
        <v>45350</v>
      </c>
      <c r="M796" s="1" t="s">
        <v>135</v>
      </c>
      <c r="N796" s="1">
        <v>7</v>
      </c>
      <c r="O796" s="59">
        <v>573</v>
      </c>
      <c r="P796" s="1">
        <v>200550</v>
      </c>
      <c r="Q796" s="1">
        <v>-20.79</v>
      </c>
      <c r="R796" s="1" t="s">
        <v>83</v>
      </c>
      <c r="T796" s="50">
        <f>IF(ISNUMBER(VLOOKUP(U796,Blotter!B:C,2,0)),VLOOKUP(U796,Blotter!B:C,2,0),"")</f>
        <v>43</v>
      </c>
      <c r="U796" s="49" t="str">
        <f t="shared" si="848"/>
        <v>ZWK4</v>
      </c>
      <c r="V796" s="49">
        <f t="shared" si="849"/>
        <v>7</v>
      </c>
      <c r="W796" s="49">
        <f t="shared" si="850"/>
        <v>573</v>
      </c>
      <c r="X796" s="49">
        <f t="shared" si="851"/>
        <v>-20.79</v>
      </c>
    </row>
    <row r="797" spans="1:24" x14ac:dyDescent="0.4">
      <c r="A797" s="1" t="s">
        <v>138</v>
      </c>
      <c r="B797" s="1" t="s">
        <v>83</v>
      </c>
      <c r="C797" s="1" t="s">
        <v>82</v>
      </c>
      <c r="D797" s="59" t="s">
        <v>433</v>
      </c>
      <c r="E797" s="1" t="s">
        <v>434</v>
      </c>
      <c r="F797" s="1" t="s">
        <v>127</v>
      </c>
      <c r="G797" s="1" t="s">
        <v>29</v>
      </c>
      <c r="H797" s="1">
        <v>5000</v>
      </c>
      <c r="J797" s="51">
        <v>45426</v>
      </c>
      <c r="L797" s="51">
        <v>45350</v>
      </c>
      <c r="M797" s="1" t="s">
        <v>135</v>
      </c>
      <c r="N797" s="1">
        <v>1</v>
      </c>
      <c r="O797" s="59">
        <v>573</v>
      </c>
      <c r="P797" s="1">
        <v>28650</v>
      </c>
      <c r="Q797" s="1">
        <v>-2.97</v>
      </c>
      <c r="R797" s="1" t="s">
        <v>83</v>
      </c>
      <c r="T797" s="50">
        <f>IF(ISNUMBER(VLOOKUP(U797,Blotter!B:C,2,0)),VLOOKUP(U797,Blotter!B:C,2,0),"")</f>
        <v>43</v>
      </c>
      <c r="U797" s="49" t="str">
        <f t="shared" si="848"/>
        <v>ZWK4</v>
      </c>
      <c r="V797" s="49">
        <f t="shared" si="849"/>
        <v>1</v>
      </c>
      <c r="W797" s="49">
        <f t="shared" si="850"/>
        <v>573</v>
      </c>
      <c r="X797" s="49">
        <f t="shared" si="851"/>
        <v>-2.97</v>
      </c>
    </row>
    <row r="798" spans="1:24" x14ac:dyDescent="0.4">
      <c r="A798" s="1" t="s">
        <v>138</v>
      </c>
      <c r="B798" s="1" t="s">
        <v>83</v>
      </c>
      <c r="C798" s="1" t="s">
        <v>82</v>
      </c>
      <c r="D798" s="59" t="s">
        <v>433</v>
      </c>
      <c r="E798" s="1" t="s">
        <v>434</v>
      </c>
      <c r="F798" s="1" t="s">
        <v>127</v>
      </c>
      <c r="G798" s="1" t="s">
        <v>29</v>
      </c>
      <c r="H798" s="1">
        <v>5000</v>
      </c>
      <c r="J798" s="51">
        <v>45426</v>
      </c>
      <c r="L798" s="51">
        <v>45350</v>
      </c>
      <c r="M798" s="1" t="s">
        <v>135</v>
      </c>
      <c r="N798" s="1">
        <v>1</v>
      </c>
      <c r="O798" s="59">
        <v>573</v>
      </c>
      <c r="P798" s="1">
        <v>28650</v>
      </c>
      <c r="Q798" s="1">
        <v>-2.97</v>
      </c>
      <c r="R798" s="1" t="s">
        <v>83</v>
      </c>
      <c r="T798" s="50">
        <f>IF(ISNUMBER(VLOOKUP(U798,Blotter!B:C,2,0)),VLOOKUP(U798,Blotter!B:C,2,0),"")</f>
        <v>43</v>
      </c>
      <c r="U798" s="49" t="str">
        <f t="shared" si="848"/>
        <v>ZWK4</v>
      </c>
      <c r="V798" s="49">
        <f t="shared" si="849"/>
        <v>1</v>
      </c>
      <c r="W798" s="49">
        <f t="shared" si="850"/>
        <v>573</v>
      </c>
      <c r="X798" s="49">
        <f t="shared" si="851"/>
        <v>-2.97</v>
      </c>
    </row>
    <row r="799" spans="1:24" x14ac:dyDescent="0.4">
      <c r="A799" s="1" t="s">
        <v>138</v>
      </c>
      <c r="B799" s="1" t="s">
        <v>83</v>
      </c>
      <c r="C799" s="1" t="s">
        <v>117</v>
      </c>
      <c r="D799" s="1" t="s">
        <v>407</v>
      </c>
      <c r="E799" s="1" t="s">
        <v>409</v>
      </c>
      <c r="F799" s="1" t="s">
        <v>408</v>
      </c>
      <c r="H799" s="1">
        <v>1</v>
      </c>
      <c r="L799" s="51">
        <v>45351</v>
      </c>
      <c r="M799" s="1" t="s">
        <v>135</v>
      </c>
      <c r="N799" s="1">
        <v>200</v>
      </c>
      <c r="O799" s="1">
        <v>72.099999999999994</v>
      </c>
      <c r="P799" s="1">
        <v>14420</v>
      </c>
      <c r="Q799" s="1">
        <v>-1</v>
      </c>
      <c r="R799" s="1" t="s">
        <v>83</v>
      </c>
      <c r="T799" s="50">
        <f>IF(ISNUMBER(VLOOKUP(U799,Blotter!B:C,2,0)),VLOOKUP(U799,Blotter!B:C,2,0),"")</f>
        <v>40</v>
      </c>
      <c r="U799" s="49" t="str">
        <f t="shared" ref="U799:U810" si="852">D799</f>
        <v>CYTK</v>
      </c>
      <c r="V799" s="49">
        <f t="shared" ref="V799:V810" si="853">N799</f>
        <v>200</v>
      </c>
      <c r="W799" s="49">
        <f t="shared" ref="W799:W810" si="854">O799</f>
        <v>72.099999999999994</v>
      </c>
      <c r="X799" s="49">
        <f t="shared" ref="X799:X810" si="855">Q799</f>
        <v>-1</v>
      </c>
    </row>
    <row r="800" spans="1:24" x14ac:dyDescent="0.4">
      <c r="A800" s="1" t="s">
        <v>138</v>
      </c>
      <c r="B800" s="1" t="s">
        <v>83</v>
      </c>
      <c r="C800" s="1" t="s">
        <v>117</v>
      </c>
      <c r="D800" s="1" t="s">
        <v>407</v>
      </c>
      <c r="E800" s="1" t="s">
        <v>409</v>
      </c>
      <c r="F800" s="1" t="s">
        <v>408</v>
      </c>
      <c r="H800" s="1">
        <v>1</v>
      </c>
      <c r="L800" s="51">
        <v>45351</v>
      </c>
      <c r="M800" s="1" t="s">
        <v>135</v>
      </c>
      <c r="N800" s="1">
        <v>300</v>
      </c>
      <c r="O800" s="1">
        <v>72.099999999999994</v>
      </c>
      <c r="P800" s="1">
        <v>21630</v>
      </c>
      <c r="Q800" s="1">
        <v>-1.5</v>
      </c>
      <c r="R800" s="1" t="s">
        <v>83</v>
      </c>
      <c r="T800" s="50">
        <f>IF(ISNUMBER(VLOOKUP(U800,Blotter!B:C,2,0)),VLOOKUP(U800,Blotter!B:C,2,0),"")</f>
        <v>40</v>
      </c>
      <c r="U800" s="49" t="str">
        <f t="shared" si="852"/>
        <v>CYTK</v>
      </c>
      <c r="V800" s="49">
        <f t="shared" si="853"/>
        <v>300</v>
      </c>
      <c r="W800" s="49">
        <f t="shared" si="854"/>
        <v>72.099999999999994</v>
      </c>
      <c r="X800" s="49">
        <f t="shared" si="855"/>
        <v>-1.5</v>
      </c>
    </row>
    <row r="801" spans="1:24" x14ac:dyDescent="0.4">
      <c r="A801" s="1" t="s">
        <v>138</v>
      </c>
      <c r="B801" s="1" t="s">
        <v>83</v>
      </c>
      <c r="C801" s="1" t="s">
        <v>82</v>
      </c>
      <c r="D801" s="1" t="s">
        <v>428</v>
      </c>
      <c r="E801" s="1" t="s">
        <v>430</v>
      </c>
      <c r="F801" s="1" t="s">
        <v>100</v>
      </c>
      <c r="G801" s="1" t="s">
        <v>101</v>
      </c>
      <c r="H801" s="1">
        <v>50000</v>
      </c>
      <c r="J801" s="51">
        <v>45427</v>
      </c>
      <c r="L801" s="51">
        <v>45351</v>
      </c>
      <c r="M801" s="1" t="s">
        <v>135</v>
      </c>
      <c r="N801" s="1">
        <v>1</v>
      </c>
      <c r="O801" s="59">
        <v>97.55</v>
      </c>
      <c r="P801" s="1">
        <v>48775</v>
      </c>
      <c r="Q801" s="1">
        <v>-2.97</v>
      </c>
      <c r="R801" s="1" t="s">
        <v>83</v>
      </c>
      <c r="T801" s="50">
        <f>IF(ISNUMBER(VLOOKUP(U801,Blotter!B:C,2,0)),VLOOKUP(U801,Blotter!B:C,2,0),"")</f>
        <v>46</v>
      </c>
      <c r="U801" s="49" t="str">
        <f t="shared" si="852"/>
        <v>CTK4</v>
      </c>
      <c r="V801" s="49">
        <f t="shared" si="853"/>
        <v>1</v>
      </c>
      <c r="W801" s="49">
        <f t="shared" si="854"/>
        <v>97.55</v>
      </c>
      <c r="X801" s="49">
        <f t="shared" si="855"/>
        <v>-2.97</v>
      </c>
    </row>
    <row r="802" spans="1:24" x14ac:dyDescent="0.4">
      <c r="A802" s="1" t="s">
        <v>138</v>
      </c>
      <c r="B802" s="1" t="s">
        <v>83</v>
      </c>
      <c r="C802" s="1" t="s">
        <v>82</v>
      </c>
      <c r="D802" s="1" t="s">
        <v>428</v>
      </c>
      <c r="E802" s="1" t="s">
        <v>430</v>
      </c>
      <c r="F802" s="1" t="s">
        <v>100</v>
      </c>
      <c r="G802" s="1" t="s">
        <v>101</v>
      </c>
      <c r="H802" s="1">
        <v>50000</v>
      </c>
      <c r="J802" s="51">
        <v>45427</v>
      </c>
      <c r="L802" s="51">
        <v>45351</v>
      </c>
      <c r="M802" s="1" t="s">
        <v>135</v>
      </c>
      <c r="N802" s="1">
        <v>4</v>
      </c>
      <c r="O802" s="59">
        <v>97.55</v>
      </c>
      <c r="P802" s="1">
        <v>195100</v>
      </c>
      <c r="Q802" s="1">
        <v>-11.88</v>
      </c>
      <c r="R802" s="1" t="s">
        <v>83</v>
      </c>
      <c r="T802" s="50">
        <f>IF(ISNUMBER(VLOOKUP(U802,Blotter!B:C,2,0)),VLOOKUP(U802,Blotter!B:C,2,0),"")</f>
        <v>46</v>
      </c>
      <c r="U802" s="49" t="str">
        <f t="shared" si="852"/>
        <v>CTK4</v>
      </c>
      <c r="V802" s="49">
        <f t="shared" si="853"/>
        <v>4</v>
      </c>
      <c r="W802" s="49">
        <f t="shared" si="854"/>
        <v>97.55</v>
      </c>
      <c r="X802" s="49">
        <f t="shared" si="855"/>
        <v>-11.88</v>
      </c>
    </row>
    <row r="803" spans="1:24" x14ac:dyDescent="0.4">
      <c r="A803" s="1" t="s">
        <v>138</v>
      </c>
      <c r="B803" s="1" t="s">
        <v>83</v>
      </c>
      <c r="C803" s="1" t="s">
        <v>82</v>
      </c>
      <c r="D803" s="1" t="s">
        <v>428</v>
      </c>
      <c r="E803" s="1" t="s">
        <v>430</v>
      </c>
      <c r="F803" s="1" t="s">
        <v>100</v>
      </c>
      <c r="G803" s="1" t="s">
        <v>101</v>
      </c>
      <c r="H803" s="1">
        <v>50000</v>
      </c>
      <c r="J803" s="51">
        <v>45427</v>
      </c>
      <c r="L803" s="51">
        <v>45351</v>
      </c>
      <c r="M803" s="1" t="s">
        <v>139</v>
      </c>
      <c r="N803" s="1">
        <v>-5</v>
      </c>
      <c r="O803" s="59">
        <v>98.55</v>
      </c>
      <c r="P803" s="1">
        <v>-246375</v>
      </c>
      <c r="Q803" s="1">
        <v>-14.85</v>
      </c>
      <c r="R803" s="1" t="s">
        <v>83</v>
      </c>
      <c r="T803" s="50">
        <f>IF(ISNUMBER(VLOOKUP(U803,Blotter!B:C,2,0)),VLOOKUP(U803,Blotter!B:C,2,0),"")</f>
        <v>46</v>
      </c>
      <c r="U803" s="49" t="str">
        <f t="shared" si="852"/>
        <v>CTK4</v>
      </c>
      <c r="V803" s="49">
        <f t="shared" si="853"/>
        <v>-5</v>
      </c>
      <c r="W803" s="49">
        <f t="shared" si="854"/>
        <v>98.55</v>
      </c>
      <c r="X803" s="49">
        <f t="shared" si="855"/>
        <v>-14.85</v>
      </c>
    </row>
    <row r="804" spans="1:24" x14ac:dyDescent="0.4">
      <c r="A804" s="1" t="s">
        <v>138</v>
      </c>
      <c r="B804" s="1" t="s">
        <v>83</v>
      </c>
      <c r="C804" s="1" t="s">
        <v>82</v>
      </c>
      <c r="D804" s="59" t="s">
        <v>433</v>
      </c>
      <c r="E804" s="1" t="s">
        <v>434</v>
      </c>
      <c r="F804" s="1" t="s">
        <v>127</v>
      </c>
      <c r="G804" s="1" t="s">
        <v>29</v>
      </c>
      <c r="H804" s="1">
        <v>5000</v>
      </c>
      <c r="J804" s="51">
        <v>45426</v>
      </c>
      <c r="L804" s="51">
        <v>45351</v>
      </c>
      <c r="M804" s="1" t="s">
        <v>135</v>
      </c>
      <c r="N804" s="1">
        <v>10</v>
      </c>
      <c r="O804" s="59">
        <v>573</v>
      </c>
      <c r="P804" s="1">
        <v>286500</v>
      </c>
      <c r="Q804" s="1">
        <v>-29.7</v>
      </c>
      <c r="R804" s="1" t="s">
        <v>83</v>
      </c>
      <c r="T804" s="50">
        <f>IF(ISNUMBER(VLOOKUP(U804,Blotter!B:C,2,0)),VLOOKUP(U804,Blotter!B:C,2,0),"")</f>
        <v>43</v>
      </c>
      <c r="U804" s="49" t="str">
        <f t="shared" si="852"/>
        <v>ZWK4</v>
      </c>
      <c r="V804" s="49">
        <f t="shared" si="853"/>
        <v>10</v>
      </c>
      <c r="W804" s="49">
        <f t="shared" si="854"/>
        <v>573</v>
      </c>
      <c r="X804" s="49">
        <f t="shared" si="855"/>
        <v>-29.7</v>
      </c>
    </row>
    <row r="805" spans="1:24" x14ac:dyDescent="0.4">
      <c r="A805" s="1" t="s">
        <v>138</v>
      </c>
      <c r="B805" s="1" t="s">
        <v>83</v>
      </c>
      <c r="C805" s="1" t="s">
        <v>82</v>
      </c>
      <c r="D805" s="59" t="s">
        <v>433</v>
      </c>
      <c r="E805" s="1" t="s">
        <v>434</v>
      </c>
      <c r="F805" s="1" t="s">
        <v>127</v>
      </c>
      <c r="G805" s="1" t="s">
        <v>29</v>
      </c>
      <c r="H805" s="1">
        <v>5000</v>
      </c>
      <c r="J805" s="51">
        <v>45426</v>
      </c>
      <c r="L805" s="51">
        <v>45351</v>
      </c>
      <c r="M805" s="1" t="s">
        <v>139</v>
      </c>
      <c r="N805" s="1">
        <v>-1</v>
      </c>
      <c r="O805" s="59">
        <v>579</v>
      </c>
      <c r="P805" s="1">
        <v>-28950</v>
      </c>
      <c r="Q805" s="1">
        <v>-2.97</v>
      </c>
      <c r="R805" s="1" t="s">
        <v>83</v>
      </c>
      <c r="T805" s="50">
        <f>IF(ISNUMBER(VLOOKUP(U805,Blotter!B:C,2,0)),VLOOKUP(U805,Blotter!B:C,2,0),"")</f>
        <v>43</v>
      </c>
      <c r="U805" s="49" t="str">
        <f t="shared" si="852"/>
        <v>ZWK4</v>
      </c>
      <c r="V805" s="49">
        <f t="shared" si="853"/>
        <v>-1</v>
      </c>
      <c r="W805" s="49">
        <f t="shared" si="854"/>
        <v>579</v>
      </c>
      <c r="X805" s="49">
        <f t="shared" si="855"/>
        <v>-2.97</v>
      </c>
    </row>
    <row r="806" spans="1:24" x14ac:dyDescent="0.4">
      <c r="A806" s="1" t="s">
        <v>138</v>
      </c>
      <c r="B806" s="1" t="s">
        <v>83</v>
      </c>
      <c r="C806" s="1" t="s">
        <v>82</v>
      </c>
      <c r="D806" s="59" t="s">
        <v>433</v>
      </c>
      <c r="E806" s="1" t="s">
        <v>434</v>
      </c>
      <c r="F806" s="1" t="s">
        <v>127</v>
      </c>
      <c r="G806" s="1" t="s">
        <v>29</v>
      </c>
      <c r="H806" s="1">
        <v>5000</v>
      </c>
      <c r="J806" s="51">
        <v>45426</v>
      </c>
      <c r="L806" s="51">
        <v>45351</v>
      </c>
      <c r="M806" s="1" t="s">
        <v>139</v>
      </c>
      <c r="N806" s="1">
        <v>-1</v>
      </c>
      <c r="O806" s="59">
        <v>579</v>
      </c>
      <c r="P806" s="1">
        <v>-28950</v>
      </c>
      <c r="Q806" s="1">
        <v>-2.97</v>
      </c>
      <c r="R806" s="1" t="s">
        <v>83</v>
      </c>
      <c r="T806" s="50">
        <f>IF(ISNUMBER(VLOOKUP(U806,Blotter!B:C,2,0)),VLOOKUP(U806,Blotter!B:C,2,0),"")</f>
        <v>43</v>
      </c>
      <c r="U806" s="49" t="str">
        <f t="shared" si="852"/>
        <v>ZWK4</v>
      </c>
      <c r="V806" s="49">
        <f t="shared" si="853"/>
        <v>-1</v>
      </c>
      <c r="W806" s="49">
        <f t="shared" si="854"/>
        <v>579</v>
      </c>
      <c r="X806" s="49">
        <f t="shared" si="855"/>
        <v>-2.97</v>
      </c>
    </row>
    <row r="807" spans="1:24" x14ac:dyDescent="0.4">
      <c r="A807" s="1" t="s">
        <v>138</v>
      </c>
      <c r="B807" s="1" t="s">
        <v>83</v>
      </c>
      <c r="C807" s="1" t="s">
        <v>82</v>
      </c>
      <c r="D807" s="59" t="s">
        <v>433</v>
      </c>
      <c r="E807" s="1" t="s">
        <v>434</v>
      </c>
      <c r="F807" s="1" t="s">
        <v>127</v>
      </c>
      <c r="G807" s="1" t="s">
        <v>29</v>
      </c>
      <c r="H807" s="1">
        <v>5000</v>
      </c>
      <c r="J807" s="51">
        <v>45426</v>
      </c>
      <c r="L807" s="51">
        <v>45351</v>
      </c>
      <c r="M807" s="1" t="s">
        <v>139</v>
      </c>
      <c r="N807" s="1">
        <v>-1</v>
      </c>
      <c r="O807" s="59">
        <v>579</v>
      </c>
      <c r="P807" s="1">
        <v>-28950</v>
      </c>
      <c r="Q807" s="1">
        <v>-2.97</v>
      </c>
      <c r="R807" s="1" t="s">
        <v>83</v>
      </c>
      <c r="T807" s="50">
        <f>IF(ISNUMBER(VLOOKUP(U807,Blotter!B:C,2,0)),VLOOKUP(U807,Blotter!B:C,2,0),"")</f>
        <v>43</v>
      </c>
      <c r="U807" s="49" t="str">
        <f t="shared" si="852"/>
        <v>ZWK4</v>
      </c>
      <c r="V807" s="49">
        <f t="shared" si="853"/>
        <v>-1</v>
      </c>
      <c r="W807" s="49">
        <f t="shared" si="854"/>
        <v>579</v>
      </c>
      <c r="X807" s="49">
        <f t="shared" si="855"/>
        <v>-2.97</v>
      </c>
    </row>
    <row r="808" spans="1:24" x14ac:dyDescent="0.4">
      <c r="A808" s="1" t="s">
        <v>138</v>
      </c>
      <c r="B808" s="1" t="s">
        <v>83</v>
      </c>
      <c r="C808" s="1" t="s">
        <v>82</v>
      </c>
      <c r="D808" s="59" t="s">
        <v>433</v>
      </c>
      <c r="E808" s="1" t="s">
        <v>434</v>
      </c>
      <c r="F808" s="1" t="s">
        <v>127</v>
      </c>
      <c r="G808" s="1" t="s">
        <v>29</v>
      </c>
      <c r="H808" s="1">
        <v>5000</v>
      </c>
      <c r="J808" s="51">
        <v>45426</v>
      </c>
      <c r="L808" s="51">
        <v>45351</v>
      </c>
      <c r="M808" s="1" t="s">
        <v>139</v>
      </c>
      <c r="N808" s="1">
        <v>-1</v>
      </c>
      <c r="O808" s="59">
        <v>579</v>
      </c>
      <c r="P808" s="1">
        <v>-28950</v>
      </c>
      <c r="Q808" s="1">
        <v>-2.97</v>
      </c>
      <c r="R808" s="1" t="s">
        <v>83</v>
      </c>
      <c r="T808" s="50">
        <f>IF(ISNUMBER(VLOOKUP(U808,Blotter!B:C,2,0)),VLOOKUP(U808,Blotter!B:C,2,0),"")</f>
        <v>43</v>
      </c>
      <c r="U808" s="49" t="str">
        <f t="shared" si="852"/>
        <v>ZWK4</v>
      </c>
      <c r="V808" s="49">
        <f t="shared" si="853"/>
        <v>-1</v>
      </c>
      <c r="W808" s="49">
        <f t="shared" si="854"/>
        <v>579</v>
      </c>
      <c r="X808" s="49">
        <f t="shared" si="855"/>
        <v>-2.97</v>
      </c>
    </row>
    <row r="809" spans="1:24" x14ac:dyDescent="0.4">
      <c r="A809" s="1" t="s">
        <v>138</v>
      </c>
      <c r="B809" s="1" t="s">
        <v>83</v>
      </c>
      <c r="C809" s="1" t="s">
        <v>82</v>
      </c>
      <c r="D809" s="59" t="s">
        <v>433</v>
      </c>
      <c r="E809" s="1" t="s">
        <v>434</v>
      </c>
      <c r="F809" s="1" t="s">
        <v>127</v>
      </c>
      <c r="G809" s="1" t="s">
        <v>29</v>
      </c>
      <c r="H809" s="1">
        <v>5000</v>
      </c>
      <c r="J809" s="51">
        <v>45426</v>
      </c>
      <c r="L809" s="51">
        <v>45351</v>
      </c>
      <c r="M809" s="1" t="s">
        <v>139</v>
      </c>
      <c r="N809" s="1">
        <v>-6</v>
      </c>
      <c r="O809" s="59">
        <v>579</v>
      </c>
      <c r="P809" s="1">
        <v>-173700</v>
      </c>
      <c r="Q809" s="1">
        <v>-17.82</v>
      </c>
      <c r="R809" s="1" t="s">
        <v>83</v>
      </c>
      <c r="T809" s="50">
        <f>IF(ISNUMBER(VLOOKUP(U809,Blotter!B:C,2,0)),VLOOKUP(U809,Blotter!B:C,2,0),"")</f>
        <v>43</v>
      </c>
      <c r="U809" s="49" t="str">
        <f t="shared" si="852"/>
        <v>ZWK4</v>
      </c>
      <c r="V809" s="49">
        <f t="shared" si="853"/>
        <v>-6</v>
      </c>
      <c r="W809" s="49">
        <f t="shared" si="854"/>
        <v>579</v>
      </c>
      <c r="X809" s="49">
        <f t="shared" si="855"/>
        <v>-17.82</v>
      </c>
    </row>
    <row r="810" spans="1:24" x14ac:dyDescent="0.4">
      <c r="A810" s="1" t="s">
        <v>138</v>
      </c>
      <c r="B810" s="1" t="s">
        <v>83</v>
      </c>
      <c r="C810" s="1" t="s">
        <v>82</v>
      </c>
      <c r="D810" s="59" t="s">
        <v>433</v>
      </c>
      <c r="E810" s="1" t="s">
        <v>434</v>
      </c>
      <c r="F810" s="1" t="s">
        <v>127</v>
      </c>
      <c r="G810" s="1" t="s">
        <v>29</v>
      </c>
      <c r="H810" s="1">
        <v>5000</v>
      </c>
      <c r="J810" s="51">
        <v>45426</v>
      </c>
      <c r="L810" s="51">
        <v>45351</v>
      </c>
      <c r="M810" s="1" t="s">
        <v>139</v>
      </c>
      <c r="N810" s="1">
        <v>-10</v>
      </c>
      <c r="O810" s="59">
        <v>579</v>
      </c>
      <c r="P810" s="1">
        <v>-289500</v>
      </c>
      <c r="Q810" s="1">
        <v>-29.7</v>
      </c>
      <c r="R810" s="1" t="s">
        <v>83</v>
      </c>
      <c r="T810" s="50">
        <f>IF(ISNUMBER(VLOOKUP(U810,Blotter!B:C,2,0)),VLOOKUP(U810,Blotter!B:C,2,0),"")</f>
        <v>43</v>
      </c>
      <c r="U810" s="49" t="str">
        <f t="shared" si="852"/>
        <v>ZWK4</v>
      </c>
      <c r="V810" s="49">
        <f t="shared" si="853"/>
        <v>-10</v>
      </c>
      <c r="W810" s="49">
        <f t="shared" si="854"/>
        <v>579</v>
      </c>
      <c r="X810" s="49">
        <f t="shared" si="855"/>
        <v>-29.7</v>
      </c>
    </row>
    <row r="811" spans="1:24" x14ac:dyDescent="0.4">
      <c r="A811" s="1" t="s">
        <v>138</v>
      </c>
      <c r="B811" s="1" t="s">
        <v>83</v>
      </c>
      <c r="C811" s="1" t="s">
        <v>117</v>
      </c>
      <c r="D811" s="1" t="s">
        <v>407</v>
      </c>
      <c r="E811" s="1" t="s">
        <v>409</v>
      </c>
      <c r="F811" s="1" t="s">
        <v>408</v>
      </c>
      <c r="H811" s="1">
        <v>1</v>
      </c>
      <c r="L811" s="51">
        <v>45352</v>
      </c>
      <c r="M811" s="1" t="s">
        <v>139</v>
      </c>
      <c r="N811" s="1">
        <v>-500</v>
      </c>
      <c r="O811" s="1">
        <v>74.099999999999994</v>
      </c>
      <c r="P811" s="1">
        <v>-37050</v>
      </c>
      <c r="Q811" s="1">
        <v>-2.8794</v>
      </c>
      <c r="R811" s="1" t="s">
        <v>83</v>
      </c>
      <c r="T811" s="50">
        <f>IF(ISNUMBER(VLOOKUP(U811,Blotter!B:C,2,0)),VLOOKUP(U811,Blotter!B:C,2,0),"")</f>
        <v>40</v>
      </c>
      <c r="U811" s="49" t="str">
        <f t="shared" ref="U811:U818" si="856">D811</f>
        <v>CYTK</v>
      </c>
      <c r="V811" s="49">
        <f t="shared" ref="V811:V818" si="857">N811</f>
        <v>-500</v>
      </c>
      <c r="W811" s="49">
        <f t="shared" ref="W811:W818" si="858">O811</f>
        <v>74.099999999999994</v>
      </c>
      <c r="X811" s="49">
        <f t="shared" ref="X811:X818" si="859">Q811</f>
        <v>-2.8794</v>
      </c>
    </row>
    <row r="812" spans="1:24" x14ac:dyDescent="0.4">
      <c r="A812" s="1" t="s">
        <v>138</v>
      </c>
      <c r="B812" s="1" t="s">
        <v>83</v>
      </c>
      <c r="C812" s="1" t="s">
        <v>82</v>
      </c>
      <c r="D812" s="1" t="s">
        <v>428</v>
      </c>
      <c r="E812" s="1" t="s">
        <v>430</v>
      </c>
      <c r="F812" s="1" t="s">
        <v>100</v>
      </c>
      <c r="G812" s="1" t="s">
        <v>101</v>
      </c>
      <c r="H812" s="1">
        <v>50000</v>
      </c>
      <c r="J812" s="51">
        <v>45427</v>
      </c>
      <c r="L812" s="51">
        <v>45352</v>
      </c>
      <c r="M812" s="1" t="s">
        <v>135</v>
      </c>
      <c r="N812" s="1">
        <v>1</v>
      </c>
      <c r="O812" s="59">
        <v>98</v>
      </c>
      <c r="P812" s="1">
        <v>49000</v>
      </c>
      <c r="Q812" s="1">
        <v>-2.97</v>
      </c>
      <c r="R812" s="1" t="s">
        <v>83</v>
      </c>
      <c r="T812" s="50">
        <f>IF(ISNUMBER(VLOOKUP(U812,Blotter!B:C,2,0)),VLOOKUP(U812,Blotter!B:C,2,0),"")</f>
        <v>46</v>
      </c>
      <c r="U812" s="49" t="str">
        <f t="shared" si="856"/>
        <v>CTK4</v>
      </c>
      <c r="V812" s="49">
        <f t="shared" si="857"/>
        <v>1</v>
      </c>
      <c r="W812" s="49">
        <f t="shared" si="858"/>
        <v>98</v>
      </c>
      <c r="X812" s="49">
        <f t="shared" si="859"/>
        <v>-2.97</v>
      </c>
    </row>
    <row r="813" spans="1:24" x14ac:dyDescent="0.4">
      <c r="A813" s="1" t="s">
        <v>138</v>
      </c>
      <c r="B813" s="1" t="s">
        <v>83</v>
      </c>
      <c r="C813" s="1" t="s">
        <v>82</v>
      </c>
      <c r="D813" s="1" t="s">
        <v>428</v>
      </c>
      <c r="E813" s="1" t="s">
        <v>430</v>
      </c>
      <c r="F813" s="1" t="s">
        <v>100</v>
      </c>
      <c r="G813" s="1" t="s">
        <v>101</v>
      </c>
      <c r="H813" s="1">
        <v>50000</v>
      </c>
      <c r="J813" s="51">
        <v>45427</v>
      </c>
      <c r="L813" s="51">
        <v>45352</v>
      </c>
      <c r="M813" s="1" t="s">
        <v>135</v>
      </c>
      <c r="N813" s="1">
        <v>4</v>
      </c>
      <c r="O813" s="59">
        <v>98</v>
      </c>
      <c r="P813" s="1">
        <v>196000</v>
      </c>
      <c r="Q813" s="1">
        <v>-11.88</v>
      </c>
      <c r="R813" s="1" t="s">
        <v>83</v>
      </c>
      <c r="T813" s="50">
        <f>IF(ISNUMBER(VLOOKUP(U813,Blotter!B:C,2,0)),VLOOKUP(U813,Blotter!B:C,2,0),"")</f>
        <v>46</v>
      </c>
      <c r="U813" s="49" t="str">
        <f t="shared" si="856"/>
        <v>CTK4</v>
      </c>
      <c r="V813" s="49">
        <f t="shared" si="857"/>
        <v>4</v>
      </c>
      <c r="W813" s="49">
        <f t="shared" si="858"/>
        <v>98</v>
      </c>
      <c r="X813" s="49">
        <f t="shared" si="859"/>
        <v>-11.88</v>
      </c>
    </row>
    <row r="814" spans="1:24" x14ac:dyDescent="0.4">
      <c r="A814" s="1" t="s">
        <v>138</v>
      </c>
      <c r="B814" s="1" t="s">
        <v>83</v>
      </c>
      <c r="C814" s="1" t="s">
        <v>82</v>
      </c>
      <c r="D814" s="1" t="s">
        <v>428</v>
      </c>
      <c r="E814" s="1" t="s">
        <v>430</v>
      </c>
      <c r="F814" s="1" t="s">
        <v>100</v>
      </c>
      <c r="G814" s="1" t="s">
        <v>101</v>
      </c>
      <c r="H814" s="1">
        <v>50000</v>
      </c>
      <c r="J814" s="51">
        <v>45427</v>
      </c>
      <c r="L814" s="51">
        <v>45352</v>
      </c>
      <c r="M814" s="1" t="s">
        <v>135</v>
      </c>
      <c r="N814" s="1">
        <v>5</v>
      </c>
      <c r="O814" s="59">
        <v>97.4</v>
      </c>
      <c r="P814" s="1">
        <v>243500</v>
      </c>
      <c r="Q814" s="1">
        <v>-14.85</v>
      </c>
      <c r="R814" s="1" t="s">
        <v>83</v>
      </c>
      <c r="T814" s="50">
        <f>IF(ISNUMBER(VLOOKUP(U814,Blotter!B:C,2,0)),VLOOKUP(U814,Blotter!B:C,2,0),"")</f>
        <v>46</v>
      </c>
      <c r="U814" s="49" t="str">
        <f t="shared" si="856"/>
        <v>CTK4</v>
      </c>
      <c r="V814" s="49">
        <f t="shared" si="857"/>
        <v>5</v>
      </c>
      <c r="W814" s="49">
        <f t="shared" si="858"/>
        <v>97.4</v>
      </c>
      <c r="X814" s="49">
        <f t="shared" si="859"/>
        <v>-14.85</v>
      </c>
    </row>
    <row r="815" spans="1:24" x14ac:dyDescent="0.4">
      <c r="A815" s="1" t="s">
        <v>138</v>
      </c>
      <c r="B815" s="1" t="s">
        <v>83</v>
      </c>
      <c r="C815" s="1" t="s">
        <v>82</v>
      </c>
      <c r="D815" s="59" t="s">
        <v>433</v>
      </c>
      <c r="E815" s="1" t="s">
        <v>434</v>
      </c>
      <c r="F815" s="1" t="s">
        <v>127</v>
      </c>
      <c r="G815" s="1" t="s">
        <v>29</v>
      </c>
      <c r="H815" s="1">
        <v>5000</v>
      </c>
      <c r="J815" s="51">
        <v>45426</v>
      </c>
      <c r="L815" s="51">
        <v>45352</v>
      </c>
      <c r="M815" s="1" t="s">
        <v>135</v>
      </c>
      <c r="N815" s="1">
        <v>2</v>
      </c>
      <c r="O815" s="59">
        <v>567</v>
      </c>
      <c r="P815" s="1">
        <v>56700</v>
      </c>
      <c r="Q815" s="1">
        <v>-5.94</v>
      </c>
      <c r="R815" s="1" t="s">
        <v>83</v>
      </c>
      <c r="T815" s="50">
        <f>IF(ISNUMBER(VLOOKUP(U815,Blotter!B:C,2,0)),VLOOKUP(U815,Blotter!B:C,2,0),"")</f>
        <v>43</v>
      </c>
      <c r="U815" s="49" t="str">
        <f t="shared" si="856"/>
        <v>ZWK4</v>
      </c>
      <c r="V815" s="49">
        <f t="shared" si="857"/>
        <v>2</v>
      </c>
      <c r="W815" s="49">
        <f t="shared" si="858"/>
        <v>567</v>
      </c>
      <c r="X815" s="49">
        <f t="shared" si="859"/>
        <v>-5.94</v>
      </c>
    </row>
    <row r="816" spans="1:24" x14ac:dyDescent="0.4">
      <c r="A816" s="1" t="s">
        <v>138</v>
      </c>
      <c r="B816" s="1" t="s">
        <v>83</v>
      </c>
      <c r="C816" s="1" t="s">
        <v>82</v>
      </c>
      <c r="D816" s="59" t="s">
        <v>433</v>
      </c>
      <c r="E816" s="1" t="s">
        <v>434</v>
      </c>
      <c r="F816" s="1" t="s">
        <v>127</v>
      </c>
      <c r="G816" s="1" t="s">
        <v>29</v>
      </c>
      <c r="H816" s="1">
        <v>5000</v>
      </c>
      <c r="J816" s="51">
        <v>45426</v>
      </c>
      <c r="L816" s="51">
        <v>45352</v>
      </c>
      <c r="M816" s="1" t="s">
        <v>135</v>
      </c>
      <c r="N816" s="1">
        <v>4</v>
      </c>
      <c r="O816" s="59">
        <v>567</v>
      </c>
      <c r="P816" s="1">
        <v>113400</v>
      </c>
      <c r="Q816" s="1">
        <v>-11.88</v>
      </c>
      <c r="R816" s="1" t="s">
        <v>83</v>
      </c>
      <c r="T816" s="50">
        <f>IF(ISNUMBER(VLOOKUP(U816,Blotter!B:C,2,0)),VLOOKUP(U816,Blotter!B:C,2,0),"")</f>
        <v>43</v>
      </c>
      <c r="U816" s="49" t="str">
        <f t="shared" si="856"/>
        <v>ZWK4</v>
      </c>
      <c r="V816" s="49">
        <f t="shared" si="857"/>
        <v>4</v>
      </c>
      <c r="W816" s="49">
        <f t="shared" si="858"/>
        <v>567</v>
      </c>
      <c r="X816" s="49">
        <f t="shared" si="859"/>
        <v>-11.88</v>
      </c>
    </row>
    <row r="817" spans="1:24" x14ac:dyDescent="0.4">
      <c r="A817" s="1" t="s">
        <v>138</v>
      </c>
      <c r="B817" s="1" t="s">
        <v>83</v>
      </c>
      <c r="C817" s="1" t="s">
        <v>82</v>
      </c>
      <c r="D817" s="59" t="s">
        <v>433</v>
      </c>
      <c r="E817" s="1" t="s">
        <v>434</v>
      </c>
      <c r="F817" s="1" t="s">
        <v>127</v>
      </c>
      <c r="G817" s="1" t="s">
        <v>29</v>
      </c>
      <c r="H817" s="1">
        <v>5000</v>
      </c>
      <c r="J817" s="51">
        <v>45426</v>
      </c>
      <c r="L817" s="51">
        <v>45352</v>
      </c>
      <c r="M817" s="1" t="s">
        <v>135</v>
      </c>
      <c r="N817" s="1">
        <v>3</v>
      </c>
      <c r="O817" s="59">
        <v>567</v>
      </c>
      <c r="P817" s="1">
        <v>85050</v>
      </c>
      <c r="Q817" s="1">
        <v>-8.91</v>
      </c>
      <c r="R817" s="1" t="s">
        <v>83</v>
      </c>
      <c r="T817" s="50">
        <f>IF(ISNUMBER(VLOOKUP(U817,Blotter!B:C,2,0)),VLOOKUP(U817,Blotter!B:C,2,0),"")</f>
        <v>43</v>
      </c>
      <c r="U817" s="49" t="str">
        <f t="shared" si="856"/>
        <v>ZWK4</v>
      </c>
      <c r="V817" s="49">
        <f t="shared" si="857"/>
        <v>3</v>
      </c>
      <c r="W817" s="49">
        <f t="shared" si="858"/>
        <v>567</v>
      </c>
      <c r="X817" s="49">
        <f t="shared" si="859"/>
        <v>-8.91</v>
      </c>
    </row>
    <row r="818" spans="1:24" x14ac:dyDescent="0.4">
      <c r="A818" s="1" t="s">
        <v>138</v>
      </c>
      <c r="B818" s="1" t="s">
        <v>83</v>
      </c>
      <c r="C818" s="1" t="s">
        <v>82</v>
      </c>
      <c r="D818" s="59" t="s">
        <v>433</v>
      </c>
      <c r="E818" s="1" t="s">
        <v>434</v>
      </c>
      <c r="F818" s="1" t="s">
        <v>127</v>
      </c>
      <c r="G818" s="1" t="s">
        <v>29</v>
      </c>
      <c r="H818" s="1">
        <v>5000</v>
      </c>
      <c r="J818" s="51">
        <v>45426</v>
      </c>
      <c r="L818" s="51">
        <v>45352</v>
      </c>
      <c r="M818" s="1" t="s">
        <v>135</v>
      </c>
      <c r="N818" s="1">
        <v>1</v>
      </c>
      <c r="O818" s="59">
        <v>567</v>
      </c>
      <c r="P818" s="1">
        <v>28350</v>
      </c>
      <c r="Q818" s="1">
        <v>-2.97</v>
      </c>
      <c r="R818" s="1" t="s">
        <v>83</v>
      </c>
      <c r="T818" s="50">
        <f>IF(ISNUMBER(VLOOKUP(U818,Blotter!B:C,2,0)),VLOOKUP(U818,Blotter!B:C,2,0),"")</f>
        <v>43</v>
      </c>
      <c r="U818" s="49" t="str">
        <f t="shared" si="856"/>
        <v>ZWK4</v>
      </c>
      <c r="V818" s="49">
        <f t="shared" si="857"/>
        <v>1</v>
      </c>
      <c r="W818" s="49">
        <f t="shared" si="858"/>
        <v>567</v>
      </c>
      <c r="X818" s="49">
        <f t="shared" si="859"/>
        <v>-2.97</v>
      </c>
    </row>
    <row r="819" spans="1:24" x14ac:dyDescent="0.4">
      <c r="A819" s="1" t="s">
        <v>138</v>
      </c>
      <c r="B819" s="1" t="s">
        <v>83</v>
      </c>
      <c r="C819" s="1" t="s">
        <v>117</v>
      </c>
      <c r="D819" s="1" t="s">
        <v>407</v>
      </c>
      <c r="E819" s="1" t="s">
        <v>409</v>
      </c>
      <c r="F819" s="1" t="s">
        <v>408</v>
      </c>
      <c r="H819" s="1">
        <v>1</v>
      </c>
      <c r="L819" s="51">
        <v>45355</v>
      </c>
      <c r="M819" s="1" t="s">
        <v>135</v>
      </c>
      <c r="N819" s="1">
        <v>500</v>
      </c>
      <c r="O819" s="1">
        <v>71</v>
      </c>
      <c r="P819" s="1">
        <v>35500</v>
      </c>
      <c r="Q819" s="1">
        <v>-2.5</v>
      </c>
      <c r="R819" s="1" t="s">
        <v>83</v>
      </c>
      <c r="T819" s="50">
        <f>IF(ISNUMBER(VLOOKUP(U819,Blotter!B:C,2,0)),VLOOKUP(U819,Blotter!B:C,2,0),"")</f>
        <v>40</v>
      </c>
      <c r="U819" s="49" t="str">
        <f t="shared" ref="U819:U821" si="860">D819</f>
        <v>CYTK</v>
      </c>
      <c r="V819" s="49">
        <f t="shared" ref="V819:V821" si="861">N819</f>
        <v>500</v>
      </c>
      <c r="W819" s="49">
        <f t="shared" ref="W819:W821" si="862">O819</f>
        <v>71</v>
      </c>
      <c r="X819" s="49">
        <f t="shared" ref="X819:X821" si="863">Q819</f>
        <v>-2.5</v>
      </c>
    </row>
    <row r="820" spans="1:24" x14ac:dyDescent="0.4">
      <c r="A820" s="1" t="s">
        <v>138</v>
      </c>
      <c r="B820" s="1" t="s">
        <v>83</v>
      </c>
      <c r="C820" s="1" t="s">
        <v>117</v>
      </c>
      <c r="D820" s="1" t="s">
        <v>407</v>
      </c>
      <c r="E820" s="1" t="s">
        <v>409</v>
      </c>
      <c r="F820" s="1" t="s">
        <v>408</v>
      </c>
      <c r="H820" s="1">
        <v>1</v>
      </c>
      <c r="L820" s="51">
        <v>45355</v>
      </c>
      <c r="M820" s="1" t="s">
        <v>135</v>
      </c>
      <c r="N820" s="1">
        <v>301</v>
      </c>
      <c r="O820" s="1">
        <v>69.45</v>
      </c>
      <c r="P820" s="1">
        <v>20904.45</v>
      </c>
      <c r="Q820" s="1">
        <v>-1.5049999999999999</v>
      </c>
      <c r="R820" s="1" t="s">
        <v>83</v>
      </c>
      <c r="T820" s="50">
        <f>IF(ISNUMBER(VLOOKUP(U820,Blotter!B:C,2,0)),VLOOKUP(U820,Blotter!B:C,2,0),"")</f>
        <v>40</v>
      </c>
      <c r="U820" s="49" t="str">
        <f t="shared" si="860"/>
        <v>CYTK</v>
      </c>
      <c r="V820" s="49">
        <f t="shared" si="861"/>
        <v>301</v>
      </c>
      <c r="W820" s="49">
        <f t="shared" si="862"/>
        <v>69.45</v>
      </c>
      <c r="X820" s="49">
        <f t="shared" si="863"/>
        <v>-1.5049999999999999</v>
      </c>
    </row>
    <row r="821" spans="1:24" x14ac:dyDescent="0.4">
      <c r="A821" s="1" t="s">
        <v>138</v>
      </c>
      <c r="B821" s="1" t="s">
        <v>83</v>
      </c>
      <c r="C821" s="1" t="s">
        <v>117</v>
      </c>
      <c r="D821" s="1" t="s">
        <v>407</v>
      </c>
      <c r="E821" s="1" t="s">
        <v>409</v>
      </c>
      <c r="F821" s="1" t="s">
        <v>408</v>
      </c>
      <c r="H821" s="1">
        <v>1</v>
      </c>
      <c r="L821" s="51">
        <v>45355</v>
      </c>
      <c r="M821" s="1" t="s">
        <v>135</v>
      </c>
      <c r="N821" s="1">
        <v>199</v>
      </c>
      <c r="O821" s="1">
        <v>68.599999999999994</v>
      </c>
      <c r="P821" s="1">
        <v>13651.4</v>
      </c>
      <c r="Q821" s="1">
        <v>-1</v>
      </c>
      <c r="R821" s="1" t="s">
        <v>83</v>
      </c>
      <c r="T821" s="50">
        <f>IF(ISNUMBER(VLOOKUP(U821,Blotter!B:C,2,0)),VLOOKUP(U821,Blotter!B:C,2,0),"")</f>
        <v>40</v>
      </c>
      <c r="U821" s="49" t="str">
        <f t="shared" si="860"/>
        <v>CYTK</v>
      </c>
      <c r="V821" s="49">
        <f t="shared" si="861"/>
        <v>199</v>
      </c>
      <c r="W821" s="49">
        <f t="shared" si="862"/>
        <v>68.599999999999994</v>
      </c>
      <c r="X821" s="49">
        <f t="shared" si="863"/>
        <v>-1</v>
      </c>
    </row>
    <row r="822" spans="1:24" x14ac:dyDescent="0.4">
      <c r="A822" s="1" t="s">
        <v>138</v>
      </c>
      <c r="B822" s="1" t="s">
        <v>83</v>
      </c>
      <c r="C822" s="1" t="s">
        <v>82</v>
      </c>
      <c r="D822" s="1" t="s">
        <v>438</v>
      </c>
      <c r="E822" s="1" t="s">
        <v>440</v>
      </c>
      <c r="F822" s="1" t="s">
        <v>93</v>
      </c>
      <c r="G822" s="1" t="s">
        <v>24</v>
      </c>
      <c r="H822" s="1">
        <v>1000</v>
      </c>
      <c r="J822" s="51">
        <v>45371</v>
      </c>
      <c r="L822" s="51">
        <v>45357</v>
      </c>
      <c r="M822" s="1" t="s">
        <v>139</v>
      </c>
      <c r="N822" s="1">
        <v>-4</v>
      </c>
      <c r="O822" s="1">
        <v>79.55</v>
      </c>
      <c r="P822" s="1">
        <v>-318200</v>
      </c>
      <c r="Q822" s="1">
        <v>-9.48</v>
      </c>
      <c r="R822" s="1" t="s">
        <v>83</v>
      </c>
      <c r="T822" s="50">
        <f>IF(ISNUMBER(VLOOKUP(U822,Blotter!B:C,2,0)),VLOOKUP(U822,Blotter!B:C,2,0),"")</f>
        <v>47</v>
      </c>
      <c r="U822" s="49" t="str">
        <f t="shared" ref="U822:U832" si="864">D822</f>
        <v>CLJ4</v>
      </c>
      <c r="V822" s="49">
        <f t="shared" ref="V822:V832" si="865">N822</f>
        <v>-4</v>
      </c>
      <c r="W822" s="49">
        <f t="shared" ref="W822:W832" si="866">O822</f>
        <v>79.55</v>
      </c>
      <c r="X822" s="49">
        <f t="shared" ref="X822:X832" si="867">Q822</f>
        <v>-9.48</v>
      </c>
    </row>
    <row r="823" spans="1:24" x14ac:dyDescent="0.4">
      <c r="A823" s="1" t="s">
        <v>138</v>
      </c>
      <c r="B823" s="1" t="s">
        <v>83</v>
      </c>
      <c r="C823" s="1" t="s">
        <v>82</v>
      </c>
      <c r="D823" s="1" t="s">
        <v>428</v>
      </c>
      <c r="E823" s="1" t="s">
        <v>430</v>
      </c>
      <c r="F823" s="1" t="s">
        <v>100</v>
      </c>
      <c r="G823" s="1" t="s">
        <v>101</v>
      </c>
      <c r="H823" s="1">
        <v>50000</v>
      </c>
      <c r="J823" s="51">
        <v>45427</v>
      </c>
      <c r="L823" s="51">
        <v>45357</v>
      </c>
      <c r="M823" s="1" t="s">
        <v>139</v>
      </c>
      <c r="N823" s="1">
        <v>-1</v>
      </c>
      <c r="O823" s="59">
        <v>95.75</v>
      </c>
      <c r="P823" s="1">
        <v>-47875</v>
      </c>
      <c r="Q823" s="1">
        <v>-2.97</v>
      </c>
      <c r="R823" s="1" t="s">
        <v>83</v>
      </c>
      <c r="T823" s="50">
        <f>IF(ISNUMBER(VLOOKUP(U823,Blotter!B:C,2,0)),VLOOKUP(U823,Blotter!B:C,2,0),"")</f>
        <v>46</v>
      </c>
      <c r="U823" s="49" t="str">
        <f t="shared" si="864"/>
        <v>CTK4</v>
      </c>
      <c r="V823" s="49">
        <f t="shared" si="865"/>
        <v>-1</v>
      </c>
      <c r="W823" s="49">
        <f t="shared" si="866"/>
        <v>95.75</v>
      </c>
      <c r="X823" s="49">
        <f t="shared" si="867"/>
        <v>-2.97</v>
      </c>
    </row>
    <row r="824" spans="1:24" x14ac:dyDescent="0.4">
      <c r="A824" s="1" t="s">
        <v>138</v>
      </c>
      <c r="B824" s="1" t="s">
        <v>83</v>
      </c>
      <c r="C824" s="1" t="s">
        <v>82</v>
      </c>
      <c r="D824" s="1" t="s">
        <v>428</v>
      </c>
      <c r="E824" s="1" t="s">
        <v>430</v>
      </c>
      <c r="F824" s="1" t="s">
        <v>100</v>
      </c>
      <c r="G824" s="1" t="s">
        <v>101</v>
      </c>
      <c r="H824" s="1">
        <v>50000</v>
      </c>
      <c r="J824" s="51">
        <v>45427</v>
      </c>
      <c r="L824" s="51">
        <v>45357</v>
      </c>
      <c r="M824" s="1" t="s">
        <v>139</v>
      </c>
      <c r="N824" s="1">
        <v>-1</v>
      </c>
      <c r="O824" s="59">
        <v>95.75</v>
      </c>
      <c r="P824" s="1">
        <v>-47875</v>
      </c>
      <c r="Q824" s="1">
        <v>-2.97</v>
      </c>
      <c r="R824" s="1" t="s">
        <v>83</v>
      </c>
      <c r="T824" s="50">
        <f>IF(ISNUMBER(VLOOKUP(U824,Blotter!B:C,2,0)),VLOOKUP(U824,Blotter!B:C,2,0),"")</f>
        <v>46</v>
      </c>
      <c r="U824" s="49" t="str">
        <f t="shared" si="864"/>
        <v>CTK4</v>
      </c>
      <c r="V824" s="49">
        <f t="shared" si="865"/>
        <v>-1</v>
      </c>
      <c r="W824" s="49">
        <f t="shared" si="866"/>
        <v>95.75</v>
      </c>
      <c r="X824" s="49">
        <f t="shared" si="867"/>
        <v>-2.97</v>
      </c>
    </row>
    <row r="825" spans="1:24" x14ac:dyDescent="0.4">
      <c r="A825" s="1" t="s">
        <v>138</v>
      </c>
      <c r="B825" s="1" t="s">
        <v>83</v>
      </c>
      <c r="C825" s="1" t="s">
        <v>82</v>
      </c>
      <c r="D825" s="1" t="s">
        <v>428</v>
      </c>
      <c r="E825" s="1" t="s">
        <v>430</v>
      </c>
      <c r="F825" s="1" t="s">
        <v>100</v>
      </c>
      <c r="G825" s="1" t="s">
        <v>101</v>
      </c>
      <c r="H825" s="1">
        <v>50000</v>
      </c>
      <c r="J825" s="51">
        <v>45427</v>
      </c>
      <c r="L825" s="51">
        <v>45357</v>
      </c>
      <c r="M825" s="1" t="s">
        <v>139</v>
      </c>
      <c r="N825" s="1">
        <v>-1</v>
      </c>
      <c r="O825" s="59">
        <v>95.75</v>
      </c>
      <c r="P825" s="1">
        <v>-47875</v>
      </c>
      <c r="Q825" s="1">
        <v>-2.97</v>
      </c>
      <c r="R825" s="1" t="s">
        <v>83</v>
      </c>
      <c r="T825" s="50">
        <f>IF(ISNUMBER(VLOOKUP(U825,Blotter!B:C,2,0)),VLOOKUP(U825,Blotter!B:C,2,0),"")</f>
        <v>46</v>
      </c>
      <c r="U825" s="49" t="str">
        <f t="shared" si="864"/>
        <v>CTK4</v>
      </c>
      <c r="V825" s="49">
        <f t="shared" si="865"/>
        <v>-1</v>
      </c>
      <c r="W825" s="49">
        <f t="shared" si="866"/>
        <v>95.75</v>
      </c>
      <c r="X825" s="49">
        <f t="shared" si="867"/>
        <v>-2.97</v>
      </c>
    </row>
    <row r="826" spans="1:24" x14ac:dyDescent="0.4">
      <c r="A826" s="1" t="s">
        <v>138</v>
      </c>
      <c r="B826" s="1" t="s">
        <v>83</v>
      </c>
      <c r="C826" s="1" t="s">
        <v>82</v>
      </c>
      <c r="D826" s="1" t="s">
        <v>428</v>
      </c>
      <c r="E826" s="1" t="s">
        <v>430</v>
      </c>
      <c r="F826" s="1" t="s">
        <v>100</v>
      </c>
      <c r="G826" s="1" t="s">
        <v>101</v>
      </c>
      <c r="H826" s="1">
        <v>50000</v>
      </c>
      <c r="J826" s="51">
        <v>45427</v>
      </c>
      <c r="L826" s="51">
        <v>45357</v>
      </c>
      <c r="M826" s="1" t="s">
        <v>139</v>
      </c>
      <c r="N826" s="1">
        <v>-2</v>
      </c>
      <c r="O826" s="59">
        <v>95.75</v>
      </c>
      <c r="P826" s="1">
        <v>-95750</v>
      </c>
      <c r="Q826" s="1">
        <v>-5.94</v>
      </c>
      <c r="R826" s="1" t="s">
        <v>83</v>
      </c>
      <c r="T826" s="50">
        <f>IF(ISNUMBER(VLOOKUP(U826,Blotter!B:C,2,0)),VLOOKUP(U826,Blotter!B:C,2,0),"")</f>
        <v>46</v>
      </c>
      <c r="U826" s="49" t="str">
        <f t="shared" si="864"/>
        <v>CTK4</v>
      </c>
      <c r="V826" s="49">
        <f t="shared" si="865"/>
        <v>-2</v>
      </c>
      <c r="W826" s="49">
        <f t="shared" si="866"/>
        <v>95.75</v>
      </c>
      <c r="X826" s="49">
        <f t="shared" si="867"/>
        <v>-5.94</v>
      </c>
    </row>
    <row r="827" spans="1:24" x14ac:dyDescent="0.4">
      <c r="A827" s="1" t="s">
        <v>138</v>
      </c>
      <c r="B827" s="1" t="s">
        <v>83</v>
      </c>
      <c r="C827" s="1" t="s">
        <v>82</v>
      </c>
      <c r="D827" s="1" t="s">
        <v>428</v>
      </c>
      <c r="E827" s="1" t="s">
        <v>430</v>
      </c>
      <c r="F827" s="1" t="s">
        <v>100</v>
      </c>
      <c r="G827" s="1" t="s">
        <v>101</v>
      </c>
      <c r="H827" s="1">
        <v>50000</v>
      </c>
      <c r="J827" s="51">
        <v>45427</v>
      </c>
      <c r="L827" s="51">
        <v>45357</v>
      </c>
      <c r="M827" s="1" t="s">
        <v>139</v>
      </c>
      <c r="N827" s="1">
        <v>-4</v>
      </c>
      <c r="O827" s="59">
        <v>96.6</v>
      </c>
      <c r="P827" s="1">
        <v>-193200</v>
      </c>
      <c r="Q827" s="1">
        <v>-11.88</v>
      </c>
      <c r="R827" s="1" t="s">
        <v>83</v>
      </c>
      <c r="T827" s="50">
        <f>IF(ISNUMBER(VLOOKUP(U827,Blotter!B:C,2,0)),VLOOKUP(U827,Blotter!B:C,2,0),"")</f>
        <v>46</v>
      </c>
      <c r="U827" s="49" t="str">
        <f t="shared" si="864"/>
        <v>CTK4</v>
      </c>
      <c r="V827" s="49">
        <f t="shared" si="865"/>
        <v>-4</v>
      </c>
      <c r="W827" s="49">
        <f t="shared" si="866"/>
        <v>96.6</v>
      </c>
      <c r="X827" s="49">
        <f t="shared" si="867"/>
        <v>-11.88</v>
      </c>
    </row>
    <row r="828" spans="1:24" x14ac:dyDescent="0.4">
      <c r="A828" s="1" t="s">
        <v>138</v>
      </c>
      <c r="B828" s="1" t="s">
        <v>83</v>
      </c>
      <c r="C828" s="1" t="s">
        <v>82</v>
      </c>
      <c r="D828" s="1" t="s">
        <v>428</v>
      </c>
      <c r="E828" s="1" t="s">
        <v>430</v>
      </c>
      <c r="F828" s="1" t="s">
        <v>100</v>
      </c>
      <c r="G828" s="1" t="s">
        <v>101</v>
      </c>
      <c r="H828" s="1">
        <v>50000</v>
      </c>
      <c r="J828" s="51">
        <v>45427</v>
      </c>
      <c r="L828" s="51">
        <v>45357</v>
      </c>
      <c r="M828" s="1" t="s">
        <v>139</v>
      </c>
      <c r="N828" s="1">
        <v>-1</v>
      </c>
      <c r="O828" s="59">
        <v>96.6</v>
      </c>
      <c r="P828" s="1">
        <v>-48300</v>
      </c>
      <c r="Q828" s="1">
        <v>-2.97</v>
      </c>
      <c r="R828" s="1" t="s">
        <v>83</v>
      </c>
      <c r="T828" s="50">
        <f>IF(ISNUMBER(VLOOKUP(U828,Blotter!B:C,2,0)),VLOOKUP(U828,Blotter!B:C,2,0),"")</f>
        <v>46</v>
      </c>
      <c r="U828" s="49" t="str">
        <f t="shared" si="864"/>
        <v>CTK4</v>
      </c>
      <c r="V828" s="49">
        <f t="shared" si="865"/>
        <v>-1</v>
      </c>
      <c r="W828" s="49">
        <f t="shared" si="866"/>
        <v>96.6</v>
      </c>
      <c r="X828" s="49">
        <f t="shared" si="867"/>
        <v>-2.97</v>
      </c>
    </row>
    <row r="829" spans="1:24" x14ac:dyDescent="0.4">
      <c r="A829" s="1" t="s">
        <v>138</v>
      </c>
      <c r="B829" s="1" t="s">
        <v>83</v>
      </c>
      <c r="C829" s="1" t="s">
        <v>82</v>
      </c>
      <c r="D829" s="1" t="s">
        <v>431</v>
      </c>
      <c r="E829" s="1" t="s">
        <v>432</v>
      </c>
      <c r="F829" s="1" t="s">
        <v>126</v>
      </c>
      <c r="G829" s="1" t="s">
        <v>25</v>
      </c>
      <c r="H829" s="1">
        <v>25000</v>
      </c>
      <c r="J829" s="51">
        <v>45441</v>
      </c>
      <c r="L829" s="51">
        <v>45357</v>
      </c>
      <c r="M829" s="1" t="s">
        <v>139</v>
      </c>
      <c r="N829" s="1">
        <v>-1</v>
      </c>
      <c r="O829" s="1">
        <v>3.89</v>
      </c>
      <c r="P829" s="1">
        <v>-97250</v>
      </c>
      <c r="Q829" s="1">
        <v>-2.4700000000000002</v>
      </c>
      <c r="R829" s="1" t="s">
        <v>83</v>
      </c>
      <c r="T829" s="50">
        <f>IF(ISNUMBER(VLOOKUP(U829,Blotter!B:C,2,0)),VLOOKUP(U829,Blotter!B:C,2,0),"")</f>
        <v>37</v>
      </c>
      <c r="U829" s="49" t="str">
        <f t="shared" si="864"/>
        <v>HGK4</v>
      </c>
      <c r="V829" s="49">
        <f t="shared" si="865"/>
        <v>-1</v>
      </c>
      <c r="W829" s="49">
        <f t="shared" si="866"/>
        <v>3.89</v>
      </c>
      <c r="X829" s="49">
        <f t="shared" si="867"/>
        <v>-2.4700000000000002</v>
      </c>
    </row>
    <row r="830" spans="1:24" x14ac:dyDescent="0.4">
      <c r="A830" s="1" t="s">
        <v>138</v>
      </c>
      <c r="B830" s="1" t="s">
        <v>83</v>
      </c>
      <c r="C830" s="1" t="s">
        <v>82</v>
      </c>
      <c r="D830" s="1" t="s">
        <v>431</v>
      </c>
      <c r="E830" s="1" t="s">
        <v>432</v>
      </c>
      <c r="F830" s="1" t="s">
        <v>126</v>
      </c>
      <c r="G830" s="1" t="s">
        <v>25</v>
      </c>
      <c r="H830" s="1">
        <v>25000</v>
      </c>
      <c r="J830" s="51">
        <v>45441</v>
      </c>
      <c r="L830" s="51">
        <v>45357</v>
      </c>
      <c r="M830" s="1" t="s">
        <v>139</v>
      </c>
      <c r="N830" s="1">
        <v>-2</v>
      </c>
      <c r="O830" s="1">
        <v>3.89</v>
      </c>
      <c r="P830" s="1">
        <v>-194500</v>
      </c>
      <c r="Q830" s="1">
        <v>-4.9400000000000004</v>
      </c>
      <c r="R830" s="1" t="s">
        <v>83</v>
      </c>
      <c r="T830" s="50">
        <f>IF(ISNUMBER(VLOOKUP(U830,Blotter!B:C,2,0)),VLOOKUP(U830,Blotter!B:C,2,0),"")</f>
        <v>37</v>
      </c>
      <c r="U830" s="49" t="str">
        <f t="shared" si="864"/>
        <v>HGK4</v>
      </c>
      <c r="V830" s="49">
        <f t="shared" si="865"/>
        <v>-2</v>
      </c>
      <c r="W830" s="49">
        <f t="shared" si="866"/>
        <v>3.89</v>
      </c>
      <c r="X830" s="49">
        <f t="shared" si="867"/>
        <v>-4.9400000000000004</v>
      </c>
    </row>
    <row r="831" spans="1:24" x14ac:dyDescent="0.4">
      <c r="A831" s="1" t="s">
        <v>138</v>
      </c>
      <c r="B831" s="1" t="s">
        <v>83</v>
      </c>
      <c r="C831" s="1" t="s">
        <v>82</v>
      </c>
      <c r="D831" s="1" t="s">
        <v>431</v>
      </c>
      <c r="E831" s="1" t="s">
        <v>432</v>
      </c>
      <c r="F831" s="1" t="s">
        <v>126</v>
      </c>
      <c r="G831" s="1" t="s">
        <v>25</v>
      </c>
      <c r="H831" s="1">
        <v>25000</v>
      </c>
      <c r="J831" s="51">
        <v>45441</v>
      </c>
      <c r="L831" s="51">
        <v>45357</v>
      </c>
      <c r="M831" s="1" t="s">
        <v>139</v>
      </c>
      <c r="N831" s="1">
        <v>-1</v>
      </c>
      <c r="O831" s="1">
        <v>3.89</v>
      </c>
      <c r="P831" s="1">
        <v>-97250</v>
      </c>
      <c r="Q831" s="1">
        <v>-2.4700000000000002</v>
      </c>
      <c r="R831" s="1" t="s">
        <v>83</v>
      </c>
      <c r="T831" s="50">
        <f>IF(ISNUMBER(VLOOKUP(U831,Blotter!B:C,2,0)),VLOOKUP(U831,Blotter!B:C,2,0),"")</f>
        <v>37</v>
      </c>
      <c r="U831" s="49" t="str">
        <f t="shared" si="864"/>
        <v>HGK4</v>
      </c>
      <c r="V831" s="49">
        <f t="shared" si="865"/>
        <v>-1</v>
      </c>
      <c r="W831" s="49">
        <f t="shared" si="866"/>
        <v>3.89</v>
      </c>
      <c r="X831" s="49">
        <f t="shared" si="867"/>
        <v>-2.4700000000000002</v>
      </c>
    </row>
    <row r="832" spans="1:24" x14ac:dyDescent="0.4">
      <c r="A832" s="1" t="s">
        <v>138</v>
      </c>
      <c r="B832" s="1" t="s">
        <v>83</v>
      </c>
      <c r="C832" s="1" t="s">
        <v>82</v>
      </c>
      <c r="D832" s="1" t="s">
        <v>431</v>
      </c>
      <c r="E832" s="1" t="s">
        <v>432</v>
      </c>
      <c r="F832" s="1" t="s">
        <v>126</v>
      </c>
      <c r="G832" s="1" t="s">
        <v>25</v>
      </c>
      <c r="H832" s="1">
        <v>25000</v>
      </c>
      <c r="J832" s="51">
        <v>45441</v>
      </c>
      <c r="L832" s="51">
        <v>45357</v>
      </c>
      <c r="M832" s="1" t="s">
        <v>139</v>
      </c>
      <c r="N832" s="1">
        <v>-1</v>
      </c>
      <c r="O832" s="1">
        <v>3.89</v>
      </c>
      <c r="P832" s="1">
        <v>-97250</v>
      </c>
      <c r="Q832" s="1">
        <v>-2.4700000000000002</v>
      </c>
      <c r="R832" s="1" t="s">
        <v>83</v>
      </c>
      <c r="T832" s="50">
        <f>IF(ISNUMBER(VLOOKUP(U832,Blotter!B:C,2,0)),VLOOKUP(U832,Blotter!B:C,2,0),"")</f>
        <v>37</v>
      </c>
      <c r="U832" s="49" t="str">
        <f t="shared" si="864"/>
        <v>HGK4</v>
      </c>
      <c r="V832" s="49">
        <f t="shared" si="865"/>
        <v>-1</v>
      </c>
      <c r="W832" s="49">
        <f t="shared" si="866"/>
        <v>3.89</v>
      </c>
      <c r="X832" s="49">
        <f t="shared" si="867"/>
        <v>-2.4700000000000002</v>
      </c>
    </row>
    <row r="833" spans="1:24" x14ac:dyDescent="0.4">
      <c r="A833" s="1" t="s">
        <v>138</v>
      </c>
      <c r="B833" s="1" t="s">
        <v>83</v>
      </c>
      <c r="C833" s="1" t="s">
        <v>82</v>
      </c>
      <c r="D833" s="1" t="s">
        <v>428</v>
      </c>
      <c r="E833" s="1" t="s">
        <v>430</v>
      </c>
      <c r="F833" s="1" t="s">
        <v>100</v>
      </c>
      <c r="G833" s="1" t="s">
        <v>101</v>
      </c>
      <c r="H833" s="1">
        <v>50000</v>
      </c>
      <c r="J833" s="51">
        <v>45427</v>
      </c>
      <c r="L833" s="51">
        <v>45358</v>
      </c>
      <c r="M833" s="1" t="s">
        <v>139</v>
      </c>
      <c r="N833" s="1">
        <v>-5</v>
      </c>
      <c r="O833" s="59">
        <v>99.28</v>
      </c>
      <c r="P833" s="1">
        <v>-248200</v>
      </c>
      <c r="Q833" s="1">
        <v>-14.85</v>
      </c>
      <c r="R833" s="1" t="s">
        <v>83</v>
      </c>
      <c r="T833" s="50">
        <f>IF(ISNUMBER(VLOOKUP(U833,Blotter!B:C,2,0)),VLOOKUP(U833,Blotter!B:C,2,0),"")</f>
        <v>46</v>
      </c>
      <c r="U833" s="49" t="str">
        <f t="shared" ref="U833:U840" si="868">D833</f>
        <v>CTK4</v>
      </c>
      <c r="V833" s="49">
        <f t="shared" ref="V833:V840" si="869">N833</f>
        <v>-5</v>
      </c>
      <c r="W833" s="49">
        <f t="shared" ref="W833:W840" si="870">O833</f>
        <v>99.28</v>
      </c>
      <c r="X833" s="49">
        <f t="shared" ref="X833:X840" si="871">Q833</f>
        <v>-14.85</v>
      </c>
    </row>
    <row r="834" spans="1:24" x14ac:dyDescent="0.4">
      <c r="A834" s="1" t="s">
        <v>138</v>
      </c>
      <c r="B834" s="1" t="s">
        <v>83</v>
      </c>
      <c r="C834" s="1" t="s">
        <v>82</v>
      </c>
      <c r="D834" s="1" t="s">
        <v>428</v>
      </c>
      <c r="E834" s="1" t="s">
        <v>430</v>
      </c>
      <c r="F834" s="1" t="s">
        <v>100</v>
      </c>
      <c r="G834" s="1" t="s">
        <v>101</v>
      </c>
      <c r="H834" s="1">
        <v>50000</v>
      </c>
      <c r="J834" s="51">
        <v>45427</v>
      </c>
      <c r="L834" s="51">
        <v>45358</v>
      </c>
      <c r="M834" s="1" t="s">
        <v>139</v>
      </c>
      <c r="N834" s="1">
        <v>-3</v>
      </c>
      <c r="O834" s="59">
        <v>99.28</v>
      </c>
      <c r="P834" s="1">
        <v>-148920</v>
      </c>
      <c r="Q834" s="1">
        <v>-8.91</v>
      </c>
      <c r="R834" s="1" t="s">
        <v>83</v>
      </c>
      <c r="T834" s="50">
        <f>IF(ISNUMBER(VLOOKUP(U834,Blotter!B:C,2,0)),VLOOKUP(U834,Blotter!B:C,2,0),"")</f>
        <v>46</v>
      </c>
      <c r="U834" s="49" t="str">
        <f t="shared" si="868"/>
        <v>CTK4</v>
      </c>
      <c r="V834" s="49">
        <f t="shared" si="869"/>
        <v>-3</v>
      </c>
      <c r="W834" s="49">
        <f t="shared" si="870"/>
        <v>99.28</v>
      </c>
      <c r="X834" s="49">
        <f t="shared" si="871"/>
        <v>-8.91</v>
      </c>
    </row>
    <row r="835" spans="1:24" x14ac:dyDescent="0.4">
      <c r="A835" s="1" t="s">
        <v>138</v>
      </c>
      <c r="B835" s="1" t="s">
        <v>83</v>
      </c>
      <c r="C835" s="1" t="s">
        <v>82</v>
      </c>
      <c r="D835" s="1" t="s">
        <v>428</v>
      </c>
      <c r="E835" s="1" t="s">
        <v>430</v>
      </c>
      <c r="F835" s="1" t="s">
        <v>100</v>
      </c>
      <c r="G835" s="1" t="s">
        <v>101</v>
      </c>
      <c r="H835" s="1">
        <v>50000</v>
      </c>
      <c r="J835" s="51">
        <v>45427</v>
      </c>
      <c r="L835" s="51">
        <v>45358</v>
      </c>
      <c r="M835" s="1" t="s">
        <v>139</v>
      </c>
      <c r="N835" s="1">
        <v>-1</v>
      </c>
      <c r="O835" s="59">
        <v>99.28</v>
      </c>
      <c r="P835" s="1">
        <v>-49640</v>
      </c>
      <c r="Q835" s="1">
        <v>-2.97</v>
      </c>
      <c r="R835" s="1" t="s">
        <v>83</v>
      </c>
      <c r="T835" s="50">
        <f>IF(ISNUMBER(VLOOKUP(U835,Blotter!B:C,2,0)),VLOOKUP(U835,Blotter!B:C,2,0),"")</f>
        <v>46</v>
      </c>
      <c r="U835" s="49" t="str">
        <f t="shared" si="868"/>
        <v>CTK4</v>
      </c>
      <c r="V835" s="49">
        <f t="shared" si="869"/>
        <v>-1</v>
      </c>
      <c r="W835" s="49">
        <f t="shared" si="870"/>
        <v>99.28</v>
      </c>
      <c r="X835" s="49">
        <f t="shared" si="871"/>
        <v>-2.97</v>
      </c>
    </row>
    <row r="836" spans="1:24" x14ac:dyDescent="0.4">
      <c r="A836" s="1" t="s">
        <v>138</v>
      </c>
      <c r="B836" s="1" t="s">
        <v>83</v>
      </c>
      <c r="C836" s="1" t="s">
        <v>82</v>
      </c>
      <c r="D836" s="1" t="s">
        <v>428</v>
      </c>
      <c r="E836" s="1" t="s">
        <v>430</v>
      </c>
      <c r="F836" s="1" t="s">
        <v>100</v>
      </c>
      <c r="G836" s="1" t="s">
        <v>101</v>
      </c>
      <c r="H836" s="1">
        <v>50000</v>
      </c>
      <c r="J836" s="51">
        <v>45427</v>
      </c>
      <c r="L836" s="51">
        <v>45358</v>
      </c>
      <c r="M836" s="1" t="s">
        <v>139</v>
      </c>
      <c r="N836" s="1">
        <v>-1</v>
      </c>
      <c r="O836" s="59">
        <v>99.28</v>
      </c>
      <c r="P836" s="1">
        <v>-49640</v>
      </c>
      <c r="Q836" s="1">
        <v>-2.97</v>
      </c>
      <c r="R836" s="1" t="s">
        <v>83</v>
      </c>
      <c r="T836" s="50">
        <f>IF(ISNUMBER(VLOOKUP(U836,Blotter!B:C,2,0)),VLOOKUP(U836,Blotter!B:C,2,0),"")</f>
        <v>46</v>
      </c>
      <c r="U836" s="49" t="str">
        <f t="shared" si="868"/>
        <v>CTK4</v>
      </c>
      <c r="V836" s="49">
        <f t="shared" si="869"/>
        <v>-1</v>
      </c>
      <c r="W836" s="49">
        <f t="shared" si="870"/>
        <v>99.28</v>
      </c>
      <c r="X836" s="49">
        <f t="shared" si="871"/>
        <v>-2.97</v>
      </c>
    </row>
    <row r="837" spans="1:24" x14ac:dyDescent="0.4">
      <c r="A837" s="1" t="s">
        <v>138</v>
      </c>
      <c r="B837" s="1" t="s">
        <v>83</v>
      </c>
      <c r="C837" s="1" t="s">
        <v>86</v>
      </c>
      <c r="D837" s="1" t="s">
        <v>442</v>
      </c>
      <c r="E837" s="1" t="s">
        <v>443</v>
      </c>
      <c r="F837" s="1" t="s">
        <v>124</v>
      </c>
      <c r="G837" s="1" t="s">
        <v>444</v>
      </c>
      <c r="H837" s="1">
        <v>50</v>
      </c>
      <c r="I837" s="1">
        <v>4920</v>
      </c>
      <c r="J837" s="51">
        <v>45412</v>
      </c>
      <c r="K837" s="1" t="s">
        <v>89</v>
      </c>
      <c r="L837" s="51">
        <v>45358</v>
      </c>
      <c r="M837" s="1" t="s">
        <v>139</v>
      </c>
      <c r="N837" s="1">
        <v>-10</v>
      </c>
      <c r="O837" s="1">
        <v>29</v>
      </c>
      <c r="P837" s="1">
        <v>-14500</v>
      </c>
      <c r="Q837" s="1">
        <v>-14.2</v>
      </c>
      <c r="R837" s="1" t="s">
        <v>83</v>
      </c>
      <c r="T837" s="50">
        <f>IF(ISNUMBER(VLOOKUP(U837,Blotter!B:C,2,0)),VLOOKUP(U837,Blotter!B:C,2,0),"")</f>
        <v>48</v>
      </c>
      <c r="U837" s="49" t="str">
        <f t="shared" si="868"/>
        <v>EWJ4 P4920</v>
      </c>
      <c r="V837" s="49">
        <f t="shared" si="869"/>
        <v>-10</v>
      </c>
      <c r="W837" s="49">
        <f t="shared" si="870"/>
        <v>29</v>
      </c>
      <c r="X837" s="49">
        <f t="shared" si="871"/>
        <v>-14.2</v>
      </c>
    </row>
    <row r="838" spans="1:24" x14ac:dyDescent="0.4">
      <c r="A838" s="1" t="s">
        <v>138</v>
      </c>
      <c r="B838" s="1" t="s">
        <v>83</v>
      </c>
      <c r="C838" s="1" t="s">
        <v>86</v>
      </c>
      <c r="D838" s="1" t="s">
        <v>445</v>
      </c>
      <c r="E838" s="1" t="s">
        <v>446</v>
      </c>
      <c r="F838" s="1" t="s">
        <v>124</v>
      </c>
      <c r="G838" s="1" t="s">
        <v>444</v>
      </c>
      <c r="H838" s="1">
        <v>50</v>
      </c>
      <c r="I838" s="1">
        <v>5020</v>
      </c>
      <c r="J838" s="51">
        <v>45412</v>
      </c>
      <c r="K838" s="1" t="s">
        <v>89</v>
      </c>
      <c r="L838" s="51">
        <v>45358</v>
      </c>
      <c r="M838" s="1" t="s">
        <v>135</v>
      </c>
      <c r="N838" s="1">
        <v>10</v>
      </c>
      <c r="O838" s="1">
        <v>44.75</v>
      </c>
      <c r="P838" s="1">
        <v>22375</v>
      </c>
      <c r="Q838" s="1">
        <v>-14.2</v>
      </c>
      <c r="R838" s="1" t="s">
        <v>83</v>
      </c>
      <c r="T838" s="50">
        <f>IF(ISNUMBER(VLOOKUP(U838,Blotter!B:C,2,0)),VLOOKUP(U838,Blotter!B:C,2,0),"")</f>
        <v>48</v>
      </c>
      <c r="U838" s="49" t="str">
        <f t="shared" si="868"/>
        <v>EWJ4 P5020</v>
      </c>
      <c r="V838" s="49">
        <f t="shared" si="869"/>
        <v>10</v>
      </c>
      <c r="W838" s="49">
        <f t="shared" si="870"/>
        <v>44.75</v>
      </c>
      <c r="X838" s="49">
        <f t="shared" si="871"/>
        <v>-14.2</v>
      </c>
    </row>
    <row r="839" spans="1:24" x14ac:dyDescent="0.4">
      <c r="A839" s="1" t="s">
        <v>138</v>
      </c>
      <c r="B839" s="1" t="s">
        <v>83</v>
      </c>
      <c r="C839" s="1" t="s">
        <v>86</v>
      </c>
      <c r="D839" s="1" t="s">
        <v>351</v>
      </c>
      <c r="E839" s="1" t="s">
        <v>352</v>
      </c>
      <c r="F839" s="1" t="s">
        <v>126</v>
      </c>
      <c r="G839" s="1" t="s">
        <v>353</v>
      </c>
      <c r="H839" s="1">
        <v>5000</v>
      </c>
      <c r="I839" s="1">
        <v>26.5</v>
      </c>
      <c r="J839" s="51">
        <v>45376</v>
      </c>
      <c r="K839" s="1" t="s">
        <v>57</v>
      </c>
      <c r="L839" s="51">
        <v>45358</v>
      </c>
      <c r="M839" s="1" t="s">
        <v>139</v>
      </c>
      <c r="N839" s="1">
        <v>-5</v>
      </c>
      <c r="O839" s="1">
        <v>0.1</v>
      </c>
      <c r="P839" s="1">
        <v>-2500</v>
      </c>
      <c r="Q839" s="1">
        <v>-12.35</v>
      </c>
      <c r="R839" s="1" t="s">
        <v>83</v>
      </c>
      <c r="T839" s="50">
        <f>IF(ISNUMBER(VLOOKUP(U839,Blotter!B:C,2,0)),VLOOKUP(U839,Blotter!B:C,2,0),"")</f>
        <v>6</v>
      </c>
      <c r="U839" s="49" t="str">
        <f t="shared" si="868"/>
        <v>SOJ4 C2650</v>
      </c>
      <c r="V839" s="49">
        <f t="shared" si="869"/>
        <v>-5</v>
      </c>
      <c r="W839" s="49">
        <f t="shared" si="870"/>
        <v>0.1</v>
      </c>
      <c r="X839" s="49">
        <f t="shared" si="871"/>
        <v>-12.35</v>
      </c>
    </row>
    <row r="840" spans="1:24" x14ac:dyDescent="0.4">
      <c r="A840" s="1" t="s">
        <v>138</v>
      </c>
      <c r="B840" s="1" t="s">
        <v>83</v>
      </c>
      <c r="C840" s="1" t="s">
        <v>86</v>
      </c>
      <c r="D840" s="1" t="s">
        <v>351</v>
      </c>
      <c r="E840" s="1" t="s">
        <v>352</v>
      </c>
      <c r="F840" s="1" t="s">
        <v>126</v>
      </c>
      <c r="G840" s="1" t="s">
        <v>353</v>
      </c>
      <c r="H840" s="1">
        <v>5000</v>
      </c>
      <c r="I840" s="1">
        <v>26.5</v>
      </c>
      <c r="J840" s="51">
        <v>45376</v>
      </c>
      <c r="K840" s="1" t="s">
        <v>57</v>
      </c>
      <c r="L840" s="51">
        <v>45358</v>
      </c>
      <c r="M840" s="1" t="s">
        <v>139</v>
      </c>
      <c r="N840" s="1">
        <v>-2</v>
      </c>
      <c r="O840" s="1">
        <v>0.1</v>
      </c>
      <c r="P840" s="1">
        <v>-1000</v>
      </c>
      <c r="Q840" s="1">
        <v>-4.9400000000000004</v>
      </c>
      <c r="R840" s="1" t="s">
        <v>83</v>
      </c>
      <c r="T840" s="50">
        <f>IF(ISNUMBER(VLOOKUP(U840,Blotter!B:C,2,0)),VLOOKUP(U840,Blotter!B:C,2,0),"")</f>
        <v>6</v>
      </c>
      <c r="U840" s="49" t="str">
        <f t="shared" si="868"/>
        <v>SOJ4 C2650</v>
      </c>
      <c r="V840" s="49">
        <f t="shared" si="869"/>
        <v>-2</v>
      </c>
      <c r="W840" s="49">
        <f t="shared" si="870"/>
        <v>0.1</v>
      </c>
      <c r="X840" s="49">
        <f t="shared" si="871"/>
        <v>-4.9400000000000004</v>
      </c>
    </row>
    <row r="841" spans="1:24" x14ac:dyDescent="0.4">
      <c r="A841" s="1" t="s">
        <v>138</v>
      </c>
      <c r="B841" s="1" t="s">
        <v>83</v>
      </c>
      <c r="C841" s="1" t="s">
        <v>82</v>
      </c>
      <c r="D841" s="1" t="s">
        <v>428</v>
      </c>
      <c r="E841" s="1" t="s">
        <v>430</v>
      </c>
      <c r="F841" s="1" t="s">
        <v>100</v>
      </c>
      <c r="G841" s="1" t="s">
        <v>101</v>
      </c>
      <c r="H841" s="1">
        <v>50000</v>
      </c>
      <c r="J841" s="51">
        <v>45427</v>
      </c>
      <c r="L841" s="51">
        <v>45359</v>
      </c>
      <c r="M841" s="1" t="s">
        <v>135</v>
      </c>
      <c r="N841" s="1">
        <v>3</v>
      </c>
      <c r="O841" s="59">
        <v>98.2</v>
      </c>
      <c r="P841" s="1">
        <v>147300</v>
      </c>
      <c r="Q841" s="1">
        <v>-8.91</v>
      </c>
      <c r="R841" s="1" t="s">
        <v>83</v>
      </c>
      <c r="T841" s="50">
        <f>IF(ISNUMBER(VLOOKUP(U841,Blotter!B:C,2,0)),VLOOKUP(U841,Blotter!B:C,2,0),"")</f>
        <v>46</v>
      </c>
      <c r="U841" s="49" t="str">
        <f t="shared" ref="U841:U854" si="872">D841</f>
        <v>CTK4</v>
      </c>
      <c r="V841" s="49">
        <f t="shared" ref="V841:V854" si="873">N841</f>
        <v>3</v>
      </c>
      <c r="W841" s="49">
        <f t="shared" ref="W841:W854" si="874">O841</f>
        <v>98.2</v>
      </c>
      <c r="X841" s="49">
        <f t="shared" ref="X841:X854" si="875">Q841</f>
        <v>-8.91</v>
      </c>
    </row>
    <row r="842" spans="1:24" x14ac:dyDescent="0.4">
      <c r="A842" s="1" t="s">
        <v>138</v>
      </c>
      <c r="B842" s="1" t="s">
        <v>83</v>
      </c>
      <c r="C842" s="1" t="s">
        <v>82</v>
      </c>
      <c r="D842" s="1" t="s">
        <v>428</v>
      </c>
      <c r="E842" s="1" t="s">
        <v>430</v>
      </c>
      <c r="F842" s="1" t="s">
        <v>100</v>
      </c>
      <c r="G842" s="1" t="s">
        <v>101</v>
      </c>
      <c r="H842" s="1">
        <v>50000</v>
      </c>
      <c r="J842" s="51">
        <v>45427</v>
      </c>
      <c r="L842" s="51">
        <v>45359</v>
      </c>
      <c r="M842" s="1" t="s">
        <v>135</v>
      </c>
      <c r="N842" s="1">
        <v>1</v>
      </c>
      <c r="O842" s="59">
        <v>98.2</v>
      </c>
      <c r="P842" s="1">
        <v>49100</v>
      </c>
      <c r="Q842" s="1">
        <v>-2.97</v>
      </c>
      <c r="R842" s="1" t="s">
        <v>83</v>
      </c>
      <c r="T842" s="50">
        <f>IF(ISNUMBER(VLOOKUP(U842,Blotter!B:C,2,0)),VLOOKUP(U842,Blotter!B:C,2,0),"")</f>
        <v>46</v>
      </c>
      <c r="U842" s="49" t="str">
        <f t="shared" si="872"/>
        <v>CTK4</v>
      </c>
      <c r="V842" s="49">
        <f t="shared" si="873"/>
        <v>1</v>
      </c>
      <c r="W842" s="49">
        <f t="shared" si="874"/>
        <v>98.2</v>
      </c>
      <c r="X842" s="49">
        <f t="shared" si="875"/>
        <v>-2.97</v>
      </c>
    </row>
    <row r="843" spans="1:24" x14ac:dyDescent="0.4">
      <c r="A843" s="1" t="s">
        <v>138</v>
      </c>
      <c r="B843" s="1" t="s">
        <v>83</v>
      </c>
      <c r="C843" s="1" t="s">
        <v>82</v>
      </c>
      <c r="D843" s="1" t="s">
        <v>428</v>
      </c>
      <c r="E843" s="1" t="s">
        <v>430</v>
      </c>
      <c r="F843" s="1" t="s">
        <v>100</v>
      </c>
      <c r="G843" s="1" t="s">
        <v>101</v>
      </c>
      <c r="H843" s="1">
        <v>50000</v>
      </c>
      <c r="J843" s="51">
        <v>45427</v>
      </c>
      <c r="L843" s="51">
        <v>45359</v>
      </c>
      <c r="M843" s="1" t="s">
        <v>135</v>
      </c>
      <c r="N843" s="1">
        <v>3</v>
      </c>
      <c r="O843" s="59">
        <v>99.2</v>
      </c>
      <c r="P843" s="1">
        <v>148800</v>
      </c>
      <c r="Q843" s="1">
        <v>-8.91</v>
      </c>
      <c r="R843" s="1" t="s">
        <v>83</v>
      </c>
      <c r="T843" s="50">
        <f>IF(ISNUMBER(VLOOKUP(U843,Blotter!B:C,2,0)),VLOOKUP(U843,Blotter!B:C,2,0),"")</f>
        <v>46</v>
      </c>
      <c r="U843" s="49" t="str">
        <f t="shared" si="872"/>
        <v>CTK4</v>
      </c>
      <c r="V843" s="49">
        <f t="shared" si="873"/>
        <v>3</v>
      </c>
      <c r="W843" s="49">
        <f t="shared" si="874"/>
        <v>99.2</v>
      </c>
      <c r="X843" s="49">
        <f t="shared" si="875"/>
        <v>-8.91</v>
      </c>
    </row>
    <row r="844" spans="1:24" x14ac:dyDescent="0.4">
      <c r="A844" s="1" t="s">
        <v>138</v>
      </c>
      <c r="B844" s="1" t="s">
        <v>83</v>
      </c>
      <c r="C844" s="1" t="s">
        <v>82</v>
      </c>
      <c r="D844" s="1" t="s">
        <v>428</v>
      </c>
      <c r="E844" s="1" t="s">
        <v>430</v>
      </c>
      <c r="F844" s="1" t="s">
        <v>100</v>
      </c>
      <c r="G844" s="1" t="s">
        <v>101</v>
      </c>
      <c r="H844" s="1">
        <v>50000</v>
      </c>
      <c r="J844" s="51">
        <v>45427</v>
      </c>
      <c r="L844" s="51">
        <v>45359</v>
      </c>
      <c r="M844" s="1" t="s">
        <v>135</v>
      </c>
      <c r="N844" s="1">
        <v>4</v>
      </c>
      <c r="O844" s="59">
        <v>99.2</v>
      </c>
      <c r="P844" s="1">
        <v>198400</v>
      </c>
      <c r="Q844" s="1">
        <v>-11.88</v>
      </c>
      <c r="R844" s="1" t="s">
        <v>83</v>
      </c>
      <c r="T844" s="50">
        <f>IF(ISNUMBER(VLOOKUP(U844,Blotter!B:C,2,0)),VLOOKUP(U844,Blotter!B:C,2,0),"")</f>
        <v>46</v>
      </c>
      <c r="U844" s="49" t="str">
        <f t="shared" si="872"/>
        <v>CTK4</v>
      </c>
      <c r="V844" s="49">
        <f t="shared" si="873"/>
        <v>4</v>
      </c>
      <c r="W844" s="49">
        <f t="shared" si="874"/>
        <v>99.2</v>
      </c>
      <c r="X844" s="49">
        <f t="shared" si="875"/>
        <v>-11.88</v>
      </c>
    </row>
    <row r="845" spans="1:24" x14ac:dyDescent="0.4">
      <c r="A845" s="1" t="s">
        <v>138</v>
      </c>
      <c r="B845" s="1" t="s">
        <v>83</v>
      </c>
      <c r="C845" s="1" t="s">
        <v>82</v>
      </c>
      <c r="D845" s="1" t="s">
        <v>428</v>
      </c>
      <c r="E845" s="1" t="s">
        <v>430</v>
      </c>
      <c r="F845" s="1" t="s">
        <v>100</v>
      </c>
      <c r="G845" s="1" t="s">
        <v>101</v>
      </c>
      <c r="H845" s="1">
        <v>50000</v>
      </c>
      <c r="J845" s="51">
        <v>45427</v>
      </c>
      <c r="L845" s="51">
        <v>45359</v>
      </c>
      <c r="M845" s="1" t="s">
        <v>135</v>
      </c>
      <c r="N845" s="1">
        <v>3</v>
      </c>
      <c r="O845" s="59">
        <v>97.7</v>
      </c>
      <c r="P845" s="1">
        <v>146550</v>
      </c>
      <c r="Q845" s="1">
        <v>-8.91</v>
      </c>
      <c r="R845" s="1" t="s">
        <v>83</v>
      </c>
      <c r="T845" s="50">
        <f>IF(ISNUMBER(VLOOKUP(U845,Blotter!B:C,2,0)),VLOOKUP(U845,Blotter!B:C,2,0),"")</f>
        <v>46</v>
      </c>
      <c r="U845" s="49" t="str">
        <f t="shared" si="872"/>
        <v>CTK4</v>
      </c>
      <c r="V845" s="49">
        <f t="shared" si="873"/>
        <v>3</v>
      </c>
      <c r="W845" s="49">
        <f t="shared" si="874"/>
        <v>97.7</v>
      </c>
      <c r="X845" s="49">
        <f t="shared" si="875"/>
        <v>-8.91</v>
      </c>
    </row>
    <row r="846" spans="1:24" x14ac:dyDescent="0.4">
      <c r="A846" s="1" t="s">
        <v>138</v>
      </c>
      <c r="B846" s="1" t="s">
        <v>83</v>
      </c>
      <c r="C846" s="1" t="s">
        <v>82</v>
      </c>
      <c r="D846" s="1" t="s">
        <v>428</v>
      </c>
      <c r="E846" s="1" t="s">
        <v>430</v>
      </c>
      <c r="F846" s="1" t="s">
        <v>100</v>
      </c>
      <c r="G846" s="1" t="s">
        <v>101</v>
      </c>
      <c r="H846" s="1">
        <v>50000</v>
      </c>
      <c r="J846" s="51">
        <v>45427</v>
      </c>
      <c r="L846" s="51">
        <v>45359</v>
      </c>
      <c r="M846" s="1" t="s">
        <v>135</v>
      </c>
      <c r="N846" s="1">
        <v>1</v>
      </c>
      <c r="O846" s="59">
        <v>97.7</v>
      </c>
      <c r="P846" s="1">
        <v>48850</v>
      </c>
      <c r="Q846" s="1">
        <v>-2.97</v>
      </c>
      <c r="R846" s="1" t="s">
        <v>83</v>
      </c>
      <c r="T846" s="50">
        <f>IF(ISNUMBER(VLOOKUP(U846,Blotter!B:C,2,0)),VLOOKUP(U846,Blotter!B:C,2,0),"")</f>
        <v>46</v>
      </c>
      <c r="U846" s="49" t="str">
        <f t="shared" si="872"/>
        <v>CTK4</v>
      </c>
      <c r="V846" s="49">
        <f t="shared" si="873"/>
        <v>1</v>
      </c>
      <c r="W846" s="49">
        <f t="shared" si="874"/>
        <v>97.7</v>
      </c>
      <c r="X846" s="49">
        <f t="shared" si="875"/>
        <v>-2.97</v>
      </c>
    </row>
    <row r="847" spans="1:24" x14ac:dyDescent="0.4">
      <c r="A847" s="1" t="s">
        <v>138</v>
      </c>
      <c r="B847" s="1" t="s">
        <v>83</v>
      </c>
      <c r="C847" s="1" t="s">
        <v>82</v>
      </c>
      <c r="D847" s="1" t="s">
        <v>428</v>
      </c>
      <c r="E847" s="1" t="s">
        <v>430</v>
      </c>
      <c r="F847" s="1" t="s">
        <v>100</v>
      </c>
      <c r="G847" s="1" t="s">
        <v>101</v>
      </c>
      <c r="H847" s="1">
        <v>50000</v>
      </c>
      <c r="J847" s="51">
        <v>45427</v>
      </c>
      <c r="L847" s="51">
        <v>45359</v>
      </c>
      <c r="M847" s="1" t="s">
        <v>135</v>
      </c>
      <c r="N847" s="1">
        <v>1</v>
      </c>
      <c r="O847" s="59">
        <v>97.7</v>
      </c>
      <c r="P847" s="1">
        <v>48850</v>
      </c>
      <c r="Q847" s="1">
        <v>-2.97</v>
      </c>
      <c r="R847" s="1" t="s">
        <v>83</v>
      </c>
      <c r="T847" s="50">
        <f>IF(ISNUMBER(VLOOKUP(U847,Blotter!B:C,2,0)),VLOOKUP(U847,Blotter!B:C,2,0),"")</f>
        <v>46</v>
      </c>
      <c r="U847" s="49" t="str">
        <f t="shared" si="872"/>
        <v>CTK4</v>
      </c>
      <c r="V847" s="49">
        <f t="shared" si="873"/>
        <v>1</v>
      </c>
      <c r="W847" s="49">
        <f t="shared" si="874"/>
        <v>97.7</v>
      </c>
      <c r="X847" s="49">
        <f t="shared" si="875"/>
        <v>-2.97</v>
      </c>
    </row>
    <row r="848" spans="1:24" x14ac:dyDescent="0.4">
      <c r="A848" s="1" t="s">
        <v>138</v>
      </c>
      <c r="B848" s="1" t="s">
        <v>83</v>
      </c>
      <c r="C848" s="1" t="s">
        <v>82</v>
      </c>
      <c r="D848" s="1" t="s">
        <v>428</v>
      </c>
      <c r="E848" s="1" t="s">
        <v>430</v>
      </c>
      <c r="F848" s="1" t="s">
        <v>100</v>
      </c>
      <c r="G848" s="1" t="s">
        <v>101</v>
      </c>
      <c r="H848" s="1">
        <v>50000</v>
      </c>
      <c r="J848" s="51">
        <v>45427</v>
      </c>
      <c r="L848" s="51">
        <v>45359</v>
      </c>
      <c r="M848" s="1" t="s">
        <v>135</v>
      </c>
      <c r="N848" s="1">
        <v>2</v>
      </c>
      <c r="O848" s="59">
        <v>97.7</v>
      </c>
      <c r="P848" s="1">
        <v>97700</v>
      </c>
      <c r="Q848" s="1">
        <v>-5.94</v>
      </c>
      <c r="R848" s="1" t="s">
        <v>83</v>
      </c>
      <c r="T848" s="50">
        <f>IF(ISNUMBER(VLOOKUP(U848,Blotter!B:C,2,0)),VLOOKUP(U848,Blotter!B:C,2,0),"")</f>
        <v>46</v>
      </c>
      <c r="U848" s="49" t="str">
        <f t="shared" si="872"/>
        <v>CTK4</v>
      </c>
      <c r="V848" s="49">
        <f t="shared" si="873"/>
        <v>2</v>
      </c>
      <c r="W848" s="49">
        <f t="shared" si="874"/>
        <v>97.7</v>
      </c>
      <c r="X848" s="49">
        <f t="shared" si="875"/>
        <v>-5.94</v>
      </c>
    </row>
    <row r="849" spans="1:24" x14ac:dyDescent="0.4">
      <c r="A849" s="1" t="s">
        <v>138</v>
      </c>
      <c r="B849" s="1" t="s">
        <v>83</v>
      </c>
      <c r="C849" s="1" t="s">
        <v>82</v>
      </c>
      <c r="D849" s="1" t="s">
        <v>428</v>
      </c>
      <c r="E849" s="1" t="s">
        <v>430</v>
      </c>
      <c r="F849" s="1" t="s">
        <v>100</v>
      </c>
      <c r="G849" s="1" t="s">
        <v>101</v>
      </c>
      <c r="H849" s="1">
        <v>50000</v>
      </c>
      <c r="J849" s="51">
        <v>45427</v>
      </c>
      <c r="L849" s="51">
        <v>45359</v>
      </c>
      <c r="M849" s="1" t="s">
        <v>139</v>
      </c>
      <c r="N849" s="1">
        <v>-4</v>
      </c>
      <c r="O849" s="59">
        <v>99.7</v>
      </c>
      <c r="P849" s="1">
        <v>-199400</v>
      </c>
      <c r="Q849" s="1">
        <v>-11.88</v>
      </c>
      <c r="R849" s="1" t="s">
        <v>83</v>
      </c>
      <c r="T849" s="50">
        <f>IF(ISNUMBER(VLOOKUP(U849,Blotter!B:C,2,0)),VLOOKUP(U849,Blotter!B:C,2,0),"")</f>
        <v>46</v>
      </c>
      <c r="U849" s="49" t="str">
        <f t="shared" si="872"/>
        <v>CTK4</v>
      </c>
      <c r="V849" s="49">
        <f t="shared" si="873"/>
        <v>-4</v>
      </c>
      <c r="W849" s="49">
        <f t="shared" si="874"/>
        <v>99.7</v>
      </c>
      <c r="X849" s="49">
        <f t="shared" si="875"/>
        <v>-11.88</v>
      </c>
    </row>
    <row r="850" spans="1:24" x14ac:dyDescent="0.4">
      <c r="A850" s="1" t="s">
        <v>138</v>
      </c>
      <c r="B850" s="1" t="s">
        <v>83</v>
      </c>
      <c r="C850" s="1" t="s">
        <v>82</v>
      </c>
      <c r="D850" s="1" t="s">
        <v>450</v>
      </c>
      <c r="E850" s="1" t="s">
        <v>451</v>
      </c>
      <c r="F850" s="1" t="s">
        <v>100</v>
      </c>
      <c r="G850" s="1" t="s">
        <v>33</v>
      </c>
      <c r="H850" s="1">
        <v>37500</v>
      </c>
      <c r="J850" s="51">
        <v>45433</v>
      </c>
      <c r="L850" s="51">
        <v>45359</v>
      </c>
      <c r="M850" s="1" t="s">
        <v>135</v>
      </c>
      <c r="N850" s="1">
        <v>1</v>
      </c>
      <c r="O850" s="59">
        <v>186.5</v>
      </c>
      <c r="P850" s="1">
        <v>69937.5</v>
      </c>
      <c r="Q850" s="1">
        <v>-2.97</v>
      </c>
      <c r="R850" s="1" t="s">
        <v>83</v>
      </c>
      <c r="T850" s="50">
        <f>IF(ISNUMBER(VLOOKUP(U850,Blotter!B:C,2,0)),VLOOKUP(U850,Blotter!B:C,2,0),"")</f>
        <v>48</v>
      </c>
      <c r="U850" s="49" t="str">
        <f t="shared" si="872"/>
        <v>KCK4</v>
      </c>
      <c r="V850" s="49">
        <f t="shared" si="873"/>
        <v>1</v>
      </c>
      <c r="W850" s="49">
        <f t="shared" si="874"/>
        <v>186.5</v>
      </c>
      <c r="X850" s="49">
        <f t="shared" si="875"/>
        <v>-2.97</v>
      </c>
    </row>
    <row r="851" spans="1:24" x14ac:dyDescent="0.4">
      <c r="A851" s="1" t="s">
        <v>138</v>
      </c>
      <c r="B851" s="1" t="s">
        <v>83</v>
      </c>
      <c r="C851" s="1" t="s">
        <v>82</v>
      </c>
      <c r="D851" s="1" t="s">
        <v>450</v>
      </c>
      <c r="E851" s="1" t="s">
        <v>451</v>
      </c>
      <c r="F851" s="1" t="s">
        <v>100</v>
      </c>
      <c r="G851" s="1" t="s">
        <v>33</v>
      </c>
      <c r="H851" s="1">
        <v>37500</v>
      </c>
      <c r="J851" s="51">
        <v>45433</v>
      </c>
      <c r="L851" s="51">
        <v>45359</v>
      </c>
      <c r="M851" s="1" t="s">
        <v>135</v>
      </c>
      <c r="N851" s="1">
        <v>2</v>
      </c>
      <c r="O851" s="59">
        <v>186.5</v>
      </c>
      <c r="P851" s="1">
        <v>139875</v>
      </c>
      <c r="Q851" s="1">
        <v>-5.94</v>
      </c>
      <c r="R851" s="1" t="s">
        <v>83</v>
      </c>
      <c r="T851" s="50">
        <f>IF(ISNUMBER(VLOOKUP(U851,Blotter!B:C,2,0)),VLOOKUP(U851,Blotter!B:C,2,0),"")</f>
        <v>48</v>
      </c>
      <c r="U851" s="49" t="str">
        <f t="shared" si="872"/>
        <v>KCK4</v>
      </c>
      <c r="V851" s="49">
        <f t="shared" si="873"/>
        <v>2</v>
      </c>
      <c r="W851" s="49">
        <f t="shared" si="874"/>
        <v>186.5</v>
      </c>
      <c r="X851" s="49">
        <f t="shared" si="875"/>
        <v>-5.94</v>
      </c>
    </row>
    <row r="852" spans="1:24" x14ac:dyDescent="0.4">
      <c r="A852" s="1" t="s">
        <v>138</v>
      </c>
      <c r="B852" s="1" t="s">
        <v>83</v>
      </c>
      <c r="C852" s="1" t="s">
        <v>82</v>
      </c>
      <c r="D852" s="1" t="s">
        <v>450</v>
      </c>
      <c r="E852" s="1" t="s">
        <v>451</v>
      </c>
      <c r="F852" s="1" t="s">
        <v>100</v>
      </c>
      <c r="G852" s="1" t="s">
        <v>33</v>
      </c>
      <c r="H852" s="1">
        <v>37500</v>
      </c>
      <c r="J852" s="51">
        <v>45433</v>
      </c>
      <c r="L852" s="51">
        <v>45359</v>
      </c>
      <c r="M852" s="1" t="s">
        <v>135</v>
      </c>
      <c r="N852" s="1">
        <v>2</v>
      </c>
      <c r="O852" s="59">
        <v>186.5</v>
      </c>
      <c r="P852" s="1">
        <v>139875</v>
      </c>
      <c r="Q852" s="1">
        <v>-5.94</v>
      </c>
      <c r="R852" s="1" t="s">
        <v>83</v>
      </c>
      <c r="T852" s="50">
        <f>IF(ISNUMBER(VLOOKUP(U852,Blotter!B:C,2,0)),VLOOKUP(U852,Blotter!B:C,2,0),"")</f>
        <v>48</v>
      </c>
      <c r="U852" s="49" t="str">
        <f t="shared" si="872"/>
        <v>KCK4</v>
      </c>
      <c r="V852" s="49">
        <f t="shared" si="873"/>
        <v>2</v>
      </c>
      <c r="W852" s="49">
        <f t="shared" si="874"/>
        <v>186.5</v>
      </c>
      <c r="X852" s="49">
        <f t="shared" si="875"/>
        <v>-5.94</v>
      </c>
    </row>
    <row r="853" spans="1:24" x14ac:dyDescent="0.4">
      <c r="A853" s="1" t="s">
        <v>138</v>
      </c>
      <c r="B853" s="1" t="s">
        <v>83</v>
      </c>
      <c r="C853" s="1" t="s">
        <v>86</v>
      </c>
      <c r="D853" s="1" t="s">
        <v>442</v>
      </c>
      <c r="E853" s="1" t="s">
        <v>443</v>
      </c>
      <c r="F853" s="1" t="s">
        <v>124</v>
      </c>
      <c r="G853" s="1" t="s">
        <v>444</v>
      </c>
      <c r="H853" s="1">
        <v>50</v>
      </c>
      <c r="I853" s="1">
        <v>4920</v>
      </c>
      <c r="J853" s="51">
        <v>45412</v>
      </c>
      <c r="K853" s="1" t="s">
        <v>89</v>
      </c>
      <c r="L853" s="51">
        <v>45359</v>
      </c>
      <c r="M853" s="1" t="s">
        <v>139</v>
      </c>
      <c r="N853" s="1">
        <v>-10</v>
      </c>
      <c r="O853" s="1">
        <v>26</v>
      </c>
      <c r="P853" s="1">
        <v>-13000</v>
      </c>
      <c r="Q853" s="1">
        <v>-14.2</v>
      </c>
      <c r="R853" s="1" t="s">
        <v>83</v>
      </c>
      <c r="T853" s="50">
        <f>IF(ISNUMBER(VLOOKUP(U853,Blotter!B:C,2,0)),VLOOKUP(U853,Blotter!B:C,2,0),"")</f>
        <v>48</v>
      </c>
      <c r="U853" s="49" t="str">
        <f t="shared" si="872"/>
        <v>EWJ4 P4920</v>
      </c>
      <c r="V853" s="49">
        <f t="shared" si="873"/>
        <v>-10</v>
      </c>
      <c r="W853" s="49">
        <f t="shared" si="874"/>
        <v>26</v>
      </c>
      <c r="X853" s="49">
        <f t="shared" si="875"/>
        <v>-14.2</v>
      </c>
    </row>
    <row r="854" spans="1:24" x14ac:dyDescent="0.4">
      <c r="A854" s="1" t="s">
        <v>138</v>
      </c>
      <c r="B854" s="1" t="s">
        <v>83</v>
      </c>
      <c r="C854" s="1" t="s">
        <v>86</v>
      </c>
      <c r="D854" s="1" t="s">
        <v>445</v>
      </c>
      <c r="E854" s="1" t="s">
        <v>446</v>
      </c>
      <c r="F854" s="1" t="s">
        <v>124</v>
      </c>
      <c r="G854" s="1" t="s">
        <v>444</v>
      </c>
      <c r="H854" s="1">
        <v>50</v>
      </c>
      <c r="I854" s="1">
        <v>5020</v>
      </c>
      <c r="J854" s="51">
        <v>45412</v>
      </c>
      <c r="K854" s="1" t="s">
        <v>89</v>
      </c>
      <c r="L854" s="51">
        <v>45359</v>
      </c>
      <c r="M854" s="1" t="s">
        <v>135</v>
      </c>
      <c r="N854" s="1">
        <v>10</v>
      </c>
      <c r="O854" s="1">
        <v>40</v>
      </c>
      <c r="P854" s="1">
        <v>20000</v>
      </c>
      <c r="Q854" s="1">
        <v>-14.2</v>
      </c>
      <c r="R854" s="1" t="s">
        <v>83</v>
      </c>
      <c r="T854" s="50">
        <f>IF(ISNUMBER(VLOOKUP(U854,Blotter!B:C,2,0)),VLOOKUP(U854,Blotter!B:C,2,0),"")</f>
        <v>48</v>
      </c>
      <c r="U854" s="49" t="str">
        <f t="shared" si="872"/>
        <v>EWJ4 P5020</v>
      </c>
      <c r="V854" s="49">
        <f t="shared" si="873"/>
        <v>10</v>
      </c>
      <c r="W854" s="49">
        <f t="shared" si="874"/>
        <v>40</v>
      </c>
      <c r="X854" s="49">
        <f t="shared" si="875"/>
        <v>-14.2</v>
      </c>
    </row>
    <row r="855" spans="1:24" x14ac:dyDescent="0.4">
      <c r="A855" s="1" t="s">
        <v>138</v>
      </c>
      <c r="B855" s="1" t="s">
        <v>83</v>
      </c>
      <c r="C855" s="1" t="s">
        <v>117</v>
      </c>
      <c r="D855" s="1" t="s">
        <v>407</v>
      </c>
      <c r="E855" s="1" t="s">
        <v>409</v>
      </c>
      <c r="F855" s="1" t="s">
        <v>408</v>
      </c>
      <c r="H855" s="1">
        <v>1</v>
      </c>
      <c r="L855" s="51">
        <v>45362</v>
      </c>
      <c r="M855" s="1" t="s">
        <v>135</v>
      </c>
      <c r="N855" s="1">
        <v>56</v>
      </c>
      <c r="O855" s="1">
        <v>62.6</v>
      </c>
      <c r="P855" s="1">
        <v>3505.6</v>
      </c>
      <c r="Q855" s="1">
        <v>-1</v>
      </c>
      <c r="R855" s="1" t="s">
        <v>83</v>
      </c>
      <c r="T855" s="50">
        <f>IF(ISNUMBER(VLOOKUP(U855,Blotter!B:C,2,0)),VLOOKUP(U855,Blotter!B:C,2,0),"")</f>
        <v>40</v>
      </c>
      <c r="U855" s="49" t="str">
        <f t="shared" ref="U855:U870" si="876">D855</f>
        <v>CYTK</v>
      </c>
      <c r="V855" s="49">
        <f t="shared" ref="V855:V870" si="877">N855</f>
        <v>56</v>
      </c>
      <c r="W855" s="49">
        <f t="shared" ref="W855:W870" si="878">O855</f>
        <v>62.6</v>
      </c>
      <c r="X855" s="49">
        <f t="shared" ref="X855:X870" si="879">Q855</f>
        <v>-1</v>
      </c>
    </row>
    <row r="856" spans="1:24" x14ac:dyDescent="0.4">
      <c r="A856" s="1" t="s">
        <v>138</v>
      </c>
      <c r="B856" s="1" t="s">
        <v>83</v>
      </c>
      <c r="C856" s="1" t="s">
        <v>117</v>
      </c>
      <c r="D856" s="1" t="s">
        <v>407</v>
      </c>
      <c r="E856" s="1" t="s">
        <v>409</v>
      </c>
      <c r="F856" s="1" t="s">
        <v>408</v>
      </c>
      <c r="H856" s="1">
        <v>1</v>
      </c>
      <c r="L856" s="51">
        <v>45362</v>
      </c>
      <c r="M856" s="1" t="s">
        <v>135</v>
      </c>
      <c r="N856" s="1">
        <v>264</v>
      </c>
      <c r="O856" s="1">
        <v>62.6</v>
      </c>
      <c r="P856" s="1">
        <v>16526.400000000001</v>
      </c>
      <c r="Q856" s="1">
        <v>-0.6</v>
      </c>
      <c r="R856" s="1" t="s">
        <v>83</v>
      </c>
      <c r="T856" s="50">
        <f>IF(ISNUMBER(VLOOKUP(U856,Blotter!B:C,2,0)),VLOOKUP(U856,Blotter!B:C,2,0),"")</f>
        <v>40</v>
      </c>
      <c r="U856" s="49" t="str">
        <f t="shared" si="876"/>
        <v>CYTK</v>
      </c>
      <c r="V856" s="49">
        <f t="shared" si="877"/>
        <v>264</v>
      </c>
      <c r="W856" s="49">
        <f t="shared" si="878"/>
        <v>62.6</v>
      </c>
      <c r="X856" s="49">
        <f t="shared" si="879"/>
        <v>-0.6</v>
      </c>
    </row>
    <row r="857" spans="1:24" x14ac:dyDescent="0.4">
      <c r="A857" s="1" t="s">
        <v>138</v>
      </c>
      <c r="B857" s="1" t="s">
        <v>83</v>
      </c>
      <c r="C857" s="1" t="s">
        <v>117</v>
      </c>
      <c r="D857" s="1" t="s">
        <v>407</v>
      </c>
      <c r="E857" s="1" t="s">
        <v>409</v>
      </c>
      <c r="F857" s="1" t="s">
        <v>408</v>
      </c>
      <c r="H857" s="1">
        <v>1</v>
      </c>
      <c r="L857" s="51">
        <v>45362</v>
      </c>
      <c r="M857" s="1" t="s">
        <v>135</v>
      </c>
      <c r="N857" s="1">
        <v>680</v>
      </c>
      <c r="O857" s="1">
        <v>62.6</v>
      </c>
      <c r="P857" s="1">
        <v>42568</v>
      </c>
      <c r="Q857" s="1">
        <v>-3.4</v>
      </c>
      <c r="R857" s="1" t="s">
        <v>83</v>
      </c>
      <c r="T857" s="50">
        <f>IF(ISNUMBER(VLOOKUP(U857,Blotter!B:C,2,0)),VLOOKUP(U857,Blotter!B:C,2,0),"")</f>
        <v>40</v>
      </c>
      <c r="U857" s="49" t="str">
        <f t="shared" si="876"/>
        <v>CYTK</v>
      </c>
      <c r="V857" s="49">
        <f t="shared" si="877"/>
        <v>680</v>
      </c>
      <c r="W857" s="49">
        <f t="shared" si="878"/>
        <v>62.6</v>
      </c>
      <c r="X857" s="49">
        <f t="shared" si="879"/>
        <v>-3.4</v>
      </c>
    </row>
    <row r="858" spans="1:24" x14ac:dyDescent="0.4">
      <c r="A858" s="1" t="s">
        <v>138</v>
      </c>
      <c r="B858" s="1" t="s">
        <v>83</v>
      </c>
      <c r="C858" s="1" t="s">
        <v>82</v>
      </c>
      <c r="D858" s="1" t="s">
        <v>428</v>
      </c>
      <c r="E858" s="1" t="s">
        <v>430</v>
      </c>
      <c r="F858" s="1" t="s">
        <v>100</v>
      </c>
      <c r="G858" s="1" t="s">
        <v>101</v>
      </c>
      <c r="H858" s="1">
        <v>50000</v>
      </c>
      <c r="J858" s="51">
        <v>45427</v>
      </c>
      <c r="L858" s="51">
        <v>45362</v>
      </c>
      <c r="M858" s="1" t="s">
        <v>135</v>
      </c>
      <c r="N858" s="1">
        <v>3</v>
      </c>
      <c r="O858" s="59">
        <v>96.5</v>
      </c>
      <c r="P858" s="1">
        <v>144750</v>
      </c>
      <c r="Q858" s="1">
        <v>-8.91</v>
      </c>
      <c r="R858" s="1" t="s">
        <v>83</v>
      </c>
      <c r="T858" s="50">
        <f>IF(ISNUMBER(VLOOKUP(U858,Blotter!B:C,2,0)),VLOOKUP(U858,Blotter!B:C,2,0),"")</f>
        <v>46</v>
      </c>
      <c r="U858" s="49" t="str">
        <f t="shared" si="876"/>
        <v>CTK4</v>
      </c>
      <c r="V858" s="49">
        <f t="shared" si="877"/>
        <v>3</v>
      </c>
      <c r="W858" s="49">
        <f t="shared" si="878"/>
        <v>96.5</v>
      </c>
      <c r="X858" s="49">
        <f t="shared" si="879"/>
        <v>-8.91</v>
      </c>
    </row>
    <row r="859" spans="1:24" x14ac:dyDescent="0.4">
      <c r="A859" s="1" t="s">
        <v>138</v>
      </c>
      <c r="B859" s="1" t="s">
        <v>83</v>
      </c>
      <c r="C859" s="1" t="s">
        <v>82</v>
      </c>
      <c r="D859" s="1" t="s">
        <v>428</v>
      </c>
      <c r="E859" s="1" t="s">
        <v>430</v>
      </c>
      <c r="F859" s="1" t="s">
        <v>100</v>
      </c>
      <c r="G859" s="1" t="s">
        <v>101</v>
      </c>
      <c r="H859" s="1">
        <v>50000</v>
      </c>
      <c r="J859" s="51">
        <v>45427</v>
      </c>
      <c r="L859" s="51">
        <v>45362</v>
      </c>
      <c r="M859" s="1" t="s">
        <v>135</v>
      </c>
      <c r="N859" s="1">
        <v>1</v>
      </c>
      <c r="O859" s="59">
        <v>96.5</v>
      </c>
      <c r="P859" s="1">
        <v>48250</v>
      </c>
      <c r="Q859" s="1">
        <v>-2.97</v>
      </c>
      <c r="R859" s="1" t="s">
        <v>83</v>
      </c>
      <c r="T859" s="50">
        <f>IF(ISNUMBER(VLOOKUP(U859,Blotter!B:C,2,0)),VLOOKUP(U859,Blotter!B:C,2,0),"")</f>
        <v>46</v>
      </c>
      <c r="U859" s="49" t="str">
        <f t="shared" si="876"/>
        <v>CTK4</v>
      </c>
      <c r="V859" s="49">
        <f t="shared" si="877"/>
        <v>1</v>
      </c>
      <c r="W859" s="49">
        <f t="shared" si="878"/>
        <v>96.5</v>
      </c>
      <c r="X859" s="49">
        <f t="shared" si="879"/>
        <v>-2.97</v>
      </c>
    </row>
    <row r="860" spans="1:24" x14ac:dyDescent="0.4">
      <c r="A860" s="1" t="s">
        <v>138</v>
      </c>
      <c r="B860" s="1" t="s">
        <v>83</v>
      </c>
      <c r="C860" s="1" t="s">
        <v>82</v>
      </c>
      <c r="D860" s="1" t="s">
        <v>428</v>
      </c>
      <c r="E860" s="1" t="s">
        <v>430</v>
      </c>
      <c r="F860" s="1" t="s">
        <v>100</v>
      </c>
      <c r="G860" s="1" t="s">
        <v>101</v>
      </c>
      <c r="H860" s="1">
        <v>50000</v>
      </c>
      <c r="J860" s="51">
        <v>45427</v>
      </c>
      <c r="L860" s="51">
        <v>45362</v>
      </c>
      <c r="M860" s="1" t="s">
        <v>135</v>
      </c>
      <c r="N860" s="1">
        <v>3</v>
      </c>
      <c r="O860" s="59">
        <v>96.5</v>
      </c>
      <c r="P860" s="1">
        <v>144750</v>
      </c>
      <c r="Q860" s="1">
        <v>-8.91</v>
      </c>
      <c r="R860" s="1" t="s">
        <v>83</v>
      </c>
      <c r="T860" s="50">
        <f>IF(ISNUMBER(VLOOKUP(U860,Blotter!B:C,2,0)),VLOOKUP(U860,Blotter!B:C,2,0),"")</f>
        <v>46</v>
      </c>
      <c r="U860" s="49" t="str">
        <f t="shared" si="876"/>
        <v>CTK4</v>
      </c>
      <c r="V860" s="49">
        <f t="shared" si="877"/>
        <v>3</v>
      </c>
      <c r="W860" s="49">
        <f t="shared" si="878"/>
        <v>96.5</v>
      </c>
      <c r="X860" s="49">
        <f t="shared" si="879"/>
        <v>-8.91</v>
      </c>
    </row>
    <row r="861" spans="1:24" x14ac:dyDescent="0.4">
      <c r="A861" s="1" t="s">
        <v>138</v>
      </c>
      <c r="B861" s="1" t="s">
        <v>83</v>
      </c>
      <c r="C861" s="1" t="s">
        <v>82</v>
      </c>
      <c r="D861" s="1" t="s">
        <v>428</v>
      </c>
      <c r="E861" s="1" t="s">
        <v>430</v>
      </c>
      <c r="F861" s="1" t="s">
        <v>100</v>
      </c>
      <c r="G861" s="1" t="s">
        <v>101</v>
      </c>
      <c r="H861" s="1">
        <v>50000</v>
      </c>
      <c r="J861" s="51">
        <v>45427</v>
      </c>
      <c r="L861" s="51">
        <v>45362</v>
      </c>
      <c r="M861" s="1" t="s">
        <v>135</v>
      </c>
      <c r="N861" s="1">
        <v>4</v>
      </c>
      <c r="O861" s="59">
        <v>95.3</v>
      </c>
      <c r="P861" s="1">
        <v>190600</v>
      </c>
      <c r="Q861" s="1">
        <v>-11.88</v>
      </c>
      <c r="R861" s="1" t="s">
        <v>83</v>
      </c>
      <c r="T861" s="50">
        <f>IF(ISNUMBER(VLOOKUP(U861,Blotter!B:C,2,0)),VLOOKUP(U861,Blotter!B:C,2,0),"")</f>
        <v>46</v>
      </c>
      <c r="U861" s="49" t="str">
        <f t="shared" si="876"/>
        <v>CTK4</v>
      </c>
      <c r="V861" s="49">
        <f t="shared" si="877"/>
        <v>4</v>
      </c>
      <c r="W861" s="49">
        <f t="shared" si="878"/>
        <v>95.3</v>
      </c>
      <c r="X861" s="49">
        <f t="shared" si="879"/>
        <v>-11.88</v>
      </c>
    </row>
    <row r="862" spans="1:24" x14ac:dyDescent="0.4">
      <c r="A862" s="1" t="s">
        <v>138</v>
      </c>
      <c r="B862" s="1" t="s">
        <v>83</v>
      </c>
      <c r="C862" s="1" t="s">
        <v>82</v>
      </c>
      <c r="D862" s="1" t="s">
        <v>428</v>
      </c>
      <c r="E862" s="1" t="s">
        <v>430</v>
      </c>
      <c r="F862" s="1" t="s">
        <v>100</v>
      </c>
      <c r="G862" s="1" t="s">
        <v>101</v>
      </c>
      <c r="H862" s="1">
        <v>50000</v>
      </c>
      <c r="J862" s="51">
        <v>45427</v>
      </c>
      <c r="L862" s="51">
        <v>45362</v>
      </c>
      <c r="M862" s="1" t="s">
        <v>135</v>
      </c>
      <c r="N862" s="1">
        <v>1</v>
      </c>
      <c r="O862" s="59">
        <v>95.3</v>
      </c>
      <c r="P862" s="1">
        <v>47650</v>
      </c>
      <c r="Q862" s="1">
        <v>-2.97</v>
      </c>
      <c r="R862" s="1" t="s">
        <v>83</v>
      </c>
      <c r="T862" s="50">
        <f>IF(ISNUMBER(VLOOKUP(U862,Blotter!B:C,2,0)),VLOOKUP(U862,Blotter!B:C,2,0),"")</f>
        <v>46</v>
      </c>
      <c r="U862" s="49" t="str">
        <f t="shared" si="876"/>
        <v>CTK4</v>
      </c>
      <c r="V862" s="49">
        <f t="shared" si="877"/>
        <v>1</v>
      </c>
      <c r="W862" s="49">
        <f t="shared" si="878"/>
        <v>95.3</v>
      </c>
      <c r="X862" s="49">
        <f t="shared" si="879"/>
        <v>-2.97</v>
      </c>
    </row>
    <row r="863" spans="1:24" x14ac:dyDescent="0.4">
      <c r="A863" s="1" t="s">
        <v>138</v>
      </c>
      <c r="B863" s="1" t="s">
        <v>83</v>
      </c>
      <c r="C863" s="1" t="s">
        <v>82</v>
      </c>
      <c r="D863" s="1" t="s">
        <v>428</v>
      </c>
      <c r="E863" s="1" t="s">
        <v>430</v>
      </c>
      <c r="F863" s="1" t="s">
        <v>100</v>
      </c>
      <c r="G863" s="1" t="s">
        <v>101</v>
      </c>
      <c r="H863" s="1">
        <v>50000</v>
      </c>
      <c r="J863" s="51">
        <v>45427</v>
      </c>
      <c r="L863" s="51">
        <v>45362</v>
      </c>
      <c r="M863" s="1" t="s">
        <v>135</v>
      </c>
      <c r="N863" s="1">
        <v>1</v>
      </c>
      <c r="O863" s="59">
        <v>95.3</v>
      </c>
      <c r="P863" s="1">
        <v>47650</v>
      </c>
      <c r="Q863" s="1">
        <v>-2.97</v>
      </c>
      <c r="R863" s="1" t="s">
        <v>83</v>
      </c>
      <c r="T863" s="50">
        <f>IF(ISNUMBER(VLOOKUP(U863,Blotter!B:C,2,0)),VLOOKUP(U863,Blotter!B:C,2,0),"")</f>
        <v>46</v>
      </c>
      <c r="U863" s="49" t="str">
        <f t="shared" si="876"/>
        <v>CTK4</v>
      </c>
      <c r="V863" s="49">
        <f t="shared" si="877"/>
        <v>1</v>
      </c>
      <c r="W863" s="49">
        <f t="shared" si="878"/>
        <v>95.3</v>
      </c>
      <c r="X863" s="49">
        <f t="shared" si="879"/>
        <v>-2.97</v>
      </c>
    </row>
    <row r="864" spans="1:24" x14ac:dyDescent="0.4">
      <c r="A864" s="1" t="s">
        <v>138</v>
      </c>
      <c r="B864" s="1" t="s">
        <v>83</v>
      </c>
      <c r="C864" s="1" t="s">
        <v>82</v>
      </c>
      <c r="D864" s="1" t="s">
        <v>428</v>
      </c>
      <c r="E864" s="1" t="s">
        <v>430</v>
      </c>
      <c r="F864" s="1" t="s">
        <v>100</v>
      </c>
      <c r="G864" s="1" t="s">
        <v>101</v>
      </c>
      <c r="H864" s="1">
        <v>50000</v>
      </c>
      <c r="J864" s="51">
        <v>45427</v>
      </c>
      <c r="L864" s="51">
        <v>45362</v>
      </c>
      <c r="M864" s="1" t="s">
        <v>135</v>
      </c>
      <c r="N864" s="1">
        <v>1</v>
      </c>
      <c r="O864" s="59">
        <v>95.3</v>
      </c>
      <c r="P864" s="1">
        <v>47650</v>
      </c>
      <c r="Q864" s="1">
        <v>-2.97</v>
      </c>
      <c r="R864" s="1" t="s">
        <v>83</v>
      </c>
      <c r="T864" s="50">
        <f>IF(ISNUMBER(VLOOKUP(U864,Blotter!B:C,2,0)),VLOOKUP(U864,Blotter!B:C,2,0),"")</f>
        <v>46</v>
      </c>
      <c r="U864" s="49" t="str">
        <f t="shared" si="876"/>
        <v>CTK4</v>
      </c>
      <c r="V864" s="49">
        <f t="shared" si="877"/>
        <v>1</v>
      </c>
      <c r="W864" s="49">
        <f t="shared" si="878"/>
        <v>95.3</v>
      </c>
      <c r="X864" s="49">
        <f t="shared" si="879"/>
        <v>-2.97</v>
      </c>
    </row>
    <row r="865" spans="1:24" x14ac:dyDescent="0.4">
      <c r="A865" s="1" t="s">
        <v>138</v>
      </c>
      <c r="B865" s="1" t="s">
        <v>83</v>
      </c>
      <c r="C865" s="1" t="s">
        <v>82</v>
      </c>
      <c r="D865" s="1" t="s">
        <v>428</v>
      </c>
      <c r="E865" s="1" t="s">
        <v>430</v>
      </c>
      <c r="F865" s="1" t="s">
        <v>100</v>
      </c>
      <c r="G865" s="1" t="s">
        <v>101</v>
      </c>
      <c r="H865" s="1">
        <v>50000</v>
      </c>
      <c r="J865" s="51">
        <v>45427</v>
      </c>
      <c r="L865" s="51">
        <v>45362</v>
      </c>
      <c r="M865" s="1" t="s">
        <v>139</v>
      </c>
      <c r="N865" s="1">
        <v>-5</v>
      </c>
      <c r="O865" s="59">
        <v>95.3</v>
      </c>
      <c r="P865" s="1">
        <v>-238250</v>
      </c>
      <c r="Q865" s="1">
        <v>-14.85</v>
      </c>
      <c r="R865" s="1" t="s">
        <v>83</v>
      </c>
      <c r="T865" s="50">
        <f>IF(ISNUMBER(VLOOKUP(U865,Blotter!B:C,2,0)),VLOOKUP(U865,Blotter!B:C,2,0),"")</f>
        <v>46</v>
      </c>
      <c r="U865" s="49" t="str">
        <f t="shared" si="876"/>
        <v>CTK4</v>
      </c>
      <c r="V865" s="49">
        <f t="shared" si="877"/>
        <v>-5</v>
      </c>
      <c r="W865" s="49">
        <f t="shared" si="878"/>
        <v>95.3</v>
      </c>
      <c r="X865" s="49">
        <f t="shared" si="879"/>
        <v>-14.85</v>
      </c>
    </row>
    <row r="866" spans="1:24" x14ac:dyDescent="0.4">
      <c r="A866" s="1" t="s">
        <v>138</v>
      </c>
      <c r="B866" s="1" t="s">
        <v>83</v>
      </c>
      <c r="C866" s="1" t="s">
        <v>82</v>
      </c>
      <c r="D866" s="1" t="s">
        <v>428</v>
      </c>
      <c r="E866" s="1" t="s">
        <v>430</v>
      </c>
      <c r="F866" s="1" t="s">
        <v>100</v>
      </c>
      <c r="G866" s="1" t="s">
        <v>101</v>
      </c>
      <c r="H866" s="1">
        <v>50000</v>
      </c>
      <c r="J866" s="51">
        <v>45427</v>
      </c>
      <c r="L866" s="51">
        <v>45362</v>
      </c>
      <c r="M866" s="1" t="s">
        <v>139</v>
      </c>
      <c r="N866" s="1">
        <v>-8</v>
      </c>
      <c r="O866" s="59">
        <v>95.3</v>
      </c>
      <c r="P866" s="1">
        <v>-381200</v>
      </c>
      <c r="Q866" s="1">
        <v>-23.76</v>
      </c>
      <c r="R866" s="1" t="s">
        <v>83</v>
      </c>
      <c r="T866" s="50">
        <f>IF(ISNUMBER(VLOOKUP(U866,Blotter!B:C,2,0)),VLOOKUP(U866,Blotter!B:C,2,0),"")</f>
        <v>46</v>
      </c>
      <c r="U866" s="49" t="str">
        <f t="shared" si="876"/>
        <v>CTK4</v>
      </c>
      <c r="V866" s="49">
        <f t="shared" si="877"/>
        <v>-8</v>
      </c>
      <c r="W866" s="49">
        <f t="shared" si="878"/>
        <v>95.3</v>
      </c>
      <c r="X866" s="49">
        <f t="shared" si="879"/>
        <v>-23.76</v>
      </c>
    </row>
    <row r="867" spans="1:24" x14ac:dyDescent="0.4">
      <c r="A867" s="1" t="s">
        <v>138</v>
      </c>
      <c r="B867" s="1" t="s">
        <v>83</v>
      </c>
      <c r="C867" s="1" t="s">
        <v>82</v>
      </c>
      <c r="D867" s="1" t="s">
        <v>428</v>
      </c>
      <c r="E867" s="1" t="s">
        <v>430</v>
      </c>
      <c r="F867" s="1" t="s">
        <v>100</v>
      </c>
      <c r="G867" s="1" t="s">
        <v>101</v>
      </c>
      <c r="H867" s="1">
        <v>50000</v>
      </c>
      <c r="J867" s="51">
        <v>45427</v>
      </c>
      <c r="L867" s="51">
        <v>45362</v>
      </c>
      <c r="M867" s="1" t="s">
        <v>139</v>
      </c>
      <c r="N867" s="1">
        <v>-1</v>
      </c>
      <c r="O867" s="59">
        <v>95.3</v>
      </c>
      <c r="P867" s="1">
        <v>-47650</v>
      </c>
      <c r="Q867" s="1">
        <v>-2.97</v>
      </c>
      <c r="R867" s="1" t="s">
        <v>83</v>
      </c>
      <c r="T867" s="50">
        <f>IF(ISNUMBER(VLOOKUP(U867,Blotter!B:C,2,0)),VLOOKUP(U867,Blotter!B:C,2,0),"")</f>
        <v>46</v>
      </c>
      <c r="U867" s="49" t="str">
        <f t="shared" si="876"/>
        <v>CTK4</v>
      </c>
      <c r="V867" s="49">
        <f t="shared" si="877"/>
        <v>-1</v>
      </c>
      <c r="W867" s="49">
        <f t="shared" si="878"/>
        <v>95.3</v>
      </c>
      <c r="X867" s="49">
        <f t="shared" si="879"/>
        <v>-2.97</v>
      </c>
    </row>
    <row r="868" spans="1:24" x14ac:dyDescent="0.4">
      <c r="A868" s="1" t="s">
        <v>138</v>
      </c>
      <c r="B868" s="1" t="s">
        <v>83</v>
      </c>
      <c r="C868" s="1" t="s">
        <v>82</v>
      </c>
      <c r="D868" s="1" t="s">
        <v>428</v>
      </c>
      <c r="E868" s="1" t="s">
        <v>430</v>
      </c>
      <c r="F868" s="1" t="s">
        <v>100</v>
      </c>
      <c r="G868" s="1" t="s">
        <v>101</v>
      </c>
      <c r="H868" s="1">
        <v>50000</v>
      </c>
      <c r="J868" s="51">
        <v>45427</v>
      </c>
      <c r="L868" s="51">
        <v>45362</v>
      </c>
      <c r="M868" s="1" t="s">
        <v>139</v>
      </c>
      <c r="N868" s="1">
        <v>-1</v>
      </c>
      <c r="O868" s="59">
        <v>97.3</v>
      </c>
      <c r="P868" s="1">
        <v>-48650</v>
      </c>
      <c r="Q868" s="1">
        <v>-2.97</v>
      </c>
      <c r="R868" s="1" t="s">
        <v>83</v>
      </c>
      <c r="T868" s="50">
        <f>IF(ISNUMBER(VLOOKUP(U868,Blotter!B:C,2,0)),VLOOKUP(U868,Blotter!B:C,2,0),"")</f>
        <v>46</v>
      </c>
      <c r="U868" s="49" t="str">
        <f t="shared" si="876"/>
        <v>CTK4</v>
      </c>
      <c r="V868" s="49">
        <f t="shared" si="877"/>
        <v>-1</v>
      </c>
      <c r="W868" s="49">
        <f t="shared" si="878"/>
        <v>97.3</v>
      </c>
      <c r="X868" s="49">
        <f t="shared" si="879"/>
        <v>-2.97</v>
      </c>
    </row>
    <row r="869" spans="1:24" x14ac:dyDescent="0.4">
      <c r="A869" s="1" t="s">
        <v>138</v>
      </c>
      <c r="B869" s="1" t="s">
        <v>83</v>
      </c>
      <c r="C869" s="1" t="s">
        <v>82</v>
      </c>
      <c r="D869" s="1" t="s">
        <v>428</v>
      </c>
      <c r="E869" s="1" t="s">
        <v>430</v>
      </c>
      <c r="F869" s="1" t="s">
        <v>100</v>
      </c>
      <c r="G869" s="1" t="s">
        <v>101</v>
      </c>
      <c r="H869" s="1">
        <v>50000</v>
      </c>
      <c r="J869" s="51">
        <v>45427</v>
      </c>
      <c r="L869" s="51">
        <v>45362</v>
      </c>
      <c r="M869" s="1" t="s">
        <v>139</v>
      </c>
      <c r="N869" s="1">
        <v>-5</v>
      </c>
      <c r="O869" s="59">
        <v>97.3</v>
      </c>
      <c r="P869" s="1">
        <v>-243250</v>
      </c>
      <c r="Q869" s="1">
        <v>-14.85</v>
      </c>
      <c r="R869" s="1" t="s">
        <v>83</v>
      </c>
      <c r="T869" s="50">
        <f>IF(ISNUMBER(VLOOKUP(U869,Blotter!B:C,2,0)),VLOOKUP(U869,Blotter!B:C,2,0),"")</f>
        <v>46</v>
      </c>
      <c r="U869" s="49" t="str">
        <f t="shared" si="876"/>
        <v>CTK4</v>
      </c>
      <c r="V869" s="49">
        <f t="shared" si="877"/>
        <v>-5</v>
      </c>
      <c r="W869" s="49">
        <f t="shared" si="878"/>
        <v>97.3</v>
      </c>
      <c r="X869" s="49">
        <f t="shared" si="879"/>
        <v>-14.85</v>
      </c>
    </row>
    <row r="870" spans="1:24" x14ac:dyDescent="0.4">
      <c r="A870" s="1" t="s">
        <v>138</v>
      </c>
      <c r="B870" s="1" t="s">
        <v>83</v>
      </c>
      <c r="C870" s="1" t="s">
        <v>82</v>
      </c>
      <c r="D870" s="1" t="s">
        <v>428</v>
      </c>
      <c r="E870" s="1" t="s">
        <v>430</v>
      </c>
      <c r="F870" s="1" t="s">
        <v>100</v>
      </c>
      <c r="G870" s="1" t="s">
        <v>101</v>
      </c>
      <c r="H870" s="1">
        <v>50000</v>
      </c>
      <c r="J870" s="51">
        <v>45427</v>
      </c>
      <c r="L870" s="51">
        <v>45362</v>
      </c>
      <c r="M870" s="1" t="s">
        <v>139</v>
      </c>
      <c r="N870" s="1">
        <v>-1</v>
      </c>
      <c r="O870" s="59">
        <v>97.3</v>
      </c>
      <c r="P870" s="1">
        <v>-48650</v>
      </c>
      <c r="Q870" s="1">
        <v>-2.97</v>
      </c>
      <c r="R870" s="1" t="s">
        <v>83</v>
      </c>
      <c r="T870" s="50">
        <f>IF(ISNUMBER(VLOOKUP(U870,Blotter!B:C,2,0)),VLOOKUP(U870,Blotter!B:C,2,0),"")</f>
        <v>46</v>
      </c>
      <c r="U870" s="49" t="str">
        <f t="shared" si="876"/>
        <v>CTK4</v>
      </c>
      <c r="V870" s="49">
        <f t="shared" si="877"/>
        <v>-1</v>
      </c>
      <c r="W870" s="49">
        <f t="shared" si="878"/>
        <v>97.3</v>
      </c>
      <c r="X870" s="49">
        <f t="shared" si="879"/>
        <v>-2.97</v>
      </c>
    </row>
    <row r="871" spans="1:24" x14ac:dyDescent="0.4">
      <c r="A871" s="1" t="s">
        <v>138</v>
      </c>
      <c r="B871" s="1" t="s">
        <v>83</v>
      </c>
      <c r="C871" s="1" t="s">
        <v>82</v>
      </c>
      <c r="D871" s="1" t="s">
        <v>428</v>
      </c>
      <c r="E871" s="1" t="s">
        <v>430</v>
      </c>
      <c r="F871" s="1" t="s">
        <v>100</v>
      </c>
      <c r="G871" s="1" t="s">
        <v>101</v>
      </c>
      <c r="H871" s="1">
        <v>50000</v>
      </c>
      <c r="J871" s="51">
        <v>45427</v>
      </c>
      <c r="L871" s="51">
        <v>45363</v>
      </c>
      <c r="M871" s="1" t="s">
        <v>135</v>
      </c>
      <c r="N871" s="1">
        <v>7</v>
      </c>
      <c r="O871" s="59">
        <v>94.4</v>
      </c>
      <c r="P871" s="1">
        <v>330400</v>
      </c>
      <c r="Q871" s="1">
        <v>-20.79</v>
      </c>
      <c r="R871" s="1" t="s">
        <v>83</v>
      </c>
      <c r="T871" s="50">
        <f>IF(ISNUMBER(VLOOKUP(U871,Blotter!B:C,2,0)),VLOOKUP(U871,Blotter!B:C,2,0),"")</f>
        <v>46</v>
      </c>
      <c r="U871" s="49" t="str">
        <f t="shared" ref="U871:U872" si="880">D871</f>
        <v>CTK4</v>
      </c>
      <c r="V871" s="49">
        <f t="shared" ref="V871:V872" si="881">N871</f>
        <v>7</v>
      </c>
      <c r="W871" s="49">
        <f t="shared" ref="W871:W872" si="882">O871</f>
        <v>94.4</v>
      </c>
      <c r="X871" s="49">
        <f t="shared" ref="X871:X872" si="883">Q871</f>
        <v>-20.79</v>
      </c>
    </row>
    <row r="872" spans="1:24" x14ac:dyDescent="0.4">
      <c r="A872" s="1" t="s">
        <v>138</v>
      </c>
      <c r="B872" s="1" t="s">
        <v>83</v>
      </c>
      <c r="C872" s="1" t="s">
        <v>86</v>
      </c>
      <c r="D872" s="1" t="s">
        <v>445</v>
      </c>
      <c r="E872" s="1" t="s">
        <v>446</v>
      </c>
      <c r="F872" s="1" t="s">
        <v>124</v>
      </c>
      <c r="G872" s="1" t="s">
        <v>444</v>
      </c>
      <c r="H872" s="1">
        <v>50</v>
      </c>
      <c r="I872" s="1">
        <v>5020</v>
      </c>
      <c r="J872" s="51">
        <v>45412</v>
      </c>
      <c r="K872" s="1" t="s">
        <v>89</v>
      </c>
      <c r="L872" s="51">
        <v>45363</v>
      </c>
      <c r="M872" s="1" t="s">
        <v>139</v>
      </c>
      <c r="N872" s="1">
        <v>-20</v>
      </c>
      <c r="O872" s="1">
        <v>34.25</v>
      </c>
      <c r="P872" s="1">
        <v>-34250</v>
      </c>
      <c r="Q872" s="1">
        <v>-28.4</v>
      </c>
      <c r="R872" s="1" t="s">
        <v>83</v>
      </c>
      <c r="T872" s="50">
        <f>IF(ISNUMBER(VLOOKUP(U872,Blotter!B:C,2,0)),VLOOKUP(U872,Blotter!B:C,2,0),"")</f>
        <v>48</v>
      </c>
      <c r="U872" s="49" t="str">
        <f t="shared" si="880"/>
        <v>EWJ4 P5020</v>
      </c>
      <c r="V872" s="49">
        <f t="shared" si="881"/>
        <v>-20</v>
      </c>
      <c r="W872" s="49">
        <f t="shared" si="882"/>
        <v>34.25</v>
      </c>
      <c r="X872" s="49">
        <f t="shared" si="883"/>
        <v>-28.4</v>
      </c>
    </row>
    <row r="873" spans="1:24" x14ac:dyDescent="0.4">
      <c r="A873" s="1" t="s">
        <v>138</v>
      </c>
      <c r="B873" s="1" t="s">
        <v>83</v>
      </c>
      <c r="C873" s="1" t="s">
        <v>82</v>
      </c>
      <c r="D873" s="1" t="s">
        <v>428</v>
      </c>
      <c r="E873" s="1" t="s">
        <v>430</v>
      </c>
      <c r="F873" s="1" t="s">
        <v>100</v>
      </c>
      <c r="G873" s="1" t="s">
        <v>101</v>
      </c>
      <c r="H873" s="1">
        <v>50000</v>
      </c>
      <c r="J873" s="51">
        <v>45427</v>
      </c>
      <c r="L873" s="51">
        <v>45369</v>
      </c>
      <c r="M873" s="1" t="s">
        <v>139</v>
      </c>
      <c r="N873" s="1">
        <v>-7</v>
      </c>
      <c r="O873" s="59">
        <v>95.9</v>
      </c>
      <c r="P873" s="1">
        <v>-335650</v>
      </c>
      <c r="Q873" s="1">
        <v>-20.79</v>
      </c>
      <c r="R873" s="1" t="s">
        <v>83</v>
      </c>
      <c r="T873" s="50">
        <f>IF(ISNUMBER(VLOOKUP(U873,Blotter!B:C,2,0)),VLOOKUP(U873,Blotter!B:C,2,0),"")</f>
        <v>46</v>
      </c>
      <c r="U873" s="49" t="str">
        <f t="shared" ref="U873:U879" si="884">D873</f>
        <v>CTK4</v>
      </c>
      <c r="V873" s="49">
        <f t="shared" ref="V873:V879" si="885">N873</f>
        <v>-7</v>
      </c>
      <c r="W873" s="49">
        <f t="shared" ref="W873:W879" si="886">O873</f>
        <v>95.9</v>
      </c>
      <c r="X873" s="49">
        <f t="shared" ref="X873:X879" si="887">Q873</f>
        <v>-20.79</v>
      </c>
    </row>
    <row r="874" spans="1:24" x14ac:dyDescent="0.4">
      <c r="A874" s="1" t="s">
        <v>138</v>
      </c>
      <c r="B874" s="1" t="s">
        <v>83</v>
      </c>
      <c r="C874" s="1" t="s">
        <v>82</v>
      </c>
      <c r="D874" s="1" t="s">
        <v>450</v>
      </c>
      <c r="E874" s="1" t="s">
        <v>451</v>
      </c>
      <c r="F874" s="1" t="s">
        <v>100</v>
      </c>
      <c r="G874" s="1" t="s">
        <v>33</v>
      </c>
      <c r="H874" s="1">
        <v>37500</v>
      </c>
      <c r="J874" s="51">
        <v>45433</v>
      </c>
      <c r="L874" s="51">
        <v>45369</v>
      </c>
      <c r="M874" s="1" t="s">
        <v>135</v>
      </c>
      <c r="N874" s="1">
        <v>1</v>
      </c>
      <c r="O874" s="59">
        <v>183.2</v>
      </c>
      <c r="P874" s="1">
        <v>68700</v>
      </c>
      <c r="Q874" s="1">
        <v>-2.97</v>
      </c>
      <c r="R874" s="1" t="s">
        <v>83</v>
      </c>
      <c r="T874" s="50">
        <f>IF(ISNUMBER(VLOOKUP(U874,Blotter!B:C,2,0)),VLOOKUP(U874,Blotter!B:C,2,0),"")</f>
        <v>48</v>
      </c>
      <c r="U874" s="49" t="str">
        <f t="shared" si="884"/>
        <v>KCK4</v>
      </c>
      <c r="V874" s="49">
        <f t="shared" si="885"/>
        <v>1</v>
      </c>
      <c r="W874" s="49">
        <f t="shared" si="886"/>
        <v>183.2</v>
      </c>
      <c r="X874" s="49">
        <f t="shared" si="887"/>
        <v>-2.97</v>
      </c>
    </row>
    <row r="875" spans="1:24" x14ac:dyDescent="0.4">
      <c r="A875" s="1" t="s">
        <v>138</v>
      </c>
      <c r="B875" s="1" t="s">
        <v>83</v>
      </c>
      <c r="C875" s="1" t="s">
        <v>82</v>
      </c>
      <c r="D875" s="1" t="s">
        <v>450</v>
      </c>
      <c r="E875" s="1" t="s">
        <v>451</v>
      </c>
      <c r="F875" s="1" t="s">
        <v>100</v>
      </c>
      <c r="G875" s="1" t="s">
        <v>33</v>
      </c>
      <c r="H875" s="1">
        <v>37500</v>
      </c>
      <c r="J875" s="51">
        <v>45433</v>
      </c>
      <c r="L875" s="51">
        <v>45369</v>
      </c>
      <c r="M875" s="1" t="s">
        <v>135</v>
      </c>
      <c r="N875" s="1">
        <v>4</v>
      </c>
      <c r="O875" s="59">
        <v>183.2</v>
      </c>
      <c r="P875" s="1">
        <v>274800</v>
      </c>
      <c r="Q875" s="1">
        <v>-11.88</v>
      </c>
      <c r="R875" s="1" t="s">
        <v>83</v>
      </c>
      <c r="T875" s="50">
        <f>IF(ISNUMBER(VLOOKUP(U875,Blotter!B:C,2,0)),VLOOKUP(U875,Blotter!B:C,2,0),"")</f>
        <v>48</v>
      </c>
      <c r="U875" s="49" t="str">
        <f t="shared" si="884"/>
        <v>KCK4</v>
      </c>
      <c r="V875" s="49">
        <f t="shared" si="885"/>
        <v>4</v>
      </c>
      <c r="W875" s="49">
        <f t="shared" si="886"/>
        <v>183.2</v>
      </c>
      <c r="X875" s="49">
        <f t="shared" si="887"/>
        <v>-11.88</v>
      </c>
    </row>
    <row r="876" spans="1:24" x14ac:dyDescent="0.4">
      <c r="A876" s="1" t="s">
        <v>138</v>
      </c>
      <c r="B876" s="1" t="s">
        <v>83</v>
      </c>
      <c r="C876" s="1" t="s">
        <v>82</v>
      </c>
      <c r="D876" s="1" t="s">
        <v>428</v>
      </c>
      <c r="E876" s="1" t="s">
        <v>430</v>
      </c>
      <c r="F876" s="1" t="s">
        <v>100</v>
      </c>
      <c r="G876" s="1" t="s">
        <v>101</v>
      </c>
      <c r="H876" s="1">
        <v>50000</v>
      </c>
      <c r="J876" s="51">
        <v>45427</v>
      </c>
      <c r="L876" s="51">
        <v>45370</v>
      </c>
      <c r="M876" s="1" t="s">
        <v>135</v>
      </c>
      <c r="N876" s="1">
        <v>4</v>
      </c>
      <c r="O876" s="59">
        <v>92.6</v>
      </c>
      <c r="P876" s="1">
        <v>185200</v>
      </c>
      <c r="Q876" s="1">
        <v>-11.88</v>
      </c>
      <c r="R876" s="1" t="s">
        <v>83</v>
      </c>
      <c r="T876" s="50">
        <f>IF(ISNUMBER(VLOOKUP(U876,Blotter!B:C,2,0)),VLOOKUP(U876,Blotter!B:C,2,0),"")</f>
        <v>46</v>
      </c>
      <c r="U876" s="49" t="str">
        <f t="shared" si="884"/>
        <v>CTK4</v>
      </c>
      <c r="V876" s="49">
        <f t="shared" si="885"/>
        <v>4</v>
      </c>
      <c r="W876" s="49">
        <f t="shared" si="886"/>
        <v>92.6</v>
      </c>
      <c r="X876" s="49">
        <f t="shared" si="887"/>
        <v>-11.88</v>
      </c>
    </row>
    <row r="877" spans="1:24" x14ac:dyDescent="0.4">
      <c r="A877" s="1" t="s">
        <v>138</v>
      </c>
      <c r="B877" s="1" t="s">
        <v>83</v>
      </c>
      <c r="C877" s="1" t="s">
        <v>82</v>
      </c>
      <c r="D877" s="1" t="s">
        <v>428</v>
      </c>
      <c r="E877" s="1" t="s">
        <v>430</v>
      </c>
      <c r="F877" s="1" t="s">
        <v>100</v>
      </c>
      <c r="G877" s="1" t="s">
        <v>101</v>
      </c>
      <c r="H877" s="1">
        <v>50000</v>
      </c>
      <c r="J877" s="51">
        <v>45427</v>
      </c>
      <c r="L877" s="51">
        <v>45370</v>
      </c>
      <c r="M877" s="1" t="s">
        <v>135</v>
      </c>
      <c r="N877" s="1">
        <v>3</v>
      </c>
      <c r="O877" s="59">
        <v>93</v>
      </c>
      <c r="P877" s="1">
        <v>139500</v>
      </c>
      <c r="Q877" s="1">
        <v>-8.91</v>
      </c>
      <c r="R877" s="1" t="s">
        <v>83</v>
      </c>
      <c r="T877" s="50">
        <f>IF(ISNUMBER(VLOOKUP(U877,Blotter!B:C,2,0)),VLOOKUP(U877,Blotter!B:C,2,0),"")</f>
        <v>46</v>
      </c>
      <c r="U877" s="49" t="str">
        <f t="shared" si="884"/>
        <v>CTK4</v>
      </c>
      <c r="V877" s="49">
        <f t="shared" si="885"/>
        <v>3</v>
      </c>
      <c r="W877" s="49">
        <f t="shared" si="886"/>
        <v>93</v>
      </c>
      <c r="X877" s="49">
        <f t="shared" si="887"/>
        <v>-8.91</v>
      </c>
    </row>
    <row r="878" spans="1:24" x14ac:dyDescent="0.4">
      <c r="A878" s="1" t="s">
        <v>138</v>
      </c>
      <c r="B878" s="1" t="s">
        <v>83</v>
      </c>
      <c r="C878" s="1" t="s">
        <v>82</v>
      </c>
      <c r="D878" s="1" t="s">
        <v>428</v>
      </c>
      <c r="E878" s="1" t="s">
        <v>430</v>
      </c>
      <c r="F878" s="1" t="s">
        <v>100</v>
      </c>
      <c r="G878" s="1" t="s">
        <v>101</v>
      </c>
      <c r="H878" s="1">
        <v>50000</v>
      </c>
      <c r="J878" s="51">
        <v>45427</v>
      </c>
      <c r="L878" s="51">
        <v>45370</v>
      </c>
      <c r="M878" s="1" t="s">
        <v>139</v>
      </c>
      <c r="N878" s="1">
        <v>-7</v>
      </c>
      <c r="O878" s="59">
        <v>93.5</v>
      </c>
      <c r="P878" s="1">
        <v>-327250</v>
      </c>
      <c r="Q878" s="1">
        <v>-20.79</v>
      </c>
      <c r="R878" s="1" t="s">
        <v>83</v>
      </c>
      <c r="T878" s="50">
        <f>IF(ISNUMBER(VLOOKUP(U878,Blotter!B:C,2,0)),VLOOKUP(U878,Blotter!B:C,2,0),"")</f>
        <v>46</v>
      </c>
      <c r="U878" s="49" t="str">
        <f t="shared" si="884"/>
        <v>CTK4</v>
      </c>
      <c r="V878" s="49">
        <f t="shared" si="885"/>
        <v>-7</v>
      </c>
      <c r="W878" s="49">
        <f t="shared" si="886"/>
        <v>93.5</v>
      </c>
      <c r="X878" s="49">
        <f t="shared" si="887"/>
        <v>-20.79</v>
      </c>
    </row>
    <row r="879" spans="1:24" x14ac:dyDescent="0.4">
      <c r="A879" s="1" t="s">
        <v>138</v>
      </c>
      <c r="B879" s="1" t="s">
        <v>83</v>
      </c>
      <c r="C879" s="1" t="s">
        <v>82</v>
      </c>
      <c r="D879" s="59" t="s">
        <v>433</v>
      </c>
      <c r="E879" s="1" t="s">
        <v>434</v>
      </c>
      <c r="F879" s="1" t="s">
        <v>127</v>
      </c>
      <c r="G879" s="1" t="s">
        <v>29</v>
      </c>
      <c r="H879" s="1">
        <v>5000</v>
      </c>
      <c r="J879" s="51">
        <v>45426</v>
      </c>
      <c r="L879" s="51">
        <v>45370</v>
      </c>
      <c r="M879" s="1" t="s">
        <v>139</v>
      </c>
      <c r="N879" s="1">
        <v>-10</v>
      </c>
      <c r="O879" s="59">
        <v>550</v>
      </c>
      <c r="P879" s="1">
        <v>-275000</v>
      </c>
      <c r="Q879" s="1">
        <v>-29.7</v>
      </c>
      <c r="R879" s="1" t="s">
        <v>83</v>
      </c>
      <c r="T879" s="50">
        <f>IF(ISNUMBER(VLOOKUP(U879,Blotter!B:C,2,0)),VLOOKUP(U879,Blotter!B:C,2,0),"")</f>
        <v>43</v>
      </c>
      <c r="U879" s="49" t="str">
        <f t="shared" si="884"/>
        <v>ZWK4</v>
      </c>
      <c r="V879" s="49">
        <f t="shared" si="885"/>
        <v>-10</v>
      </c>
      <c r="W879" s="49">
        <f t="shared" si="886"/>
        <v>550</v>
      </c>
      <c r="X879" s="49">
        <f t="shared" si="887"/>
        <v>-29.7</v>
      </c>
    </row>
    <row r="880" spans="1:24" x14ac:dyDescent="0.4">
      <c r="A880" s="1" t="s">
        <v>138</v>
      </c>
      <c r="B880" s="1" t="s">
        <v>83</v>
      </c>
      <c r="C880" s="1" t="s">
        <v>82</v>
      </c>
      <c r="D880" s="1" t="s">
        <v>428</v>
      </c>
      <c r="E880" s="1" t="s">
        <v>430</v>
      </c>
      <c r="F880" s="1" t="s">
        <v>100</v>
      </c>
      <c r="G880" s="1" t="s">
        <v>101</v>
      </c>
      <c r="H880" s="1">
        <v>50000</v>
      </c>
      <c r="J880" s="51">
        <v>45427</v>
      </c>
      <c r="L880" s="51">
        <v>45371</v>
      </c>
      <c r="M880" s="1" t="s">
        <v>135</v>
      </c>
      <c r="N880" s="1">
        <v>2</v>
      </c>
      <c r="O880" s="59">
        <v>92.25</v>
      </c>
      <c r="P880" s="1">
        <v>92250</v>
      </c>
      <c r="Q880" s="1">
        <v>-5.94</v>
      </c>
      <c r="R880" s="1" t="s">
        <v>83</v>
      </c>
      <c r="T880" s="50">
        <f>IF(ISNUMBER(VLOOKUP(U880,Blotter!B:C,2,0)),VLOOKUP(U880,Blotter!B:C,2,0),"")</f>
        <v>46</v>
      </c>
      <c r="U880" s="49" t="str">
        <f t="shared" ref="U880" si="888">D880</f>
        <v>CTK4</v>
      </c>
      <c r="V880" s="49">
        <f t="shared" ref="V880" si="889">N880</f>
        <v>2</v>
      </c>
      <c r="W880" s="49">
        <f t="shared" ref="W880" si="890">O880</f>
        <v>92.25</v>
      </c>
      <c r="X880" s="49">
        <f t="shared" ref="X880" si="891">Q880</f>
        <v>-5.94</v>
      </c>
    </row>
    <row r="881" spans="1:24" x14ac:dyDescent="0.4">
      <c r="A881" s="1" t="s">
        <v>138</v>
      </c>
      <c r="B881" s="1" t="s">
        <v>83</v>
      </c>
      <c r="C881" s="1" t="s">
        <v>82</v>
      </c>
      <c r="D881" s="1" t="s">
        <v>428</v>
      </c>
      <c r="E881" s="1" t="s">
        <v>430</v>
      </c>
      <c r="F881" s="1" t="s">
        <v>100</v>
      </c>
      <c r="G881" s="1" t="s">
        <v>101</v>
      </c>
      <c r="H881" s="1">
        <v>50000</v>
      </c>
      <c r="J881" s="51">
        <v>45427</v>
      </c>
      <c r="L881" s="51">
        <v>45371</v>
      </c>
      <c r="M881" s="1" t="s">
        <v>135</v>
      </c>
      <c r="N881" s="1">
        <v>2</v>
      </c>
      <c r="O881" s="59">
        <v>92.25</v>
      </c>
      <c r="P881" s="1">
        <v>92250</v>
      </c>
      <c r="Q881" s="1">
        <v>-5.94</v>
      </c>
      <c r="R881" s="1" t="s">
        <v>83</v>
      </c>
      <c r="T881" s="50">
        <f>IF(ISNUMBER(VLOOKUP(U881,Blotter!B:C,2,0)),VLOOKUP(U881,Blotter!B:C,2,0),"")</f>
        <v>46</v>
      </c>
      <c r="U881" s="49" t="str">
        <f t="shared" ref="U881:U900" si="892">D881</f>
        <v>CTK4</v>
      </c>
      <c r="V881" s="49">
        <f t="shared" ref="V881:V900" si="893">N881</f>
        <v>2</v>
      </c>
      <c r="W881" s="49">
        <f t="shared" ref="W881:W900" si="894">O881</f>
        <v>92.25</v>
      </c>
      <c r="X881" s="49">
        <f t="shared" ref="X881:X900" si="895">Q881</f>
        <v>-5.94</v>
      </c>
    </row>
    <row r="882" spans="1:24" x14ac:dyDescent="0.4">
      <c r="A882" s="1" t="s">
        <v>138</v>
      </c>
      <c r="B882" s="1" t="s">
        <v>83</v>
      </c>
      <c r="C882" s="1" t="s">
        <v>82</v>
      </c>
      <c r="D882" s="1" t="s">
        <v>428</v>
      </c>
      <c r="E882" s="1" t="s">
        <v>430</v>
      </c>
      <c r="F882" s="1" t="s">
        <v>100</v>
      </c>
      <c r="G882" s="1" t="s">
        <v>101</v>
      </c>
      <c r="H882" s="1">
        <v>50000</v>
      </c>
      <c r="J882" s="51">
        <v>45427</v>
      </c>
      <c r="L882" s="51">
        <v>45371</v>
      </c>
      <c r="M882" s="1" t="s">
        <v>135</v>
      </c>
      <c r="N882" s="1">
        <v>1</v>
      </c>
      <c r="O882" s="59">
        <v>92.02</v>
      </c>
      <c r="P882" s="1">
        <v>46010</v>
      </c>
      <c r="Q882" s="1">
        <v>-2.97</v>
      </c>
      <c r="R882" s="1" t="s">
        <v>83</v>
      </c>
      <c r="T882" s="50">
        <f>IF(ISNUMBER(VLOOKUP(U882,Blotter!B:C,2,0)),VLOOKUP(U882,Blotter!B:C,2,0),"")</f>
        <v>46</v>
      </c>
      <c r="U882" s="49" t="str">
        <f t="shared" si="892"/>
        <v>CTK4</v>
      </c>
      <c r="V882" s="49">
        <f t="shared" si="893"/>
        <v>1</v>
      </c>
      <c r="W882" s="49">
        <f t="shared" si="894"/>
        <v>92.02</v>
      </c>
      <c r="X882" s="49">
        <f t="shared" si="895"/>
        <v>-2.97</v>
      </c>
    </row>
    <row r="883" spans="1:24" x14ac:dyDescent="0.4">
      <c r="A883" s="1" t="s">
        <v>138</v>
      </c>
      <c r="B883" s="1" t="s">
        <v>83</v>
      </c>
      <c r="C883" s="1" t="s">
        <v>82</v>
      </c>
      <c r="D883" s="1" t="s">
        <v>428</v>
      </c>
      <c r="E883" s="1" t="s">
        <v>430</v>
      </c>
      <c r="F883" s="1" t="s">
        <v>100</v>
      </c>
      <c r="G883" s="1" t="s">
        <v>101</v>
      </c>
      <c r="H883" s="1">
        <v>50000</v>
      </c>
      <c r="J883" s="51">
        <v>45427</v>
      </c>
      <c r="L883" s="51">
        <v>45371</v>
      </c>
      <c r="M883" s="1" t="s">
        <v>135</v>
      </c>
      <c r="N883" s="1">
        <v>2</v>
      </c>
      <c r="O883" s="59">
        <v>92.02</v>
      </c>
      <c r="P883" s="1">
        <v>92020</v>
      </c>
      <c r="Q883" s="1">
        <v>-5.94</v>
      </c>
      <c r="R883" s="1" t="s">
        <v>83</v>
      </c>
      <c r="T883" s="50">
        <f>IF(ISNUMBER(VLOOKUP(U883,Blotter!B:C,2,0)),VLOOKUP(U883,Blotter!B:C,2,0),"")</f>
        <v>46</v>
      </c>
      <c r="U883" s="49" t="str">
        <f t="shared" si="892"/>
        <v>CTK4</v>
      </c>
      <c r="V883" s="49">
        <f t="shared" si="893"/>
        <v>2</v>
      </c>
      <c r="W883" s="49">
        <f t="shared" si="894"/>
        <v>92.02</v>
      </c>
      <c r="X883" s="49">
        <f t="shared" si="895"/>
        <v>-5.94</v>
      </c>
    </row>
    <row r="884" spans="1:24" x14ac:dyDescent="0.4">
      <c r="A884" s="1" t="s">
        <v>138</v>
      </c>
      <c r="B884" s="1" t="s">
        <v>83</v>
      </c>
      <c r="C884" s="1" t="s">
        <v>82</v>
      </c>
      <c r="D884" s="1" t="s">
        <v>428</v>
      </c>
      <c r="E884" s="1" t="s">
        <v>430</v>
      </c>
      <c r="F884" s="1" t="s">
        <v>100</v>
      </c>
      <c r="G884" s="1" t="s">
        <v>101</v>
      </c>
      <c r="H884" s="1">
        <v>50000</v>
      </c>
      <c r="J884" s="51">
        <v>45427</v>
      </c>
      <c r="L884" s="51">
        <v>45371</v>
      </c>
      <c r="M884" s="1" t="s">
        <v>139</v>
      </c>
      <c r="N884" s="1">
        <v>-2</v>
      </c>
      <c r="O884" s="59">
        <v>92.2</v>
      </c>
      <c r="P884" s="1">
        <v>-92200</v>
      </c>
      <c r="Q884" s="1">
        <v>-5.94</v>
      </c>
      <c r="R884" s="1" t="s">
        <v>83</v>
      </c>
      <c r="T884" s="50">
        <f>IF(ISNUMBER(VLOOKUP(U884,Blotter!B:C,2,0)),VLOOKUP(U884,Blotter!B:C,2,0),"")</f>
        <v>46</v>
      </c>
      <c r="U884" s="49" t="str">
        <f t="shared" si="892"/>
        <v>CTK4</v>
      </c>
      <c r="V884" s="49">
        <f t="shared" si="893"/>
        <v>-2</v>
      </c>
      <c r="W884" s="49">
        <f t="shared" si="894"/>
        <v>92.2</v>
      </c>
      <c r="X884" s="49">
        <f t="shared" si="895"/>
        <v>-5.94</v>
      </c>
    </row>
    <row r="885" spans="1:24" x14ac:dyDescent="0.4">
      <c r="A885" s="1" t="s">
        <v>138</v>
      </c>
      <c r="B885" s="1" t="s">
        <v>83</v>
      </c>
      <c r="C885" s="1" t="s">
        <v>82</v>
      </c>
      <c r="D885" s="1" t="s">
        <v>428</v>
      </c>
      <c r="E885" s="1" t="s">
        <v>430</v>
      </c>
      <c r="F885" s="1" t="s">
        <v>100</v>
      </c>
      <c r="G885" s="1" t="s">
        <v>101</v>
      </c>
      <c r="H885" s="1">
        <v>50000</v>
      </c>
      <c r="J885" s="51">
        <v>45427</v>
      </c>
      <c r="L885" s="51">
        <v>45371</v>
      </c>
      <c r="M885" s="1" t="s">
        <v>139</v>
      </c>
      <c r="N885" s="1">
        <v>-1</v>
      </c>
      <c r="O885" s="59">
        <v>92.2</v>
      </c>
      <c r="P885" s="1">
        <v>-46100</v>
      </c>
      <c r="Q885" s="1">
        <v>-2.97</v>
      </c>
      <c r="R885" s="1" t="s">
        <v>83</v>
      </c>
      <c r="T885" s="50">
        <f>IF(ISNUMBER(VLOOKUP(U885,Blotter!B:C,2,0)),VLOOKUP(U885,Blotter!B:C,2,0),"")</f>
        <v>46</v>
      </c>
      <c r="U885" s="49" t="str">
        <f t="shared" si="892"/>
        <v>CTK4</v>
      </c>
      <c r="V885" s="49">
        <f t="shared" si="893"/>
        <v>-1</v>
      </c>
      <c r="W885" s="49">
        <f t="shared" si="894"/>
        <v>92.2</v>
      </c>
      <c r="X885" s="49">
        <f t="shared" si="895"/>
        <v>-2.97</v>
      </c>
    </row>
    <row r="886" spans="1:24" x14ac:dyDescent="0.4">
      <c r="A886" s="1" t="s">
        <v>138</v>
      </c>
      <c r="B886" s="1" t="s">
        <v>83</v>
      </c>
      <c r="C886" s="1" t="s">
        <v>82</v>
      </c>
      <c r="D886" s="1" t="s">
        <v>428</v>
      </c>
      <c r="E886" s="1" t="s">
        <v>430</v>
      </c>
      <c r="F886" s="1" t="s">
        <v>100</v>
      </c>
      <c r="G886" s="1" t="s">
        <v>101</v>
      </c>
      <c r="H886" s="1">
        <v>50000</v>
      </c>
      <c r="J886" s="51">
        <v>45427</v>
      </c>
      <c r="L886" s="51">
        <v>45371</v>
      </c>
      <c r="M886" s="1" t="s">
        <v>139</v>
      </c>
      <c r="N886" s="1">
        <v>-1</v>
      </c>
      <c r="O886" s="59">
        <v>92.2</v>
      </c>
      <c r="P886" s="1">
        <v>-46100</v>
      </c>
      <c r="Q886" s="1">
        <v>-2.97</v>
      </c>
      <c r="R886" s="1" t="s">
        <v>83</v>
      </c>
      <c r="T886" s="50">
        <f>IF(ISNUMBER(VLOOKUP(U886,Blotter!B:C,2,0)),VLOOKUP(U886,Blotter!B:C,2,0),"")</f>
        <v>46</v>
      </c>
      <c r="U886" s="49" t="str">
        <f t="shared" si="892"/>
        <v>CTK4</v>
      </c>
      <c r="V886" s="49">
        <f t="shared" si="893"/>
        <v>-1</v>
      </c>
      <c r="W886" s="49">
        <f t="shared" si="894"/>
        <v>92.2</v>
      </c>
      <c r="X886" s="49">
        <f t="shared" si="895"/>
        <v>-2.97</v>
      </c>
    </row>
    <row r="887" spans="1:24" x14ac:dyDescent="0.4">
      <c r="A887" s="1" t="s">
        <v>138</v>
      </c>
      <c r="B887" s="1" t="s">
        <v>83</v>
      </c>
      <c r="C887" s="1" t="s">
        <v>82</v>
      </c>
      <c r="D887" s="1" t="s">
        <v>428</v>
      </c>
      <c r="E887" s="1" t="s">
        <v>430</v>
      </c>
      <c r="F887" s="1" t="s">
        <v>100</v>
      </c>
      <c r="G887" s="1" t="s">
        <v>101</v>
      </c>
      <c r="H887" s="1">
        <v>50000</v>
      </c>
      <c r="J887" s="51">
        <v>45427</v>
      </c>
      <c r="L887" s="51">
        <v>45371</v>
      </c>
      <c r="M887" s="1" t="s">
        <v>139</v>
      </c>
      <c r="N887" s="1">
        <v>-1</v>
      </c>
      <c r="O887" s="59">
        <v>92.2</v>
      </c>
      <c r="P887" s="1">
        <v>-46100</v>
      </c>
      <c r="Q887" s="1">
        <v>-2.97</v>
      </c>
      <c r="R887" s="1" t="s">
        <v>83</v>
      </c>
      <c r="T887" s="50">
        <f>IF(ISNUMBER(VLOOKUP(U887,Blotter!B:C,2,0)),VLOOKUP(U887,Blotter!B:C,2,0),"")</f>
        <v>46</v>
      </c>
      <c r="U887" s="49" t="str">
        <f t="shared" si="892"/>
        <v>CTK4</v>
      </c>
      <c r="V887" s="49">
        <f t="shared" si="893"/>
        <v>-1</v>
      </c>
      <c r="W887" s="49">
        <f t="shared" si="894"/>
        <v>92.2</v>
      </c>
      <c r="X887" s="49">
        <f t="shared" si="895"/>
        <v>-2.97</v>
      </c>
    </row>
    <row r="888" spans="1:24" x14ac:dyDescent="0.4">
      <c r="A888" s="1" t="s">
        <v>138</v>
      </c>
      <c r="B888" s="1" t="s">
        <v>83</v>
      </c>
      <c r="C888" s="1" t="s">
        <v>82</v>
      </c>
      <c r="D888" s="1" t="s">
        <v>428</v>
      </c>
      <c r="E888" s="1" t="s">
        <v>430</v>
      </c>
      <c r="F888" s="1" t="s">
        <v>100</v>
      </c>
      <c r="G888" s="1" t="s">
        <v>101</v>
      </c>
      <c r="H888" s="1">
        <v>50000</v>
      </c>
      <c r="J888" s="51">
        <v>45427</v>
      </c>
      <c r="L888" s="51">
        <v>45371</v>
      </c>
      <c r="M888" s="1" t="s">
        <v>139</v>
      </c>
      <c r="N888" s="1">
        <v>-1</v>
      </c>
      <c r="O888" s="59">
        <v>92.2</v>
      </c>
      <c r="P888" s="1">
        <v>-46100</v>
      </c>
      <c r="Q888" s="1">
        <v>-2.97</v>
      </c>
      <c r="R888" s="1" t="s">
        <v>83</v>
      </c>
      <c r="T888" s="50">
        <f>IF(ISNUMBER(VLOOKUP(U888,Blotter!B:C,2,0)),VLOOKUP(U888,Blotter!B:C,2,0),"")</f>
        <v>46</v>
      </c>
      <c r="U888" s="49" t="str">
        <f t="shared" si="892"/>
        <v>CTK4</v>
      </c>
      <c r="V888" s="49">
        <f t="shared" si="893"/>
        <v>-1</v>
      </c>
      <c r="W888" s="49">
        <f t="shared" si="894"/>
        <v>92.2</v>
      </c>
      <c r="X888" s="49">
        <f t="shared" si="895"/>
        <v>-2.97</v>
      </c>
    </row>
    <row r="889" spans="1:24" x14ac:dyDescent="0.4">
      <c r="A889" s="1" t="s">
        <v>138</v>
      </c>
      <c r="B889" s="1" t="s">
        <v>83</v>
      </c>
      <c r="C889" s="1" t="s">
        <v>82</v>
      </c>
      <c r="D889" s="1" t="s">
        <v>428</v>
      </c>
      <c r="E889" s="1" t="s">
        <v>430</v>
      </c>
      <c r="F889" s="1" t="s">
        <v>100</v>
      </c>
      <c r="G889" s="1" t="s">
        <v>101</v>
      </c>
      <c r="H889" s="1">
        <v>50000</v>
      </c>
      <c r="J889" s="51">
        <v>45427</v>
      </c>
      <c r="L889" s="51">
        <v>45371</v>
      </c>
      <c r="M889" s="1" t="s">
        <v>139</v>
      </c>
      <c r="N889" s="1">
        <v>-1</v>
      </c>
      <c r="O889" s="59">
        <v>92.2</v>
      </c>
      <c r="P889" s="1">
        <v>-46100</v>
      </c>
      <c r="Q889" s="1">
        <v>-2.97</v>
      </c>
      <c r="R889" s="1" t="s">
        <v>83</v>
      </c>
      <c r="T889" s="50">
        <f>IF(ISNUMBER(VLOOKUP(U889,Blotter!B:C,2,0)),VLOOKUP(U889,Blotter!B:C,2,0),"")</f>
        <v>46</v>
      </c>
      <c r="U889" s="49" t="str">
        <f t="shared" si="892"/>
        <v>CTK4</v>
      </c>
      <c r="V889" s="49">
        <f t="shared" si="893"/>
        <v>-1</v>
      </c>
      <c r="W889" s="49">
        <f t="shared" si="894"/>
        <v>92.2</v>
      </c>
      <c r="X889" s="49">
        <f t="shared" si="895"/>
        <v>-2.97</v>
      </c>
    </row>
    <row r="890" spans="1:24" x14ac:dyDescent="0.4">
      <c r="A890" s="1" t="s">
        <v>138</v>
      </c>
      <c r="B890" s="1" t="s">
        <v>83</v>
      </c>
      <c r="C890" s="1" t="s">
        <v>82</v>
      </c>
      <c r="D890" s="59" t="s">
        <v>456</v>
      </c>
      <c r="E890" s="1" t="s">
        <v>460</v>
      </c>
      <c r="F890" s="1" t="s">
        <v>127</v>
      </c>
      <c r="G890" s="1" t="s">
        <v>31</v>
      </c>
      <c r="H890" s="1">
        <v>5000</v>
      </c>
      <c r="J890" s="51">
        <v>45426</v>
      </c>
      <c r="L890" s="51">
        <v>45371</v>
      </c>
      <c r="M890" s="1" t="s">
        <v>135</v>
      </c>
      <c r="N890" s="1">
        <v>10</v>
      </c>
      <c r="O890" s="59">
        <v>1186.25</v>
      </c>
      <c r="P890" s="1">
        <v>593125</v>
      </c>
      <c r="Q890" s="1">
        <v>-29.7</v>
      </c>
      <c r="R890" s="1" t="s">
        <v>83</v>
      </c>
      <c r="T890" s="50">
        <f>IF(ISNUMBER(VLOOKUP(U890,Blotter!B:C,2,0)),VLOOKUP(U890,Blotter!B:C,2,0),"")</f>
        <v>49</v>
      </c>
      <c r="U890" s="49" t="str">
        <f t="shared" si="892"/>
        <v>ZSK4</v>
      </c>
      <c r="V890" s="49">
        <f t="shared" si="893"/>
        <v>10</v>
      </c>
      <c r="W890" s="49">
        <f t="shared" si="894"/>
        <v>1186.25</v>
      </c>
      <c r="X890" s="49">
        <f t="shared" si="895"/>
        <v>-29.7</v>
      </c>
    </row>
    <row r="891" spans="1:24" x14ac:dyDescent="0.4">
      <c r="A891" s="1" t="s">
        <v>138</v>
      </c>
      <c r="B891" s="1" t="s">
        <v>83</v>
      </c>
      <c r="C891" s="1" t="s">
        <v>82</v>
      </c>
      <c r="D891" s="1" t="s">
        <v>433</v>
      </c>
      <c r="E891" s="1" t="s">
        <v>434</v>
      </c>
      <c r="F891" s="1" t="s">
        <v>127</v>
      </c>
      <c r="G891" s="1" t="s">
        <v>29</v>
      </c>
      <c r="H891" s="1">
        <v>5000</v>
      </c>
      <c r="J891" s="51">
        <v>45426</v>
      </c>
      <c r="L891" s="51">
        <v>45371</v>
      </c>
      <c r="M891" s="1" t="s">
        <v>135</v>
      </c>
      <c r="N891" s="1">
        <v>5</v>
      </c>
      <c r="O891" s="59">
        <v>544</v>
      </c>
      <c r="P891" s="1">
        <v>136000</v>
      </c>
      <c r="Q891" s="1">
        <v>-14.85</v>
      </c>
      <c r="R891" s="1" t="s">
        <v>83</v>
      </c>
      <c r="T891" s="50">
        <f>IF(ISNUMBER(VLOOKUP(U891,Blotter!B:C,2,0)),VLOOKUP(U891,Blotter!B:C,2,0),"")</f>
        <v>43</v>
      </c>
      <c r="U891" s="49" t="str">
        <f t="shared" si="892"/>
        <v>ZWK4</v>
      </c>
      <c r="V891" s="49">
        <f t="shared" si="893"/>
        <v>5</v>
      </c>
      <c r="W891" s="49">
        <f t="shared" si="894"/>
        <v>544</v>
      </c>
      <c r="X891" s="49">
        <f t="shared" si="895"/>
        <v>-14.85</v>
      </c>
    </row>
    <row r="892" spans="1:24" x14ac:dyDescent="0.4">
      <c r="A892" s="1" t="s">
        <v>138</v>
      </c>
      <c r="B892" s="1" t="s">
        <v>83</v>
      </c>
      <c r="C892" s="1" t="s">
        <v>82</v>
      </c>
      <c r="D892" s="1" t="s">
        <v>433</v>
      </c>
      <c r="E892" s="1" t="s">
        <v>434</v>
      </c>
      <c r="F892" s="1" t="s">
        <v>127</v>
      </c>
      <c r="G892" s="1" t="s">
        <v>29</v>
      </c>
      <c r="H892" s="1">
        <v>5000</v>
      </c>
      <c r="J892" s="51">
        <v>45426</v>
      </c>
      <c r="L892" s="51">
        <v>45371</v>
      </c>
      <c r="M892" s="1" t="s">
        <v>135</v>
      </c>
      <c r="N892" s="1">
        <v>2</v>
      </c>
      <c r="O892" s="59">
        <v>541</v>
      </c>
      <c r="P892" s="1">
        <v>54100</v>
      </c>
      <c r="Q892" s="1">
        <v>-5.94</v>
      </c>
      <c r="R892" s="1" t="s">
        <v>83</v>
      </c>
      <c r="T892" s="50">
        <f>IF(ISNUMBER(VLOOKUP(U892,Blotter!B:C,2,0)),VLOOKUP(U892,Blotter!B:C,2,0),"")</f>
        <v>43</v>
      </c>
      <c r="U892" s="49" t="str">
        <f t="shared" si="892"/>
        <v>ZWK4</v>
      </c>
      <c r="V892" s="49">
        <f t="shared" si="893"/>
        <v>2</v>
      </c>
      <c r="W892" s="49">
        <f t="shared" si="894"/>
        <v>541</v>
      </c>
      <c r="X892" s="49">
        <f t="shared" si="895"/>
        <v>-5.94</v>
      </c>
    </row>
    <row r="893" spans="1:24" x14ac:dyDescent="0.4">
      <c r="A893" s="1" t="s">
        <v>138</v>
      </c>
      <c r="B893" s="1" t="s">
        <v>83</v>
      </c>
      <c r="C893" s="1" t="s">
        <v>82</v>
      </c>
      <c r="D893" s="1" t="s">
        <v>433</v>
      </c>
      <c r="E893" s="1" t="s">
        <v>434</v>
      </c>
      <c r="F893" s="1" t="s">
        <v>127</v>
      </c>
      <c r="G893" s="1" t="s">
        <v>29</v>
      </c>
      <c r="H893" s="1">
        <v>5000</v>
      </c>
      <c r="J893" s="51">
        <v>45426</v>
      </c>
      <c r="L893" s="51">
        <v>45371</v>
      </c>
      <c r="M893" s="1" t="s">
        <v>135</v>
      </c>
      <c r="N893" s="1">
        <v>1</v>
      </c>
      <c r="O893" s="59">
        <v>541</v>
      </c>
      <c r="P893" s="1">
        <v>27050</v>
      </c>
      <c r="Q893" s="1">
        <v>-2.97</v>
      </c>
      <c r="R893" s="1" t="s">
        <v>83</v>
      </c>
      <c r="T893" s="50">
        <f>IF(ISNUMBER(VLOOKUP(U893,Blotter!B:C,2,0)),VLOOKUP(U893,Blotter!B:C,2,0),"")</f>
        <v>43</v>
      </c>
      <c r="U893" s="49" t="str">
        <f t="shared" si="892"/>
        <v>ZWK4</v>
      </c>
      <c r="V893" s="49">
        <f t="shared" si="893"/>
        <v>1</v>
      </c>
      <c r="W893" s="49">
        <f t="shared" si="894"/>
        <v>541</v>
      </c>
      <c r="X893" s="49">
        <f t="shared" si="895"/>
        <v>-2.97</v>
      </c>
    </row>
    <row r="894" spans="1:24" x14ac:dyDescent="0.4">
      <c r="A894" s="1" t="s">
        <v>138</v>
      </c>
      <c r="B894" s="1" t="s">
        <v>83</v>
      </c>
      <c r="C894" s="1" t="s">
        <v>82</v>
      </c>
      <c r="D894" s="1" t="s">
        <v>433</v>
      </c>
      <c r="E894" s="1" t="s">
        <v>434</v>
      </c>
      <c r="F894" s="1" t="s">
        <v>127</v>
      </c>
      <c r="G894" s="1" t="s">
        <v>29</v>
      </c>
      <c r="H894" s="1">
        <v>5000</v>
      </c>
      <c r="J894" s="51">
        <v>45426</v>
      </c>
      <c r="L894" s="51">
        <v>45371</v>
      </c>
      <c r="M894" s="1" t="s">
        <v>135</v>
      </c>
      <c r="N894" s="1">
        <v>2</v>
      </c>
      <c r="O894" s="59">
        <v>541</v>
      </c>
      <c r="P894" s="1">
        <v>54100</v>
      </c>
      <c r="Q894" s="1">
        <v>-5.94</v>
      </c>
      <c r="R894" s="1" t="s">
        <v>83</v>
      </c>
      <c r="T894" s="50">
        <f>IF(ISNUMBER(VLOOKUP(U894,Blotter!B:C,2,0)),VLOOKUP(U894,Blotter!B:C,2,0),"")</f>
        <v>43</v>
      </c>
      <c r="U894" s="49" t="str">
        <f t="shared" si="892"/>
        <v>ZWK4</v>
      </c>
      <c r="V894" s="49">
        <f t="shared" si="893"/>
        <v>2</v>
      </c>
      <c r="W894" s="49">
        <f t="shared" si="894"/>
        <v>541</v>
      </c>
      <c r="X894" s="49">
        <f t="shared" si="895"/>
        <v>-5.94</v>
      </c>
    </row>
    <row r="895" spans="1:24" x14ac:dyDescent="0.4">
      <c r="A895" s="1" t="s">
        <v>138</v>
      </c>
      <c r="B895" s="1" t="s">
        <v>83</v>
      </c>
      <c r="C895" s="1" t="s">
        <v>82</v>
      </c>
      <c r="D895" s="1" t="s">
        <v>433</v>
      </c>
      <c r="E895" s="1" t="s">
        <v>434</v>
      </c>
      <c r="F895" s="1" t="s">
        <v>127</v>
      </c>
      <c r="G895" s="1" t="s">
        <v>29</v>
      </c>
      <c r="H895" s="1">
        <v>5000</v>
      </c>
      <c r="J895" s="51">
        <v>45426</v>
      </c>
      <c r="L895" s="51">
        <v>45371</v>
      </c>
      <c r="M895" s="1" t="s">
        <v>139</v>
      </c>
      <c r="N895" s="1">
        <v>-1</v>
      </c>
      <c r="O895" s="59">
        <v>545.5</v>
      </c>
      <c r="P895" s="1">
        <v>-27275</v>
      </c>
      <c r="Q895" s="1">
        <v>-2.97</v>
      </c>
      <c r="R895" s="1" t="s">
        <v>83</v>
      </c>
      <c r="T895" s="50">
        <f>IF(ISNUMBER(VLOOKUP(U895,Blotter!B:C,2,0)),VLOOKUP(U895,Blotter!B:C,2,0),"")</f>
        <v>43</v>
      </c>
      <c r="U895" s="49" t="str">
        <f t="shared" si="892"/>
        <v>ZWK4</v>
      </c>
      <c r="V895" s="49">
        <f t="shared" si="893"/>
        <v>-1</v>
      </c>
      <c r="W895" s="49">
        <f t="shared" si="894"/>
        <v>545.5</v>
      </c>
      <c r="X895" s="49">
        <f t="shared" si="895"/>
        <v>-2.97</v>
      </c>
    </row>
    <row r="896" spans="1:24" x14ac:dyDescent="0.4">
      <c r="A896" s="1" t="s">
        <v>138</v>
      </c>
      <c r="B896" s="1" t="s">
        <v>83</v>
      </c>
      <c r="C896" s="1" t="s">
        <v>82</v>
      </c>
      <c r="D896" s="1" t="s">
        <v>433</v>
      </c>
      <c r="E896" s="1" t="s">
        <v>434</v>
      </c>
      <c r="F896" s="1" t="s">
        <v>127</v>
      </c>
      <c r="G896" s="1" t="s">
        <v>29</v>
      </c>
      <c r="H896" s="1">
        <v>5000</v>
      </c>
      <c r="J896" s="51">
        <v>45426</v>
      </c>
      <c r="L896" s="51">
        <v>45371</v>
      </c>
      <c r="M896" s="1" t="s">
        <v>139</v>
      </c>
      <c r="N896" s="1">
        <v>-2</v>
      </c>
      <c r="O896" s="59">
        <v>545.5</v>
      </c>
      <c r="P896" s="1">
        <v>-54550</v>
      </c>
      <c r="Q896" s="1">
        <v>-5.94</v>
      </c>
      <c r="R896" s="1" t="s">
        <v>83</v>
      </c>
      <c r="T896" s="50">
        <f>IF(ISNUMBER(VLOOKUP(U896,Blotter!B:C,2,0)),VLOOKUP(U896,Blotter!B:C,2,0),"")</f>
        <v>43</v>
      </c>
      <c r="U896" s="49" t="str">
        <f t="shared" si="892"/>
        <v>ZWK4</v>
      </c>
      <c r="V896" s="49">
        <f t="shared" si="893"/>
        <v>-2</v>
      </c>
      <c r="W896" s="49">
        <f t="shared" si="894"/>
        <v>545.5</v>
      </c>
      <c r="X896" s="49">
        <f t="shared" si="895"/>
        <v>-5.94</v>
      </c>
    </row>
    <row r="897" spans="1:24" x14ac:dyDescent="0.4">
      <c r="A897" s="1" t="s">
        <v>138</v>
      </c>
      <c r="B897" s="1" t="s">
        <v>83</v>
      </c>
      <c r="C897" s="1" t="s">
        <v>82</v>
      </c>
      <c r="D897" s="1" t="s">
        <v>433</v>
      </c>
      <c r="E897" s="1" t="s">
        <v>434</v>
      </c>
      <c r="F897" s="1" t="s">
        <v>127</v>
      </c>
      <c r="G897" s="1" t="s">
        <v>29</v>
      </c>
      <c r="H897" s="1">
        <v>5000</v>
      </c>
      <c r="J897" s="51">
        <v>45426</v>
      </c>
      <c r="L897" s="51">
        <v>45371</v>
      </c>
      <c r="M897" s="1" t="s">
        <v>139</v>
      </c>
      <c r="N897" s="1">
        <v>-1</v>
      </c>
      <c r="O897" s="59">
        <v>545.5</v>
      </c>
      <c r="P897" s="1">
        <v>-27275</v>
      </c>
      <c r="Q897" s="1">
        <v>-2.97</v>
      </c>
      <c r="R897" s="1" t="s">
        <v>83</v>
      </c>
      <c r="T897" s="50">
        <f>IF(ISNUMBER(VLOOKUP(U897,Blotter!B:C,2,0)),VLOOKUP(U897,Blotter!B:C,2,0),"")</f>
        <v>43</v>
      </c>
      <c r="U897" s="49" t="str">
        <f t="shared" si="892"/>
        <v>ZWK4</v>
      </c>
      <c r="V897" s="49">
        <f t="shared" si="893"/>
        <v>-1</v>
      </c>
      <c r="W897" s="49">
        <f t="shared" si="894"/>
        <v>545.5</v>
      </c>
      <c r="X897" s="49">
        <f t="shared" si="895"/>
        <v>-2.97</v>
      </c>
    </row>
    <row r="898" spans="1:24" x14ac:dyDescent="0.4">
      <c r="A898" s="1" t="s">
        <v>138</v>
      </c>
      <c r="B898" s="1" t="s">
        <v>83</v>
      </c>
      <c r="C898" s="1" t="s">
        <v>82</v>
      </c>
      <c r="D898" s="1" t="s">
        <v>433</v>
      </c>
      <c r="E898" s="1" t="s">
        <v>434</v>
      </c>
      <c r="F898" s="1" t="s">
        <v>127</v>
      </c>
      <c r="G898" s="1" t="s">
        <v>29</v>
      </c>
      <c r="H898" s="1">
        <v>5000</v>
      </c>
      <c r="J898" s="51">
        <v>45426</v>
      </c>
      <c r="L898" s="51">
        <v>45371</v>
      </c>
      <c r="M898" s="1" t="s">
        <v>139</v>
      </c>
      <c r="N898" s="1">
        <v>-1</v>
      </c>
      <c r="O898" s="59">
        <v>545.5</v>
      </c>
      <c r="P898" s="1">
        <v>-27275</v>
      </c>
      <c r="Q898" s="1">
        <v>-2.97</v>
      </c>
      <c r="R898" s="1" t="s">
        <v>83</v>
      </c>
      <c r="T898" s="50">
        <f>IF(ISNUMBER(VLOOKUP(U898,Blotter!B:C,2,0)),VLOOKUP(U898,Blotter!B:C,2,0),"")</f>
        <v>43</v>
      </c>
      <c r="U898" s="49" t="str">
        <f t="shared" si="892"/>
        <v>ZWK4</v>
      </c>
      <c r="V898" s="49">
        <f t="shared" si="893"/>
        <v>-1</v>
      </c>
      <c r="W898" s="49">
        <f t="shared" si="894"/>
        <v>545.5</v>
      </c>
      <c r="X898" s="49">
        <f t="shared" si="895"/>
        <v>-2.97</v>
      </c>
    </row>
    <row r="899" spans="1:24" x14ac:dyDescent="0.4">
      <c r="A899" s="1" t="s">
        <v>138</v>
      </c>
      <c r="B899" s="1" t="s">
        <v>83</v>
      </c>
      <c r="C899" s="1" t="s">
        <v>82</v>
      </c>
      <c r="D899" s="1" t="s">
        <v>433</v>
      </c>
      <c r="E899" s="1" t="s">
        <v>434</v>
      </c>
      <c r="F899" s="1" t="s">
        <v>127</v>
      </c>
      <c r="G899" s="1" t="s">
        <v>29</v>
      </c>
      <c r="H899" s="1">
        <v>5000</v>
      </c>
      <c r="J899" s="51">
        <v>45426</v>
      </c>
      <c r="L899" s="51">
        <v>45371</v>
      </c>
      <c r="M899" s="1" t="s">
        <v>139</v>
      </c>
      <c r="N899" s="1">
        <v>-1</v>
      </c>
      <c r="O899" s="59">
        <v>545.5</v>
      </c>
      <c r="P899" s="1">
        <v>-27275</v>
      </c>
      <c r="Q899" s="1">
        <v>-2.97</v>
      </c>
      <c r="R899" s="1" t="s">
        <v>83</v>
      </c>
      <c r="T899" s="50">
        <f>IF(ISNUMBER(VLOOKUP(U899,Blotter!B:C,2,0)),VLOOKUP(U899,Blotter!B:C,2,0),"")</f>
        <v>43</v>
      </c>
      <c r="U899" s="49" t="str">
        <f t="shared" si="892"/>
        <v>ZWK4</v>
      </c>
      <c r="V899" s="49">
        <f t="shared" si="893"/>
        <v>-1</v>
      </c>
      <c r="W899" s="49">
        <f t="shared" si="894"/>
        <v>545.5</v>
      </c>
      <c r="X899" s="49">
        <f t="shared" si="895"/>
        <v>-2.97</v>
      </c>
    </row>
    <row r="900" spans="1:24" x14ac:dyDescent="0.4">
      <c r="A900" s="1" t="s">
        <v>138</v>
      </c>
      <c r="B900" s="1" t="s">
        <v>83</v>
      </c>
      <c r="C900" s="1" t="s">
        <v>82</v>
      </c>
      <c r="D900" s="1" t="s">
        <v>433</v>
      </c>
      <c r="E900" s="1" t="s">
        <v>434</v>
      </c>
      <c r="F900" s="1" t="s">
        <v>127</v>
      </c>
      <c r="G900" s="1" t="s">
        <v>29</v>
      </c>
      <c r="H900" s="1">
        <v>5000</v>
      </c>
      <c r="J900" s="51">
        <v>45426</v>
      </c>
      <c r="L900" s="51">
        <v>45371</v>
      </c>
      <c r="M900" s="1" t="s">
        <v>139</v>
      </c>
      <c r="N900" s="1">
        <v>-4</v>
      </c>
      <c r="O900" s="59">
        <v>545.5</v>
      </c>
      <c r="P900" s="1">
        <v>-109100</v>
      </c>
      <c r="Q900" s="1">
        <v>-11.88</v>
      </c>
      <c r="R900" s="1" t="s">
        <v>83</v>
      </c>
      <c r="T900" s="50">
        <f>IF(ISNUMBER(VLOOKUP(U900,Blotter!B:C,2,0)),VLOOKUP(U900,Blotter!B:C,2,0),"")</f>
        <v>43</v>
      </c>
      <c r="U900" s="49" t="str">
        <f t="shared" si="892"/>
        <v>ZWK4</v>
      </c>
      <c r="V900" s="49">
        <f t="shared" si="893"/>
        <v>-4</v>
      </c>
      <c r="W900" s="49">
        <f t="shared" si="894"/>
        <v>545.5</v>
      </c>
      <c r="X900" s="49">
        <f t="shared" si="895"/>
        <v>-11.88</v>
      </c>
    </row>
    <row r="901" spans="1:24" x14ac:dyDescent="0.4">
      <c r="A901" s="1" t="s">
        <v>138</v>
      </c>
      <c r="B901" s="1" t="s">
        <v>83</v>
      </c>
      <c r="C901" s="1" t="s">
        <v>82</v>
      </c>
      <c r="D901" s="1" t="s">
        <v>428</v>
      </c>
      <c r="E901" s="1" t="s">
        <v>430</v>
      </c>
      <c r="F901" s="1" t="s">
        <v>100</v>
      </c>
      <c r="G901" s="1" t="s">
        <v>101</v>
      </c>
      <c r="H901" s="1">
        <v>50000</v>
      </c>
      <c r="J901" s="51">
        <v>45427</v>
      </c>
      <c r="L901" s="51">
        <v>45372</v>
      </c>
      <c r="M901" s="1" t="s">
        <v>135</v>
      </c>
      <c r="N901" s="1">
        <v>7</v>
      </c>
      <c r="O901" s="59">
        <v>92.2</v>
      </c>
      <c r="P901" s="1">
        <v>322700</v>
      </c>
      <c r="Q901" s="1">
        <v>-20.79</v>
      </c>
      <c r="R901" s="1" t="s">
        <v>83</v>
      </c>
      <c r="T901" s="50">
        <f>IF(ISNUMBER(VLOOKUP(U901,Blotter!B:C,2,0)),VLOOKUP(U901,Blotter!B:C,2,0),"")</f>
        <v>46</v>
      </c>
      <c r="U901" s="49" t="str">
        <f t="shared" ref="U901:U913" si="896">D901</f>
        <v>CTK4</v>
      </c>
      <c r="V901" s="49">
        <f t="shared" ref="V901:V913" si="897">N901</f>
        <v>7</v>
      </c>
      <c r="W901" s="49">
        <f t="shared" ref="W901:W913" si="898">O901</f>
        <v>92.2</v>
      </c>
      <c r="X901" s="49">
        <f t="shared" ref="X901:X913" si="899">Q901</f>
        <v>-20.79</v>
      </c>
    </row>
    <row r="902" spans="1:24" x14ac:dyDescent="0.4">
      <c r="A902" s="1" t="s">
        <v>138</v>
      </c>
      <c r="B902" s="1" t="s">
        <v>83</v>
      </c>
      <c r="C902" s="1" t="s">
        <v>82</v>
      </c>
      <c r="D902" s="1" t="s">
        <v>428</v>
      </c>
      <c r="E902" s="1" t="s">
        <v>430</v>
      </c>
      <c r="F902" s="1" t="s">
        <v>100</v>
      </c>
      <c r="G902" s="1" t="s">
        <v>101</v>
      </c>
      <c r="H902" s="1">
        <v>50000</v>
      </c>
      <c r="J902" s="51">
        <v>45427</v>
      </c>
      <c r="L902" s="51">
        <v>45372</v>
      </c>
      <c r="M902" s="1" t="s">
        <v>139</v>
      </c>
      <c r="N902" s="1">
        <v>-1</v>
      </c>
      <c r="O902" s="59">
        <v>92.3</v>
      </c>
      <c r="P902" s="1">
        <v>-46150</v>
      </c>
      <c r="Q902" s="1">
        <v>-2.97</v>
      </c>
      <c r="R902" s="1" t="s">
        <v>83</v>
      </c>
      <c r="T902" s="50">
        <f>IF(ISNUMBER(VLOOKUP(U902,Blotter!B:C,2,0)),VLOOKUP(U902,Blotter!B:C,2,0),"")</f>
        <v>46</v>
      </c>
      <c r="U902" s="49" t="str">
        <f t="shared" si="896"/>
        <v>CTK4</v>
      </c>
      <c r="V902" s="49">
        <f t="shared" si="897"/>
        <v>-1</v>
      </c>
      <c r="W902" s="49">
        <f t="shared" si="898"/>
        <v>92.3</v>
      </c>
      <c r="X902" s="49">
        <f t="shared" si="899"/>
        <v>-2.97</v>
      </c>
    </row>
    <row r="903" spans="1:24" x14ac:dyDescent="0.4">
      <c r="A903" s="1" t="s">
        <v>138</v>
      </c>
      <c r="B903" s="1" t="s">
        <v>83</v>
      </c>
      <c r="C903" s="1" t="s">
        <v>82</v>
      </c>
      <c r="D903" s="1" t="s">
        <v>428</v>
      </c>
      <c r="E903" s="1" t="s">
        <v>430</v>
      </c>
      <c r="F903" s="1" t="s">
        <v>100</v>
      </c>
      <c r="G903" s="1" t="s">
        <v>101</v>
      </c>
      <c r="H903" s="1">
        <v>50000</v>
      </c>
      <c r="J903" s="51">
        <v>45427</v>
      </c>
      <c r="L903" s="51">
        <v>45372</v>
      </c>
      <c r="M903" s="1" t="s">
        <v>139</v>
      </c>
      <c r="N903" s="1">
        <v>-3</v>
      </c>
      <c r="O903" s="59">
        <v>92.21</v>
      </c>
      <c r="P903" s="1">
        <v>-138315</v>
      </c>
      <c r="Q903" s="1">
        <v>-8.91</v>
      </c>
      <c r="R903" s="1" t="s">
        <v>83</v>
      </c>
      <c r="T903" s="50">
        <f>IF(ISNUMBER(VLOOKUP(U903,Blotter!B:C,2,0)),VLOOKUP(U903,Blotter!B:C,2,0),"")</f>
        <v>46</v>
      </c>
      <c r="U903" s="49" t="str">
        <f t="shared" si="896"/>
        <v>CTK4</v>
      </c>
      <c r="V903" s="49">
        <f t="shared" si="897"/>
        <v>-3</v>
      </c>
      <c r="W903" s="49">
        <f t="shared" si="898"/>
        <v>92.21</v>
      </c>
      <c r="X903" s="49">
        <f t="shared" si="899"/>
        <v>-8.91</v>
      </c>
    </row>
    <row r="904" spans="1:24" x14ac:dyDescent="0.4">
      <c r="A904" s="1" t="s">
        <v>138</v>
      </c>
      <c r="B904" s="1" t="s">
        <v>83</v>
      </c>
      <c r="C904" s="1" t="s">
        <v>82</v>
      </c>
      <c r="D904" s="1" t="s">
        <v>428</v>
      </c>
      <c r="E904" s="1" t="s">
        <v>430</v>
      </c>
      <c r="F904" s="1" t="s">
        <v>100</v>
      </c>
      <c r="G904" s="1" t="s">
        <v>101</v>
      </c>
      <c r="H904" s="1">
        <v>50000</v>
      </c>
      <c r="J904" s="51">
        <v>45427</v>
      </c>
      <c r="L904" s="51">
        <v>45372</v>
      </c>
      <c r="M904" s="1" t="s">
        <v>139</v>
      </c>
      <c r="N904" s="1">
        <v>-2</v>
      </c>
      <c r="O904" s="59">
        <v>92.21</v>
      </c>
      <c r="P904" s="1">
        <v>-92210</v>
      </c>
      <c r="Q904" s="1">
        <v>-5.94</v>
      </c>
      <c r="R904" s="1" t="s">
        <v>83</v>
      </c>
      <c r="T904" s="50">
        <f>IF(ISNUMBER(VLOOKUP(U904,Blotter!B:C,2,0)),VLOOKUP(U904,Blotter!B:C,2,0),"")</f>
        <v>46</v>
      </c>
      <c r="U904" s="49" t="str">
        <f t="shared" si="896"/>
        <v>CTK4</v>
      </c>
      <c r="V904" s="49">
        <f t="shared" si="897"/>
        <v>-2</v>
      </c>
      <c r="W904" s="49">
        <f t="shared" si="898"/>
        <v>92.21</v>
      </c>
      <c r="X904" s="49">
        <f t="shared" si="899"/>
        <v>-5.94</v>
      </c>
    </row>
    <row r="905" spans="1:24" x14ac:dyDescent="0.4">
      <c r="A905" s="1" t="s">
        <v>138</v>
      </c>
      <c r="B905" s="1" t="s">
        <v>83</v>
      </c>
      <c r="C905" s="1" t="s">
        <v>82</v>
      </c>
      <c r="D905" s="1" t="s">
        <v>428</v>
      </c>
      <c r="E905" s="1" t="s">
        <v>430</v>
      </c>
      <c r="F905" s="1" t="s">
        <v>100</v>
      </c>
      <c r="G905" s="1" t="s">
        <v>101</v>
      </c>
      <c r="H905" s="1">
        <v>50000</v>
      </c>
      <c r="J905" s="51">
        <v>45427</v>
      </c>
      <c r="L905" s="51">
        <v>45372</v>
      </c>
      <c r="M905" s="1" t="s">
        <v>139</v>
      </c>
      <c r="N905" s="1">
        <v>-1</v>
      </c>
      <c r="O905" s="59">
        <v>92.21</v>
      </c>
      <c r="P905" s="1">
        <v>-46105</v>
      </c>
      <c r="Q905" s="1">
        <v>-2.97</v>
      </c>
      <c r="R905" s="1" t="s">
        <v>83</v>
      </c>
      <c r="T905" s="50">
        <f>IF(ISNUMBER(VLOOKUP(U905,Blotter!B:C,2,0)),VLOOKUP(U905,Blotter!B:C,2,0),"")</f>
        <v>46</v>
      </c>
      <c r="U905" s="49" t="str">
        <f t="shared" si="896"/>
        <v>CTK4</v>
      </c>
      <c r="V905" s="49">
        <f t="shared" si="897"/>
        <v>-1</v>
      </c>
      <c r="W905" s="49">
        <f t="shared" si="898"/>
        <v>92.21</v>
      </c>
      <c r="X905" s="49">
        <f t="shared" si="899"/>
        <v>-2.97</v>
      </c>
    </row>
    <row r="906" spans="1:24" x14ac:dyDescent="0.4">
      <c r="A906" s="1" t="s">
        <v>138</v>
      </c>
      <c r="B906" s="1" t="s">
        <v>83</v>
      </c>
      <c r="C906" s="1" t="s">
        <v>82</v>
      </c>
      <c r="D906" s="1" t="s">
        <v>450</v>
      </c>
      <c r="E906" s="1" t="s">
        <v>451</v>
      </c>
      <c r="F906" s="1" t="s">
        <v>100</v>
      </c>
      <c r="G906" s="1" t="s">
        <v>33</v>
      </c>
      <c r="H906" s="1">
        <v>37500</v>
      </c>
      <c r="J906" s="51">
        <v>45433</v>
      </c>
      <c r="L906" s="51">
        <v>45372</v>
      </c>
      <c r="M906" s="1" t="s">
        <v>135</v>
      </c>
      <c r="N906" s="1">
        <v>1</v>
      </c>
      <c r="O906" s="59">
        <v>184.9</v>
      </c>
      <c r="P906" s="1">
        <v>69337.5</v>
      </c>
      <c r="Q906" s="1">
        <v>-2.97</v>
      </c>
      <c r="R906" s="1" t="s">
        <v>83</v>
      </c>
      <c r="T906" s="50">
        <f>IF(ISNUMBER(VLOOKUP(U906,Blotter!B:C,2,0)),VLOOKUP(U906,Blotter!B:C,2,0),"")</f>
        <v>48</v>
      </c>
      <c r="U906" s="49" t="str">
        <f t="shared" si="896"/>
        <v>KCK4</v>
      </c>
      <c r="V906" s="49">
        <f t="shared" si="897"/>
        <v>1</v>
      </c>
      <c r="W906" s="49">
        <f t="shared" si="898"/>
        <v>184.9</v>
      </c>
      <c r="X906" s="49">
        <f t="shared" si="899"/>
        <v>-2.97</v>
      </c>
    </row>
    <row r="907" spans="1:24" x14ac:dyDescent="0.4">
      <c r="A907" s="1" t="s">
        <v>138</v>
      </c>
      <c r="B907" s="1" t="s">
        <v>83</v>
      </c>
      <c r="C907" s="1" t="s">
        <v>82</v>
      </c>
      <c r="D907" s="1" t="s">
        <v>450</v>
      </c>
      <c r="E907" s="1" t="s">
        <v>451</v>
      </c>
      <c r="F907" s="1" t="s">
        <v>100</v>
      </c>
      <c r="G907" s="1" t="s">
        <v>33</v>
      </c>
      <c r="H907" s="1">
        <v>37500</v>
      </c>
      <c r="J907" s="51">
        <v>45433</v>
      </c>
      <c r="L907" s="51">
        <v>45372</v>
      </c>
      <c r="M907" s="1" t="s">
        <v>135</v>
      </c>
      <c r="N907" s="1">
        <v>1</v>
      </c>
      <c r="O907" s="59">
        <v>184.9</v>
      </c>
      <c r="P907" s="1">
        <v>69337.5</v>
      </c>
      <c r="Q907" s="1">
        <v>-2.97</v>
      </c>
      <c r="R907" s="1" t="s">
        <v>83</v>
      </c>
      <c r="T907" s="50">
        <f>IF(ISNUMBER(VLOOKUP(U907,Blotter!B:C,2,0)),VLOOKUP(U907,Blotter!B:C,2,0),"")</f>
        <v>48</v>
      </c>
      <c r="U907" s="49" t="str">
        <f t="shared" si="896"/>
        <v>KCK4</v>
      </c>
      <c r="V907" s="49">
        <f t="shared" si="897"/>
        <v>1</v>
      </c>
      <c r="W907" s="49">
        <f t="shared" si="898"/>
        <v>184.9</v>
      </c>
      <c r="X907" s="49">
        <f t="shared" si="899"/>
        <v>-2.97</v>
      </c>
    </row>
    <row r="908" spans="1:24" x14ac:dyDescent="0.4">
      <c r="A908" s="1" t="s">
        <v>138</v>
      </c>
      <c r="B908" s="1" t="s">
        <v>83</v>
      </c>
      <c r="C908" s="1" t="s">
        <v>82</v>
      </c>
      <c r="D908" s="1" t="s">
        <v>450</v>
      </c>
      <c r="E908" s="1" t="s">
        <v>451</v>
      </c>
      <c r="F908" s="1" t="s">
        <v>100</v>
      </c>
      <c r="G908" s="1" t="s">
        <v>33</v>
      </c>
      <c r="H908" s="1">
        <v>37500</v>
      </c>
      <c r="J908" s="51">
        <v>45433</v>
      </c>
      <c r="L908" s="51">
        <v>45372</v>
      </c>
      <c r="M908" s="1" t="s">
        <v>135</v>
      </c>
      <c r="N908" s="1">
        <v>1</v>
      </c>
      <c r="O908" s="59">
        <v>184.9</v>
      </c>
      <c r="P908" s="1">
        <v>69337.5</v>
      </c>
      <c r="Q908" s="1">
        <v>-2.97</v>
      </c>
      <c r="R908" s="1" t="s">
        <v>83</v>
      </c>
      <c r="T908" s="50">
        <f>IF(ISNUMBER(VLOOKUP(U908,Blotter!B:C,2,0)),VLOOKUP(U908,Blotter!B:C,2,0),"")</f>
        <v>48</v>
      </c>
      <c r="U908" s="49" t="str">
        <f t="shared" si="896"/>
        <v>KCK4</v>
      </c>
      <c r="V908" s="49">
        <f t="shared" si="897"/>
        <v>1</v>
      </c>
      <c r="W908" s="49">
        <f t="shared" si="898"/>
        <v>184.9</v>
      </c>
      <c r="X908" s="49">
        <f t="shared" si="899"/>
        <v>-2.97</v>
      </c>
    </row>
    <row r="909" spans="1:24" x14ac:dyDescent="0.4">
      <c r="A909" s="1" t="s">
        <v>138</v>
      </c>
      <c r="B909" s="1" t="s">
        <v>83</v>
      </c>
      <c r="C909" s="1" t="s">
        <v>82</v>
      </c>
      <c r="D909" s="1" t="s">
        <v>450</v>
      </c>
      <c r="E909" s="1" t="s">
        <v>451</v>
      </c>
      <c r="F909" s="1" t="s">
        <v>100</v>
      </c>
      <c r="G909" s="1" t="s">
        <v>33</v>
      </c>
      <c r="H909" s="1">
        <v>37500</v>
      </c>
      <c r="J909" s="51">
        <v>45433</v>
      </c>
      <c r="L909" s="51">
        <v>45372</v>
      </c>
      <c r="M909" s="1" t="s">
        <v>135</v>
      </c>
      <c r="N909" s="1">
        <v>1</v>
      </c>
      <c r="O909" s="59">
        <v>184.9</v>
      </c>
      <c r="P909" s="1">
        <v>69337.5</v>
      </c>
      <c r="Q909" s="1">
        <v>-2.97</v>
      </c>
      <c r="R909" s="1" t="s">
        <v>83</v>
      </c>
      <c r="T909" s="50">
        <f>IF(ISNUMBER(VLOOKUP(U909,Blotter!B:C,2,0)),VLOOKUP(U909,Blotter!B:C,2,0),"")</f>
        <v>48</v>
      </c>
      <c r="U909" s="49" t="str">
        <f t="shared" si="896"/>
        <v>KCK4</v>
      </c>
      <c r="V909" s="49">
        <f t="shared" si="897"/>
        <v>1</v>
      </c>
      <c r="W909" s="49">
        <f t="shared" si="898"/>
        <v>184.9</v>
      </c>
      <c r="X909" s="49">
        <f t="shared" si="899"/>
        <v>-2.97</v>
      </c>
    </row>
    <row r="910" spans="1:24" x14ac:dyDescent="0.4">
      <c r="A910" s="1" t="s">
        <v>138</v>
      </c>
      <c r="B910" s="1" t="s">
        <v>83</v>
      </c>
      <c r="C910" s="1" t="s">
        <v>82</v>
      </c>
      <c r="D910" s="1" t="s">
        <v>450</v>
      </c>
      <c r="E910" s="1" t="s">
        <v>451</v>
      </c>
      <c r="F910" s="1" t="s">
        <v>100</v>
      </c>
      <c r="G910" s="1" t="s">
        <v>33</v>
      </c>
      <c r="H910" s="1">
        <v>37500</v>
      </c>
      <c r="J910" s="51">
        <v>45433</v>
      </c>
      <c r="L910" s="51">
        <v>45372</v>
      </c>
      <c r="M910" s="1" t="s">
        <v>135</v>
      </c>
      <c r="N910" s="1">
        <v>1</v>
      </c>
      <c r="O910" s="59">
        <v>184.9</v>
      </c>
      <c r="P910" s="1">
        <v>69337.5</v>
      </c>
      <c r="Q910" s="1">
        <v>-2.97</v>
      </c>
      <c r="R910" s="1" t="s">
        <v>83</v>
      </c>
      <c r="T910" s="50">
        <f>IF(ISNUMBER(VLOOKUP(U910,Blotter!B:C,2,0)),VLOOKUP(U910,Blotter!B:C,2,0),"")</f>
        <v>48</v>
      </c>
      <c r="U910" s="49" t="str">
        <f t="shared" si="896"/>
        <v>KCK4</v>
      </c>
      <c r="V910" s="49">
        <f t="shared" si="897"/>
        <v>1</v>
      </c>
      <c r="W910" s="49">
        <f t="shared" si="898"/>
        <v>184.9</v>
      </c>
      <c r="X910" s="49">
        <f t="shared" si="899"/>
        <v>-2.97</v>
      </c>
    </row>
    <row r="911" spans="1:24" x14ac:dyDescent="0.4">
      <c r="A911" s="1" t="s">
        <v>138</v>
      </c>
      <c r="B911" s="1" t="s">
        <v>83</v>
      </c>
      <c r="C911" s="1" t="s">
        <v>82</v>
      </c>
      <c r="D911" s="1" t="s">
        <v>450</v>
      </c>
      <c r="E911" s="1" t="s">
        <v>451</v>
      </c>
      <c r="F911" s="1" t="s">
        <v>100</v>
      </c>
      <c r="G911" s="1" t="s">
        <v>33</v>
      </c>
      <c r="H911" s="1">
        <v>37500</v>
      </c>
      <c r="J911" s="51">
        <v>45433</v>
      </c>
      <c r="L911" s="51">
        <v>45372</v>
      </c>
      <c r="M911" s="1" t="s">
        <v>139</v>
      </c>
      <c r="N911" s="1">
        <v>-5</v>
      </c>
      <c r="O911" s="59">
        <v>186</v>
      </c>
      <c r="P911" s="1">
        <v>-348750</v>
      </c>
      <c r="Q911" s="1">
        <v>-14.85</v>
      </c>
      <c r="R911" s="1" t="s">
        <v>83</v>
      </c>
      <c r="T911" s="50">
        <f>IF(ISNUMBER(VLOOKUP(U911,Blotter!B:C,2,0)),VLOOKUP(U911,Blotter!B:C,2,0),"")</f>
        <v>48</v>
      </c>
      <c r="U911" s="49" t="str">
        <f t="shared" si="896"/>
        <v>KCK4</v>
      </c>
      <c r="V911" s="49">
        <f t="shared" si="897"/>
        <v>-5</v>
      </c>
      <c r="W911" s="49">
        <f t="shared" si="898"/>
        <v>186</v>
      </c>
      <c r="X911" s="49">
        <f t="shared" si="899"/>
        <v>-14.85</v>
      </c>
    </row>
    <row r="912" spans="1:24" x14ac:dyDescent="0.4">
      <c r="A912" s="1" t="s">
        <v>138</v>
      </c>
      <c r="B912" s="1" t="s">
        <v>83</v>
      </c>
      <c r="C912" s="1" t="s">
        <v>82</v>
      </c>
      <c r="D912" s="1" t="s">
        <v>450</v>
      </c>
      <c r="E912" s="1" t="s">
        <v>451</v>
      </c>
      <c r="F912" s="1" t="s">
        <v>100</v>
      </c>
      <c r="G912" s="1" t="s">
        <v>33</v>
      </c>
      <c r="H912" s="1">
        <v>37500</v>
      </c>
      <c r="J912" s="51">
        <v>45433</v>
      </c>
      <c r="L912" s="51">
        <v>45372</v>
      </c>
      <c r="M912" s="1" t="s">
        <v>139</v>
      </c>
      <c r="N912" s="1">
        <v>-3</v>
      </c>
      <c r="O912" s="59">
        <v>186</v>
      </c>
      <c r="P912" s="1">
        <v>-209250</v>
      </c>
      <c r="Q912" s="1">
        <v>-8.91</v>
      </c>
      <c r="R912" s="1" t="s">
        <v>83</v>
      </c>
      <c r="T912" s="50">
        <f>IF(ISNUMBER(VLOOKUP(U912,Blotter!B:C,2,0)),VLOOKUP(U912,Blotter!B:C,2,0),"")</f>
        <v>48</v>
      </c>
      <c r="U912" s="49" t="str">
        <f t="shared" si="896"/>
        <v>KCK4</v>
      </c>
      <c r="V912" s="49">
        <f t="shared" si="897"/>
        <v>-3</v>
      </c>
      <c r="W912" s="49">
        <f t="shared" si="898"/>
        <v>186</v>
      </c>
      <c r="X912" s="49">
        <f t="shared" si="899"/>
        <v>-8.91</v>
      </c>
    </row>
    <row r="913" spans="1:24" x14ac:dyDescent="0.4">
      <c r="A913" s="1" t="s">
        <v>138</v>
      </c>
      <c r="B913" s="1" t="s">
        <v>83</v>
      </c>
      <c r="C913" s="1" t="s">
        <v>82</v>
      </c>
      <c r="D913" s="1" t="s">
        <v>450</v>
      </c>
      <c r="E913" s="1" t="s">
        <v>451</v>
      </c>
      <c r="F913" s="1" t="s">
        <v>100</v>
      </c>
      <c r="G913" s="1" t="s">
        <v>33</v>
      </c>
      <c r="H913" s="1">
        <v>37500</v>
      </c>
      <c r="J913" s="51">
        <v>45433</v>
      </c>
      <c r="L913" s="51">
        <v>45372</v>
      </c>
      <c r="M913" s="1" t="s">
        <v>139</v>
      </c>
      <c r="N913" s="1">
        <v>-2</v>
      </c>
      <c r="O913" s="59">
        <v>186</v>
      </c>
      <c r="P913" s="1">
        <v>-139500</v>
      </c>
      <c r="Q913" s="1">
        <v>-5.94</v>
      </c>
      <c r="R913" s="1" t="s">
        <v>83</v>
      </c>
      <c r="T913" s="50">
        <f>IF(ISNUMBER(VLOOKUP(U913,Blotter!B:C,2,0)),VLOOKUP(U913,Blotter!B:C,2,0),"")</f>
        <v>48</v>
      </c>
      <c r="U913" s="49" t="str">
        <f t="shared" si="896"/>
        <v>KCK4</v>
      </c>
      <c r="V913" s="49">
        <f t="shared" si="897"/>
        <v>-2</v>
      </c>
      <c r="W913" s="49">
        <f t="shared" si="898"/>
        <v>186</v>
      </c>
      <c r="X913" s="49">
        <f t="shared" si="899"/>
        <v>-5.94</v>
      </c>
    </row>
    <row r="914" spans="1:24" x14ac:dyDescent="0.4">
      <c r="A914" s="1" t="s">
        <v>138</v>
      </c>
      <c r="B914" s="1" t="s">
        <v>83</v>
      </c>
      <c r="C914" s="1" t="s">
        <v>82</v>
      </c>
      <c r="D914" s="1" t="s">
        <v>428</v>
      </c>
      <c r="E914" s="1" t="s">
        <v>430</v>
      </c>
      <c r="F914" s="1" t="s">
        <v>100</v>
      </c>
      <c r="G914" s="1" t="s">
        <v>101</v>
      </c>
      <c r="H914" s="1">
        <v>50000</v>
      </c>
      <c r="J914" s="51">
        <v>45427</v>
      </c>
      <c r="L914" s="51">
        <v>45373</v>
      </c>
      <c r="M914" s="1" t="s">
        <v>135</v>
      </c>
      <c r="N914" s="1">
        <v>4</v>
      </c>
      <c r="O914" s="59">
        <v>91.69</v>
      </c>
      <c r="P914" s="1">
        <v>183380</v>
      </c>
      <c r="Q914" s="1">
        <v>-11.88</v>
      </c>
      <c r="R914" s="1" t="s">
        <v>83</v>
      </c>
      <c r="T914" s="50">
        <f>IF(ISNUMBER(VLOOKUP(U914,Blotter!B:C,2,0)),VLOOKUP(U914,Blotter!B:C,2,0),"")</f>
        <v>46</v>
      </c>
      <c r="U914" s="49" t="str">
        <f t="shared" ref="U914:U920" si="900">D914</f>
        <v>CTK4</v>
      </c>
      <c r="V914" s="49">
        <f t="shared" ref="V914:V920" si="901">N914</f>
        <v>4</v>
      </c>
      <c r="W914" s="49">
        <f t="shared" ref="W914:W920" si="902">O914</f>
        <v>91.69</v>
      </c>
      <c r="X914" s="49">
        <f t="shared" ref="X914:X920" si="903">Q914</f>
        <v>-11.88</v>
      </c>
    </row>
    <row r="915" spans="1:24" x14ac:dyDescent="0.4">
      <c r="A915" s="1" t="s">
        <v>138</v>
      </c>
      <c r="B915" s="1" t="s">
        <v>83</v>
      </c>
      <c r="C915" s="1" t="s">
        <v>82</v>
      </c>
      <c r="D915" s="59" t="s">
        <v>456</v>
      </c>
      <c r="E915" s="1" t="s">
        <v>460</v>
      </c>
      <c r="F915" s="1" t="s">
        <v>127</v>
      </c>
      <c r="G915" s="1" t="s">
        <v>31</v>
      </c>
      <c r="H915" s="1">
        <v>5000</v>
      </c>
      <c r="J915" s="51">
        <v>45426</v>
      </c>
      <c r="L915" s="51">
        <v>45373</v>
      </c>
      <c r="M915" s="1" t="s">
        <v>135</v>
      </c>
      <c r="N915" s="1">
        <v>1</v>
      </c>
      <c r="O915" s="59">
        <v>1198</v>
      </c>
      <c r="P915" s="1">
        <v>59900</v>
      </c>
      <c r="Q915" s="1">
        <v>-2.97</v>
      </c>
      <c r="R915" s="1" t="s">
        <v>83</v>
      </c>
      <c r="T915" s="50">
        <f>IF(ISNUMBER(VLOOKUP(U915,Blotter!B:C,2,0)),VLOOKUP(U915,Blotter!B:C,2,0),"")</f>
        <v>49</v>
      </c>
      <c r="U915" s="49" t="str">
        <f t="shared" si="900"/>
        <v>ZSK4</v>
      </c>
      <c r="V915" s="49">
        <f t="shared" si="901"/>
        <v>1</v>
      </c>
      <c r="W915" s="49">
        <f t="shared" si="902"/>
        <v>1198</v>
      </c>
      <c r="X915" s="49">
        <f t="shared" si="903"/>
        <v>-2.97</v>
      </c>
    </row>
    <row r="916" spans="1:24" x14ac:dyDescent="0.4">
      <c r="A916" s="1" t="s">
        <v>138</v>
      </c>
      <c r="B916" s="1" t="s">
        <v>83</v>
      </c>
      <c r="C916" s="1" t="s">
        <v>82</v>
      </c>
      <c r="D916" s="59" t="s">
        <v>456</v>
      </c>
      <c r="E916" s="1" t="s">
        <v>460</v>
      </c>
      <c r="F916" s="1" t="s">
        <v>127</v>
      </c>
      <c r="G916" s="1" t="s">
        <v>31</v>
      </c>
      <c r="H916" s="1">
        <v>5000</v>
      </c>
      <c r="J916" s="51">
        <v>45426</v>
      </c>
      <c r="L916" s="51">
        <v>45373</v>
      </c>
      <c r="M916" s="1" t="s">
        <v>135</v>
      </c>
      <c r="N916" s="1">
        <v>4</v>
      </c>
      <c r="O916" s="59">
        <v>1198</v>
      </c>
      <c r="P916" s="1">
        <v>239600</v>
      </c>
      <c r="Q916" s="1">
        <v>-11.88</v>
      </c>
      <c r="R916" s="1" t="s">
        <v>83</v>
      </c>
      <c r="T916" s="50">
        <f>IF(ISNUMBER(VLOOKUP(U916,Blotter!B:C,2,0)),VLOOKUP(U916,Blotter!B:C,2,0),"")</f>
        <v>49</v>
      </c>
      <c r="U916" s="49" t="str">
        <f t="shared" si="900"/>
        <v>ZSK4</v>
      </c>
      <c r="V916" s="49">
        <f t="shared" si="901"/>
        <v>4</v>
      </c>
      <c r="W916" s="49">
        <f t="shared" si="902"/>
        <v>1198</v>
      </c>
      <c r="X916" s="49">
        <f t="shared" si="903"/>
        <v>-11.88</v>
      </c>
    </row>
    <row r="917" spans="1:24" x14ac:dyDescent="0.4">
      <c r="A917" s="1" t="s">
        <v>138</v>
      </c>
      <c r="B917" s="1" t="s">
        <v>83</v>
      </c>
      <c r="C917" s="1" t="s">
        <v>82</v>
      </c>
      <c r="D917" s="59" t="s">
        <v>456</v>
      </c>
      <c r="E917" s="1" t="s">
        <v>460</v>
      </c>
      <c r="F917" s="1" t="s">
        <v>127</v>
      </c>
      <c r="G917" s="1" t="s">
        <v>31</v>
      </c>
      <c r="H917" s="1">
        <v>5000</v>
      </c>
      <c r="J917" s="51">
        <v>45426</v>
      </c>
      <c r="L917" s="51">
        <v>45373</v>
      </c>
      <c r="M917" s="1" t="s">
        <v>135</v>
      </c>
      <c r="N917" s="1">
        <v>1</v>
      </c>
      <c r="O917" s="59">
        <v>1194</v>
      </c>
      <c r="P917" s="1">
        <v>59700</v>
      </c>
      <c r="Q917" s="1">
        <v>-2.97</v>
      </c>
      <c r="R917" s="1" t="s">
        <v>83</v>
      </c>
      <c r="T917" s="50">
        <f>IF(ISNUMBER(VLOOKUP(U917,Blotter!B:C,2,0)),VLOOKUP(U917,Blotter!B:C,2,0),"")</f>
        <v>49</v>
      </c>
      <c r="U917" s="49" t="str">
        <f t="shared" si="900"/>
        <v>ZSK4</v>
      </c>
      <c r="V917" s="49">
        <f t="shared" si="901"/>
        <v>1</v>
      </c>
      <c r="W917" s="49">
        <f t="shared" si="902"/>
        <v>1194</v>
      </c>
      <c r="X917" s="49">
        <f t="shared" si="903"/>
        <v>-2.97</v>
      </c>
    </row>
    <row r="918" spans="1:24" x14ac:dyDescent="0.4">
      <c r="A918" s="1" t="s">
        <v>138</v>
      </c>
      <c r="B918" s="1" t="s">
        <v>83</v>
      </c>
      <c r="C918" s="1" t="s">
        <v>82</v>
      </c>
      <c r="D918" s="59" t="s">
        <v>456</v>
      </c>
      <c r="E918" s="1" t="s">
        <v>460</v>
      </c>
      <c r="F918" s="1" t="s">
        <v>127</v>
      </c>
      <c r="G918" s="1" t="s">
        <v>31</v>
      </c>
      <c r="H918" s="1">
        <v>5000</v>
      </c>
      <c r="J918" s="51">
        <v>45426</v>
      </c>
      <c r="L918" s="51">
        <v>45373</v>
      </c>
      <c r="M918" s="1" t="s">
        <v>135</v>
      </c>
      <c r="N918" s="1">
        <v>1</v>
      </c>
      <c r="O918" s="59">
        <v>1194</v>
      </c>
      <c r="P918" s="1">
        <v>59700</v>
      </c>
      <c r="Q918" s="1">
        <v>-2.97</v>
      </c>
      <c r="R918" s="1" t="s">
        <v>83</v>
      </c>
      <c r="T918" s="50">
        <f>IF(ISNUMBER(VLOOKUP(U918,Blotter!B:C,2,0)),VLOOKUP(U918,Blotter!B:C,2,0),"")</f>
        <v>49</v>
      </c>
      <c r="U918" s="49" t="str">
        <f t="shared" si="900"/>
        <v>ZSK4</v>
      </c>
      <c r="V918" s="49">
        <f t="shared" si="901"/>
        <v>1</v>
      </c>
      <c r="W918" s="49">
        <f t="shared" si="902"/>
        <v>1194</v>
      </c>
      <c r="X918" s="49">
        <f t="shared" si="903"/>
        <v>-2.97</v>
      </c>
    </row>
    <row r="919" spans="1:24" x14ac:dyDescent="0.4">
      <c r="A919" s="1" t="s">
        <v>138</v>
      </c>
      <c r="B919" s="1" t="s">
        <v>83</v>
      </c>
      <c r="C919" s="1" t="s">
        <v>82</v>
      </c>
      <c r="D919" s="59" t="s">
        <v>456</v>
      </c>
      <c r="E919" s="1" t="s">
        <v>460</v>
      </c>
      <c r="F919" s="1" t="s">
        <v>127</v>
      </c>
      <c r="G919" s="1" t="s">
        <v>31</v>
      </c>
      <c r="H919" s="1">
        <v>5000</v>
      </c>
      <c r="J919" s="51">
        <v>45426</v>
      </c>
      <c r="L919" s="51">
        <v>45373</v>
      </c>
      <c r="M919" s="1" t="s">
        <v>135</v>
      </c>
      <c r="N919" s="1">
        <v>2</v>
      </c>
      <c r="O919" s="59">
        <v>1194</v>
      </c>
      <c r="P919" s="1">
        <v>119400</v>
      </c>
      <c r="Q919" s="1">
        <v>-5.94</v>
      </c>
      <c r="R919" s="1" t="s">
        <v>83</v>
      </c>
      <c r="T919" s="50">
        <f>IF(ISNUMBER(VLOOKUP(U919,Blotter!B:C,2,0)),VLOOKUP(U919,Blotter!B:C,2,0),"")</f>
        <v>49</v>
      </c>
      <c r="U919" s="49" t="str">
        <f t="shared" si="900"/>
        <v>ZSK4</v>
      </c>
      <c r="V919" s="49">
        <f t="shared" si="901"/>
        <v>2</v>
      </c>
      <c r="W919" s="49">
        <f t="shared" si="902"/>
        <v>1194</v>
      </c>
      <c r="X919" s="49">
        <f t="shared" si="903"/>
        <v>-5.94</v>
      </c>
    </row>
    <row r="920" spans="1:24" x14ac:dyDescent="0.4">
      <c r="A920" s="1" t="s">
        <v>138</v>
      </c>
      <c r="B920" s="1" t="s">
        <v>83</v>
      </c>
      <c r="C920" s="1" t="s">
        <v>82</v>
      </c>
      <c r="D920" s="59" t="s">
        <v>456</v>
      </c>
      <c r="E920" s="1" t="s">
        <v>460</v>
      </c>
      <c r="F920" s="1" t="s">
        <v>127</v>
      </c>
      <c r="G920" s="1" t="s">
        <v>31</v>
      </c>
      <c r="H920" s="1">
        <v>5000</v>
      </c>
      <c r="J920" s="51">
        <v>45426</v>
      </c>
      <c r="L920" s="51">
        <v>45373</v>
      </c>
      <c r="M920" s="1" t="s">
        <v>135</v>
      </c>
      <c r="N920" s="1">
        <v>1</v>
      </c>
      <c r="O920" s="59">
        <v>1194</v>
      </c>
      <c r="P920" s="1">
        <v>59700</v>
      </c>
      <c r="Q920" s="1">
        <v>-2.97</v>
      </c>
      <c r="R920" s="1" t="s">
        <v>83</v>
      </c>
      <c r="T920" s="50">
        <f>IF(ISNUMBER(VLOOKUP(U920,Blotter!B:C,2,0)),VLOOKUP(U920,Blotter!B:C,2,0),"")</f>
        <v>49</v>
      </c>
      <c r="U920" s="49" t="str">
        <f t="shared" si="900"/>
        <v>ZSK4</v>
      </c>
      <c r="V920" s="49">
        <f t="shared" si="901"/>
        <v>1</v>
      </c>
      <c r="W920" s="49">
        <f t="shared" si="902"/>
        <v>1194</v>
      </c>
      <c r="X920" s="49">
        <f t="shared" si="903"/>
        <v>-2.97</v>
      </c>
    </row>
    <row r="921" spans="1:24" x14ac:dyDescent="0.4">
      <c r="A921" s="1" t="s">
        <v>138</v>
      </c>
      <c r="B921" s="1" t="s">
        <v>83</v>
      </c>
      <c r="C921" s="1" t="s">
        <v>86</v>
      </c>
      <c r="D921" s="1" t="s">
        <v>350</v>
      </c>
      <c r="E921" s="1" t="s">
        <v>354</v>
      </c>
      <c r="F921" s="1" t="s">
        <v>126</v>
      </c>
      <c r="G921" s="1" t="s">
        <v>353</v>
      </c>
      <c r="H921" s="1">
        <v>5000</v>
      </c>
      <c r="I921" s="1">
        <v>30</v>
      </c>
      <c r="J921" s="51">
        <v>45376</v>
      </c>
      <c r="K921" s="1" t="s">
        <v>57</v>
      </c>
      <c r="L921" s="51">
        <v>45376</v>
      </c>
      <c r="M921" s="1" t="s">
        <v>135</v>
      </c>
      <c r="N921" s="1">
        <v>7</v>
      </c>
      <c r="O921" s="1">
        <v>0</v>
      </c>
      <c r="P921" s="1">
        <v>0</v>
      </c>
      <c r="Q921" s="1">
        <v>0</v>
      </c>
      <c r="R921" s="1" t="s">
        <v>83</v>
      </c>
      <c r="T921" s="50">
        <f>IF(ISNUMBER(VLOOKUP(U921,Blotter!B:C,2,0)),VLOOKUP(U921,Blotter!B:C,2,0),"")</f>
        <v>6</v>
      </c>
      <c r="U921" s="49" t="str">
        <f t="shared" ref="U921" si="904">D921</f>
        <v>SOJ4 C3000</v>
      </c>
      <c r="V921" s="49">
        <f t="shared" ref="V921" si="905">N921</f>
        <v>7</v>
      </c>
      <c r="W921" s="49">
        <f t="shared" ref="W921" si="906">O921</f>
        <v>0</v>
      </c>
      <c r="X921" s="49">
        <f t="shared" ref="X921" si="907">Q921</f>
        <v>0</v>
      </c>
    </row>
    <row r="922" spans="1:24" x14ac:dyDescent="0.4">
      <c r="A922" s="1" t="s">
        <v>138</v>
      </c>
      <c r="B922" s="1" t="s">
        <v>83</v>
      </c>
      <c r="C922" s="1" t="s">
        <v>117</v>
      </c>
      <c r="D922" s="1" t="s">
        <v>407</v>
      </c>
      <c r="E922" s="1" t="s">
        <v>409</v>
      </c>
      <c r="F922" s="1" t="s">
        <v>408</v>
      </c>
      <c r="H922" s="1">
        <v>1</v>
      </c>
      <c r="L922" s="51">
        <v>45377</v>
      </c>
      <c r="M922" s="1" t="s">
        <v>139</v>
      </c>
      <c r="N922" s="1">
        <v>-125</v>
      </c>
      <c r="O922" s="1">
        <v>72.2</v>
      </c>
      <c r="P922" s="1">
        <v>-9025</v>
      </c>
      <c r="Q922" s="1">
        <v>-1.0929500000000001</v>
      </c>
      <c r="R922" s="1" t="s">
        <v>83</v>
      </c>
      <c r="T922" s="50">
        <f>IF(ISNUMBER(VLOOKUP(U922,Blotter!B:C,2,0)),VLOOKUP(U922,Blotter!B:C,2,0),"")</f>
        <v>40</v>
      </c>
      <c r="U922" s="49" t="str">
        <f t="shared" ref="U922" si="908">D922</f>
        <v>CYTK</v>
      </c>
      <c r="V922" s="49">
        <f t="shared" ref="V922" si="909">N922</f>
        <v>-125</v>
      </c>
      <c r="W922" s="49">
        <f t="shared" ref="W922" si="910">O922</f>
        <v>72.2</v>
      </c>
      <c r="X922" s="49">
        <f t="shared" ref="X922" si="911">Q922</f>
        <v>-1.0929500000000001</v>
      </c>
    </row>
    <row r="923" spans="1:24" x14ac:dyDescent="0.4">
      <c r="A923" s="1" t="s">
        <v>138</v>
      </c>
      <c r="B923" s="1" t="s">
        <v>83</v>
      </c>
      <c r="C923" s="1" t="s">
        <v>117</v>
      </c>
      <c r="D923" s="1" t="s">
        <v>407</v>
      </c>
      <c r="E923" s="1" t="s">
        <v>409</v>
      </c>
      <c r="F923" s="1" t="s">
        <v>408</v>
      </c>
      <c r="H923" s="1">
        <v>1</v>
      </c>
      <c r="L923" s="51">
        <v>45377</v>
      </c>
      <c r="M923" s="1" t="s">
        <v>139</v>
      </c>
      <c r="N923" s="1">
        <v>-500</v>
      </c>
      <c r="O923" s="1">
        <v>72.2</v>
      </c>
      <c r="P923" s="1">
        <v>-36100</v>
      </c>
      <c r="Q923" s="1">
        <v>-2.4967999999999999</v>
      </c>
      <c r="R923" s="1" t="s">
        <v>83</v>
      </c>
      <c r="T923" s="50">
        <f>IF(ISNUMBER(VLOOKUP(U923,Blotter!B:C,2,0)),VLOOKUP(U923,Blotter!B:C,2,0),"")</f>
        <v>40</v>
      </c>
      <c r="U923" s="49" t="str">
        <f t="shared" ref="U923:U927" si="912">D923</f>
        <v>CYTK</v>
      </c>
      <c r="V923" s="49">
        <f t="shared" ref="V923:V927" si="913">N923</f>
        <v>-500</v>
      </c>
      <c r="W923" s="49">
        <f t="shared" ref="W923:W927" si="914">O923</f>
        <v>72.2</v>
      </c>
      <c r="X923" s="49">
        <f t="shared" ref="X923:X927" si="915">Q923</f>
        <v>-2.4967999999999999</v>
      </c>
    </row>
    <row r="924" spans="1:24" x14ac:dyDescent="0.4">
      <c r="A924" s="1" t="s">
        <v>138</v>
      </c>
      <c r="B924" s="1" t="s">
        <v>83</v>
      </c>
      <c r="C924" s="1" t="s">
        <v>117</v>
      </c>
      <c r="D924" s="1" t="s">
        <v>407</v>
      </c>
      <c r="E924" s="1" t="s">
        <v>409</v>
      </c>
      <c r="F924" s="1" t="s">
        <v>408</v>
      </c>
      <c r="H924" s="1">
        <v>1</v>
      </c>
      <c r="L924" s="51">
        <v>45377</v>
      </c>
      <c r="M924" s="1" t="s">
        <v>139</v>
      </c>
      <c r="N924" s="1">
        <v>-375</v>
      </c>
      <c r="O924" s="1">
        <v>72.2</v>
      </c>
      <c r="P924" s="1">
        <v>-27075</v>
      </c>
      <c r="Q924" s="1">
        <v>-2.1538499999999998</v>
      </c>
      <c r="R924" s="1" t="s">
        <v>83</v>
      </c>
      <c r="T924" s="50">
        <f>IF(ISNUMBER(VLOOKUP(U924,Blotter!B:C,2,0)),VLOOKUP(U924,Blotter!B:C,2,0),"")</f>
        <v>40</v>
      </c>
      <c r="U924" s="49" t="str">
        <f t="shared" si="912"/>
        <v>CYTK</v>
      </c>
      <c r="V924" s="49">
        <f t="shared" si="913"/>
        <v>-375</v>
      </c>
      <c r="W924" s="49">
        <f t="shared" si="914"/>
        <v>72.2</v>
      </c>
      <c r="X924" s="49">
        <f t="shared" si="915"/>
        <v>-2.1538499999999998</v>
      </c>
    </row>
    <row r="925" spans="1:24" x14ac:dyDescent="0.4">
      <c r="A925" s="1" t="s">
        <v>138</v>
      </c>
      <c r="B925" s="1" t="s">
        <v>83</v>
      </c>
      <c r="C925" s="1" t="s">
        <v>82</v>
      </c>
      <c r="D925" s="1" t="s">
        <v>428</v>
      </c>
      <c r="E925" s="1" t="s">
        <v>430</v>
      </c>
      <c r="F925" s="1" t="s">
        <v>100</v>
      </c>
      <c r="G925" s="1" t="s">
        <v>101</v>
      </c>
      <c r="H925" s="1">
        <v>50000</v>
      </c>
      <c r="J925" s="51">
        <v>45427</v>
      </c>
      <c r="L925" s="51">
        <v>45377</v>
      </c>
      <c r="M925" s="1" t="s">
        <v>139</v>
      </c>
      <c r="N925" s="1">
        <v>-2</v>
      </c>
      <c r="O925" s="59">
        <v>93.4</v>
      </c>
      <c r="P925" s="1">
        <v>-93400</v>
      </c>
      <c r="Q925" s="1">
        <v>-5.94</v>
      </c>
      <c r="R925" s="1" t="s">
        <v>83</v>
      </c>
      <c r="T925" s="50">
        <f>IF(ISNUMBER(VLOOKUP(U925,Blotter!B:C,2,0)),VLOOKUP(U925,Blotter!B:C,2,0),"")</f>
        <v>46</v>
      </c>
      <c r="U925" s="49" t="str">
        <f t="shared" si="912"/>
        <v>CTK4</v>
      </c>
      <c r="V925" s="49">
        <f t="shared" si="913"/>
        <v>-2</v>
      </c>
      <c r="W925" s="49">
        <f t="shared" si="914"/>
        <v>93.4</v>
      </c>
      <c r="X925" s="49">
        <f t="shared" si="915"/>
        <v>-5.94</v>
      </c>
    </row>
    <row r="926" spans="1:24" x14ac:dyDescent="0.4">
      <c r="A926" s="1" t="s">
        <v>138</v>
      </c>
      <c r="B926" s="1" t="s">
        <v>83</v>
      </c>
      <c r="C926" s="1" t="s">
        <v>82</v>
      </c>
      <c r="D926" s="1" t="s">
        <v>428</v>
      </c>
      <c r="E926" s="1" t="s">
        <v>430</v>
      </c>
      <c r="F926" s="1" t="s">
        <v>100</v>
      </c>
      <c r="G926" s="1" t="s">
        <v>101</v>
      </c>
      <c r="H926" s="1">
        <v>50000</v>
      </c>
      <c r="J926" s="51">
        <v>45427</v>
      </c>
      <c r="L926" s="51">
        <v>45377</v>
      </c>
      <c r="M926" s="1" t="s">
        <v>139</v>
      </c>
      <c r="N926" s="1">
        <v>-1</v>
      </c>
      <c r="O926" s="59">
        <v>93.4</v>
      </c>
      <c r="P926" s="1">
        <v>-46700</v>
      </c>
      <c r="Q926" s="1">
        <v>-2.97</v>
      </c>
      <c r="R926" s="1" t="s">
        <v>83</v>
      </c>
      <c r="T926" s="50">
        <f>IF(ISNUMBER(VLOOKUP(U926,Blotter!B:C,2,0)),VLOOKUP(U926,Blotter!B:C,2,0),"")</f>
        <v>46</v>
      </c>
      <c r="U926" s="49" t="str">
        <f t="shared" si="912"/>
        <v>CTK4</v>
      </c>
      <c r="V926" s="49">
        <f t="shared" si="913"/>
        <v>-1</v>
      </c>
      <c r="W926" s="49">
        <f t="shared" si="914"/>
        <v>93.4</v>
      </c>
      <c r="X926" s="49">
        <f t="shared" si="915"/>
        <v>-2.97</v>
      </c>
    </row>
    <row r="927" spans="1:24" x14ac:dyDescent="0.4">
      <c r="A927" s="1" t="s">
        <v>138</v>
      </c>
      <c r="B927" s="1" t="s">
        <v>83</v>
      </c>
      <c r="C927" s="1" t="s">
        <v>82</v>
      </c>
      <c r="D927" s="1" t="s">
        <v>428</v>
      </c>
      <c r="E927" s="1" t="s">
        <v>430</v>
      </c>
      <c r="F927" s="1" t="s">
        <v>100</v>
      </c>
      <c r="G927" s="1" t="s">
        <v>101</v>
      </c>
      <c r="H927" s="1">
        <v>50000</v>
      </c>
      <c r="J927" s="51">
        <v>45427</v>
      </c>
      <c r="L927" s="51">
        <v>45377</v>
      </c>
      <c r="M927" s="1" t="s">
        <v>139</v>
      </c>
      <c r="N927" s="1">
        <v>-1</v>
      </c>
      <c r="O927" s="59">
        <v>93.4</v>
      </c>
      <c r="P927" s="1">
        <v>-46700</v>
      </c>
      <c r="Q927" s="1">
        <v>-2.97</v>
      </c>
      <c r="R927" s="1" t="s">
        <v>83</v>
      </c>
      <c r="T927" s="50">
        <f>IF(ISNUMBER(VLOOKUP(U927,Blotter!B:C,2,0)),VLOOKUP(U927,Blotter!B:C,2,0),"")</f>
        <v>46</v>
      </c>
      <c r="U927" s="49" t="str">
        <f t="shared" si="912"/>
        <v>CTK4</v>
      </c>
      <c r="V927" s="49">
        <f t="shared" si="913"/>
        <v>-1</v>
      </c>
      <c r="W927" s="49">
        <f t="shared" si="914"/>
        <v>93.4</v>
      </c>
      <c r="X927" s="49">
        <f t="shared" si="915"/>
        <v>-2.97</v>
      </c>
    </row>
    <row r="928" spans="1:24" x14ac:dyDescent="0.4">
      <c r="A928" s="1" t="s">
        <v>138</v>
      </c>
      <c r="B928" s="1" t="s">
        <v>83</v>
      </c>
      <c r="C928" s="1" t="s">
        <v>82</v>
      </c>
      <c r="D928" s="1" t="s">
        <v>428</v>
      </c>
      <c r="E928" s="1" t="s">
        <v>430</v>
      </c>
      <c r="F928" s="1" t="s">
        <v>100</v>
      </c>
      <c r="G928" s="1" t="s">
        <v>101</v>
      </c>
      <c r="H928" s="1">
        <v>50000</v>
      </c>
      <c r="J928" s="51">
        <v>45427</v>
      </c>
      <c r="L928" s="51">
        <v>45378</v>
      </c>
      <c r="M928" s="1" t="s">
        <v>135</v>
      </c>
      <c r="N928" s="1">
        <v>3</v>
      </c>
      <c r="O928" s="59">
        <v>91.05</v>
      </c>
      <c r="P928" s="1">
        <v>136575</v>
      </c>
      <c r="Q928" s="1">
        <v>-8.91</v>
      </c>
      <c r="R928" s="1" t="s">
        <v>83</v>
      </c>
      <c r="T928" s="50">
        <f>IF(ISNUMBER(VLOOKUP(U928,Blotter!B:C,2,0)),VLOOKUP(U928,Blotter!B:C,2,0),"")</f>
        <v>46</v>
      </c>
      <c r="U928" s="49" t="str">
        <f t="shared" ref="U928:U929" si="916">D928</f>
        <v>CTK4</v>
      </c>
      <c r="V928" s="49">
        <f t="shared" ref="V928:V929" si="917">N928</f>
        <v>3</v>
      </c>
      <c r="W928" s="49">
        <f t="shared" ref="W928:W929" si="918">O928</f>
        <v>91.05</v>
      </c>
      <c r="X928" s="49">
        <f t="shared" ref="X928:X929" si="919">Q928</f>
        <v>-8.91</v>
      </c>
    </row>
    <row r="929" spans="1:24" x14ac:dyDescent="0.4">
      <c r="A929" s="1" t="s">
        <v>138</v>
      </c>
      <c r="B929" s="1" t="s">
        <v>83</v>
      </c>
      <c r="C929" s="1" t="s">
        <v>82</v>
      </c>
      <c r="D929" s="1" t="s">
        <v>428</v>
      </c>
      <c r="E929" s="1" t="s">
        <v>430</v>
      </c>
      <c r="F929" s="1" t="s">
        <v>100</v>
      </c>
      <c r="G929" s="1" t="s">
        <v>101</v>
      </c>
      <c r="H929" s="1">
        <v>50000</v>
      </c>
      <c r="J929" s="51">
        <v>45427</v>
      </c>
      <c r="L929" s="51">
        <v>45378</v>
      </c>
      <c r="M929" s="1" t="s">
        <v>135</v>
      </c>
      <c r="N929" s="1">
        <v>1</v>
      </c>
      <c r="O929" s="59">
        <v>91.05</v>
      </c>
      <c r="P929" s="1">
        <v>45525</v>
      </c>
      <c r="Q929" s="1">
        <v>-2.97</v>
      </c>
      <c r="R929" s="1" t="s">
        <v>83</v>
      </c>
      <c r="T929" s="50">
        <f>IF(ISNUMBER(VLOOKUP(U929,Blotter!B:C,2,0)),VLOOKUP(U929,Blotter!B:C,2,0),"")</f>
        <v>46</v>
      </c>
      <c r="U929" s="49" t="str">
        <f t="shared" si="916"/>
        <v>CTK4</v>
      </c>
      <c r="V929" s="49">
        <f t="shared" si="917"/>
        <v>1</v>
      </c>
      <c r="W929" s="49">
        <f t="shared" si="918"/>
        <v>91.05</v>
      </c>
      <c r="X929" s="49">
        <f t="shared" si="919"/>
        <v>-2.97</v>
      </c>
    </row>
    <row r="930" spans="1:24" x14ac:dyDescent="0.4">
      <c r="A930" s="1" t="s">
        <v>138</v>
      </c>
      <c r="B930" s="1" t="s">
        <v>83</v>
      </c>
      <c r="C930" s="1" t="s">
        <v>82</v>
      </c>
      <c r="D930" s="1" t="s">
        <v>428</v>
      </c>
      <c r="E930" s="1" t="s">
        <v>430</v>
      </c>
      <c r="F930" s="1" t="s">
        <v>100</v>
      </c>
      <c r="G930" s="1" t="s">
        <v>101</v>
      </c>
      <c r="H930" s="1">
        <v>50000</v>
      </c>
      <c r="J930" s="51">
        <v>45427</v>
      </c>
      <c r="L930" s="51">
        <v>45379</v>
      </c>
      <c r="M930" s="1" t="s">
        <v>135</v>
      </c>
      <c r="N930" s="1">
        <v>3</v>
      </c>
      <c r="O930" s="59">
        <v>90.9</v>
      </c>
      <c r="P930" s="1">
        <v>136350</v>
      </c>
      <c r="Q930" s="1">
        <v>-8.91</v>
      </c>
      <c r="R930" s="1" t="s">
        <v>83</v>
      </c>
      <c r="T930" s="50">
        <f>IF(ISNUMBER(VLOOKUP(U930,Blotter!B:C,2,0)),VLOOKUP(U930,Blotter!B:C,2,0),"")</f>
        <v>46</v>
      </c>
      <c r="U930" s="49" t="str">
        <f t="shared" ref="U930" si="920">D930</f>
        <v>CTK4</v>
      </c>
      <c r="V930" s="49">
        <f t="shared" ref="V930" si="921">N930</f>
        <v>3</v>
      </c>
      <c r="W930" s="49">
        <f t="shared" ref="W930" si="922">O930</f>
        <v>90.9</v>
      </c>
      <c r="X930" s="49">
        <f t="shared" ref="X930" si="923">Q930</f>
        <v>-8.91</v>
      </c>
    </row>
    <row r="931" spans="1:24" x14ac:dyDescent="0.4">
      <c r="A931" s="1" t="s">
        <v>138</v>
      </c>
      <c r="B931" s="1" t="s">
        <v>83</v>
      </c>
      <c r="C931" s="1" t="s">
        <v>82</v>
      </c>
      <c r="D931" s="1" t="s">
        <v>428</v>
      </c>
      <c r="E931" s="1" t="s">
        <v>430</v>
      </c>
      <c r="F931" s="1" t="s">
        <v>100</v>
      </c>
      <c r="G931" s="1" t="s">
        <v>101</v>
      </c>
      <c r="H931" s="1">
        <v>50000</v>
      </c>
      <c r="J931" s="51">
        <v>45427</v>
      </c>
      <c r="L931" s="51">
        <v>45379</v>
      </c>
      <c r="M931" s="1" t="s">
        <v>139</v>
      </c>
      <c r="N931" s="1">
        <v>-1</v>
      </c>
      <c r="O931" s="59">
        <v>91.41</v>
      </c>
      <c r="P931" s="1">
        <v>-45705</v>
      </c>
      <c r="Q931" s="1">
        <v>-2.97</v>
      </c>
      <c r="R931" s="1" t="s">
        <v>83</v>
      </c>
      <c r="T931" s="50">
        <f>IF(ISNUMBER(VLOOKUP(U931,Blotter!B:C,2,0)),VLOOKUP(U931,Blotter!B:C,2,0),"")</f>
        <v>46</v>
      </c>
      <c r="U931" s="49" t="str">
        <f t="shared" ref="U931:U932" si="924">D931</f>
        <v>CTK4</v>
      </c>
      <c r="V931" s="49">
        <f t="shared" ref="V931:V932" si="925">N931</f>
        <v>-1</v>
      </c>
      <c r="W931" s="49">
        <f t="shared" ref="W931:W932" si="926">O931</f>
        <v>91.41</v>
      </c>
      <c r="X931" s="49">
        <f t="shared" ref="X931:X932" si="927">Q931</f>
        <v>-2.97</v>
      </c>
    </row>
    <row r="932" spans="1:24" x14ac:dyDescent="0.4">
      <c r="A932" s="1" t="s">
        <v>138</v>
      </c>
      <c r="B932" s="1" t="s">
        <v>83</v>
      </c>
      <c r="C932" s="1" t="s">
        <v>82</v>
      </c>
      <c r="D932" s="1" t="s">
        <v>428</v>
      </c>
      <c r="E932" s="1" t="s">
        <v>430</v>
      </c>
      <c r="F932" s="1" t="s">
        <v>100</v>
      </c>
      <c r="G932" s="1" t="s">
        <v>101</v>
      </c>
      <c r="H932" s="1">
        <v>50000</v>
      </c>
      <c r="J932" s="51">
        <v>45427</v>
      </c>
      <c r="L932" s="51">
        <v>45379</v>
      </c>
      <c r="M932" s="1" t="s">
        <v>139</v>
      </c>
      <c r="N932" s="1">
        <v>-2</v>
      </c>
      <c r="O932" s="59">
        <v>91.41</v>
      </c>
      <c r="P932" s="1">
        <v>-91410</v>
      </c>
      <c r="Q932" s="1">
        <v>-5.94</v>
      </c>
      <c r="R932" s="1" t="s">
        <v>83</v>
      </c>
      <c r="T932" s="50">
        <f>IF(ISNUMBER(VLOOKUP(U932,Blotter!B:C,2,0)),VLOOKUP(U932,Blotter!B:C,2,0),"")</f>
        <v>46</v>
      </c>
      <c r="U932" s="49" t="str">
        <f t="shared" si="924"/>
        <v>CTK4</v>
      </c>
      <c r="V932" s="49">
        <f t="shared" si="925"/>
        <v>-2</v>
      </c>
      <c r="W932" s="49">
        <f t="shared" si="926"/>
        <v>91.41</v>
      </c>
      <c r="X932" s="49">
        <f t="shared" si="927"/>
        <v>-5.94</v>
      </c>
    </row>
    <row r="933" spans="1:24" x14ac:dyDescent="0.4">
      <c r="A933" s="1" t="s">
        <v>138</v>
      </c>
      <c r="B933" s="1" t="s">
        <v>83</v>
      </c>
      <c r="C933" s="1" t="s">
        <v>82</v>
      </c>
      <c r="D933" s="1" t="s">
        <v>428</v>
      </c>
      <c r="E933" s="1" t="s">
        <v>430</v>
      </c>
      <c r="F933" s="1" t="s">
        <v>100</v>
      </c>
      <c r="G933" s="1" t="s">
        <v>101</v>
      </c>
      <c r="H933" s="1">
        <v>50000</v>
      </c>
      <c r="J933" s="51">
        <v>45427</v>
      </c>
      <c r="L933" s="51">
        <v>45379</v>
      </c>
      <c r="M933" s="1" t="s">
        <v>139</v>
      </c>
      <c r="N933" s="1">
        <v>-2</v>
      </c>
      <c r="O933" s="59">
        <v>91.41</v>
      </c>
      <c r="P933" s="1">
        <v>-91410</v>
      </c>
      <c r="Q933" s="1">
        <v>-5.94</v>
      </c>
      <c r="R933" s="1" t="s">
        <v>83</v>
      </c>
      <c r="T933" s="50">
        <f>IF(ISNUMBER(VLOOKUP(U933,Blotter!B:C,2,0)),VLOOKUP(U933,Blotter!B:C,2,0),"")</f>
        <v>46</v>
      </c>
      <c r="U933" s="49" t="str">
        <f t="shared" ref="U933" si="928">D933</f>
        <v>CTK4</v>
      </c>
      <c r="V933" s="49">
        <f t="shared" ref="V933" si="929">N933</f>
        <v>-2</v>
      </c>
      <c r="W933" s="49">
        <f t="shared" ref="W933" si="930">O933</f>
        <v>91.41</v>
      </c>
      <c r="X933" s="49">
        <f t="shared" ref="X933" si="931">Q933</f>
        <v>-5.94</v>
      </c>
    </row>
    <row r="934" spans="1:24" x14ac:dyDescent="0.4">
      <c r="A934" s="1" t="s">
        <v>138</v>
      </c>
      <c r="B934" s="1" t="s">
        <v>83</v>
      </c>
      <c r="C934" s="1" t="s">
        <v>82</v>
      </c>
      <c r="D934" s="1" t="s">
        <v>428</v>
      </c>
      <c r="E934" s="1" t="s">
        <v>430</v>
      </c>
      <c r="F934" s="1" t="s">
        <v>100</v>
      </c>
      <c r="G934" s="1" t="s">
        <v>101</v>
      </c>
      <c r="H934" s="1">
        <v>50000</v>
      </c>
      <c r="J934" s="51">
        <v>45427</v>
      </c>
      <c r="L934" s="51">
        <v>45379</v>
      </c>
      <c r="M934" s="1" t="s">
        <v>139</v>
      </c>
      <c r="N934" s="1">
        <v>-1</v>
      </c>
      <c r="O934" s="59">
        <v>91.41</v>
      </c>
      <c r="P934" s="1">
        <v>-45705</v>
      </c>
      <c r="Q934" s="1">
        <v>-2.97</v>
      </c>
      <c r="R934" s="1" t="s">
        <v>83</v>
      </c>
      <c r="T934" s="50">
        <f>IF(ISNUMBER(VLOOKUP(U934,Blotter!B:C,2,0)),VLOOKUP(U934,Blotter!B:C,2,0),"")</f>
        <v>46</v>
      </c>
      <c r="U934" s="49" t="str">
        <f t="shared" ref="U934" si="932">D934</f>
        <v>CTK4</v>
      </c>
      <c r="V934" s="49">
        <f t="shared" ref="V934" si="933">N934</f>
        <v>-1</v>
      </c>
      <c r="W934" s="49">
        <f t="shared" ref="W934" si="934">O934</f>
        <v>91.41</v>
      </c>
      <c r="X934" s="49">
        <f t="shared" ref="X934" si="935">Q934</f>
        <v>-2.97</v>
      </c>
    </row>
    <row r="935" spans="1:24" x14ac:dyDescent="0.4">
      <c r="A935" s="1" t="s">
        <v>138</v>
      </c>
      <c r="B935" s="1" t="s">
        <v>83</v>
      </c>
      <c r="C935" s="1" t="s">
        <v>82</v>
      </c>
      <c r="D935" s="1" t="s">
        <v>428</v>
      </c>
      <c r="E935" s="1" t="s">
        <v>430</v>
      </c>
      <c r="F935" s="1" t="s">
        <v>100</v>
      </c>
      <c r="G935" s="1" t="s">
        <v>101</v>
      </c>
      <c r="H935" s="1">
        <v>50000</v>
      </c>
      <c r="J935" s="51">
        <v>45427</v>
      </c>
      <c r="L935" s="51">
        <v>45379</v>
      </c>
      <c r="M935" s="1" t="s">
        <v>139</v>
      </c>
      <c r="N935" s="1">
        <v>-1</v>
      </c>
      <c r="O935" s="59">
        <v>91.41</v>
      </c>
      <c r="P935" s="1">
        <v>-45705</v>
      </c>
      <c r="Q935" s="1">
        <v>-2.97</v>
      </c>
      <c r="R935" s="1" t="s">
        <v>83</v>
      </c>
      <c r="T935" s="50">
        <f>IF(ISNUMBER(VLOOKUP(U935,Blotter!B:C,2,0)),VLOOKUP(U935,Blotter!B:C,2,0),"")</f>
        <v>46</v>
      </c>
      <c r="U935" s="49" t="str">
        <f t="shared" ref="U935:U943" si="936">D935</f>
        <v>CTK4</v>
      </c>
      <c r="V935" s="49">
        <f t="shared" ref="V935:V943" si="937">N935</f>
        <v>-1</v>
      </c>
      <c r="W935" s="49">
        <f t="shared" ref="W935:W943" si="938">O935</f>
        <v>91.41</v>
      </c>
      <c r="X935" s="49">
        <f t="shared" ref="X935:X943" si="939">Q935</f>
        <v>-2.97</v>
      </c>
    </row>
    <row r="936" spans="1:24" x14ac:dyDescent="0.4">
      <c r="A936" s="1" t="s">
        <v>138</v>
      </c>
      <c r="B936" s="1" t="s">
        <v>83</v>
      </c>
      <c r="C936" s="1" t="s">
        <v>82</v>
      </c>
      <c r="D936" s="1" t="s">
        <v>450</v>
      </c>
      <c r="E936" s="1" t="s">
        <v>451</v>
      </c>
      <c r="F936" s="1" t="s">
        <v>100</v>
      </c>
      <c r="G936" s="1" t="s">
        <v>33</v>
      </c>
      <c r="H936" s="1">
        <v>37500</v>
      </c>
      <c r="J936" s="51">
        <v>45433</v>
      </c>
      <c r="L936" s="51">
        <v>45379</v>
      </c>
      <c r="M936" s="1" t="s">
        <v>135</v>
      </c>
      <c r="N936" s="1">
        <v>1</v>
      </c>
      <c r="O936" s="59">
        <v>187.8</v>
      </c>
      <c r="P936" s="1">
        <v>70425</v>
      </c>
      <c r="Q936" s="1">
        <v>-2.97</v>
      </c>
      <c r="R936" s="1" t="s">
        <v>83</v>
      </c>
      <c r="T936" s="50">
        <f>IF(ISNUMBER(VLOOKUP(U936,Blotter!B:C,2,0)),VLOOKUP(U936,Blotter!B:C,2,0),"")</f>
        <v>48</v>
      </c>
      <c r="U936" s="49" t="str">
        <f t="shared" si="936"/>
        <v>KCK4</v>
      </c>
      <c r="V936" s="49">
        <f t="shared" si="937"/>
        <v>1</v>
      </c>
      <c r="W936" s="49">
        <f t="shared" si="938"/>
        <v>187.8</v>
      </c>
      <c r="X936" s="49">
        <f t="shared" si="939"/>
        <v>-2.97</v>
      </c>
    </row>
    <row r="937" spans="1:24" x14ac:dyDescent="0.4">
      <c r="A937" s="1" t="s">
        <v>138</v>
      </c>
      <c r="B937" s="1" t="s">
        <v>83</v>
      </c>
      <c r="C937" s="1" t="s">
        <v>82</v>
      </c>
      <c r="D937" s="1" t="s">
        <v>450</v>
      </c>
      <c r="E937" s="1" t="s">
        <v>451</v>
      </c>
      <c r="F937" s="1" t="s">
        <v>100</v>
      </c>
      <c r="G937" s="1" t="s">
        <v>33</v>
      </c>
      <c r="H937" s="1">
        <v>37500</v>
      </c>
      <c r="J937" s="51">
        <v>45433</v>
      </c>
      <c r="L937" s="51">
        <v>45379</v>
      </c>
      <c r="M937" s="1" t="s">
        <v>135</v>
      </c>
      <c r="N937" s="1">
        <v>3</v>
      </c>
      <c r="O937" s="59">
        <v>187.8</v>
      </c>
      <c r="P937" s="1">
        <v>211275</v>
      </c>
      <c r="Q937" s="1">
        <v>-8.91</v>
      </c>
      <c r="R937" s="1" t="s">
        <v>83</v>
      </c>
      <c r="T937" s="50">
        <f>IF(ISNUMBER(VLOOKUP(U937,Blotter!B:C,2,0)),VLOOKUP(U937,Blotter!B:C,2,0),"")</f>
        <v>48</v>
      </c>
      <c r="U937" s="49" t="str">
        <f t="shared" si="936"/>
        <v>KCK4</v>
      </c>
      <c r="V937" s="49">
        <f t="shared" si="937"/>
        <v>3</v>
      </c>
      <c r="W937" s="49">
        <f t="shared" si="938"/>
        <v>187.8</v>
      </c>
      <c r="X937" s="49">
        <f t="shared" si="939"/>
        <v>-8.91</v>
      </c>
    </row>
    <row r="938" spans="1:24" x14ac:dyDescent="0.4">
      <c r="A938" s="1" t="s">
        <v>138</v>
      </c>
      <c r="B938" s="1" t="s">
        <v>83</v>
      </c>
      <c r="C938" s="1" t="s">
        <v>82</v>
      </c>
      <c r="D938" s="1" t="s">
        <v>450</v>
      </c>
      <c r="E938" s="1" t="s">
        <v>451</v>
      </c>
      <c r="F938" s="1" t="s">
        <v>100</v>
      </c>
      <c r="G938" s="1" t="s">
        <v>33</v>
      </c>
      <c r="H938" s="1">
        <v>37500</v>
      </c>
      <c r="J938" s="51">
        <v>45433</v>
      </c>
      <c r="L938" s="51">
        <v>45379</v>
      </c>
      <c r="M938" s="1" t="s">
        <v>135</v>
      </c>
      <c r="N938" s="1">
        <v>1</v>
      </c>
      <c r="O938" s="59">
        <v>187.8</v>
      </c>
      <c r="P938" s="1">
        <v>70425</v>
      </c>
      <c r="Q938" s="1">
        <v>-2.97</v>
      </c>
      <c r="R938" s="1" t="s">
        <v>83</v>
      </c>
      <c r="T938" s="50">
        <f>IF(ISNUMBER(VLOOKUP(U938,Blotter!B:C,2,0)),VLOOKUP(U938,Blotter!B:C,2,0),"")</f>
        <v>48</v>
      </c>
      <c r="U938" s="49" t="str">
        <f t="shared" si="936"/>
        <v>KCK4</v>
      </c>
      <c r="V938" s="49">
        <f t="shared" si="937"/>
        <v>1</v>
      </c>
      <c r="W938" s="49">
        <f t="shared" si="938"/>
        <v>187.8</v>
      </c>
      <c r="X938" s="49">
        <f t="shared" si="939"/>
        <v>-2.97</v>
      </c>
    </row>
    <row r="939" spans="1:24" x14ac:dyDescent="0.4">
      <c r="A939" s="1" t="s">
        <v>138</v>
      </c>
      <c r="B939" s="1" t="s">
        <v>83</v>
      </c>
      <c r="C939" s="1" t="s">
        <v>82</v>
      </c>
      <c r="D939" s="1" t="s">
        <v>450</v>
      </c>
      <c r="E939" s="1" t="s">
        <v>451</v>
      </c>
      <c r="F939" s="1" t="s">
        <v>100</v>
      </c>
      <c r="G939" s="1" t="s">
        <v>33</v>
      </c>
      <c r="H939" s="1">
        <v>37500</v>
      </c>
      <c r="J939" s="51">
        <v>45433</v>
      </c>
      <c r="L939" s="51">
        <v>45379</v>
      </c>
      <c r="M939" s="1" t="s">
        <v>139</v>
      </c>
      <c r="N939" s="1">
        <v>-5</v>
      </c>
      <c r="O939" s="59">
        <v>189.5</v>
      </c>
      <c r="P939" s="1">
        <v>-355312.5</v>
      </c>
      <c r="Q939" s="1">
        <v>-14.85</v>
      </c>
      <c r="R939" s="1" t="s">
        <v>83</v>
      </c>
      <c r="T939" s="50">
        <f>IF(ISNUMBER(VLOOKUP(U939,Blotter!B:C,2,0)),VLOOKUP(U939,Blotter!B:C,2,0),"")</f>
        <v>48</v>
      </c>
      <c r="U939" s="49" t="str">
        <f t="shared" si="936"/>
        <v>KCK4</v>
      </c>
      <c r="V939" s="49">
        <f t="shared" si="937"/>
        <v>-5</v>
      </c>
      <c r="W939" s="49">
        <f t="shared" si="938"/>
        <v>189.5</v>
      </c>
      <c r="X939" s="49">
        <f t="shared" si="939"/>
        <v>-14.85</v>
      </c>
    </row>
    <row r="940" spans="1:24" x14ac:dyDescent="0.4">
      <c r="A940" s="1" t="s">
        <v>138</v>
      </c>
      <c r="B940" s="1" t="s">
        <v>83</v>
      </c>
      <c r="C940" s="1" t="s">
        <v>82</v>
      </c>
      <c r="D940" s="59" t="s">
        <v>456</v>
      </c>
      <c r="E940" s="1" t="s">
        <v>460</v>
      </c>
      <c r="F940" s="1" t="s">
        <v>127</v>
      </c>
      <c r="G940" s="1" t="s">
        <v>31</v>
      </c>
      <c r="H940" s="1">
        <v>5000</v>
      </c>
      <c r="J940" s="51">
        <v>45426</v>
      </c>
      <c r="L940" s="51">
        <v>45379</v>
      </c>
      <c r="M940" s="1" t="s">
        <v>139</v>
      </c>
      <c r="N940" s="1">
        <v>-1</v>
      </c>
      <c r="O940" s="59">
        <v>1198</v>
      </c>
      <c r="P940" s="1">
        <v>-59900</v>
      </c>
      <c r="Q940" s="1">
        <v>-2.97</v>
      </c>
      <c r="R940" s="1" t="s">
        <v>83</v>
      </c>
      <c r="T940" s="50">
        <f>IF(ISNUMBER(VLOOKUP(U940,Blotter!B:C,2,0)),VLOOKUP(U940,Blotter!B:C,2,0),"")</f>
        <v>49</v>
      </c>
      <c r="U940" s="49" t="str">
        <f t="shared" si="936"/>
        <v>ZSK4</v>
      </c>
      <c r="V940" s="49">
        <f t="shared" si="937"/>
        <v>-1</v>
      </c>
      <c r="W940" s="49">
        <f t="shared" si="938"/>
        <v>1198</v>
      </c>
      <c r="X940" s="49">
        <f t="shared" si="939"/>
        <v>-2.97</v>
      </c>
    </row>
    <row r="941" spans="1:24" x14ac:dyDescent="0.4">
      <c r="A941" s="1" t="s">
        <v>138</v>
      </c>
      <c r="B941" s="1" t="s">
        <v>83</v>
      </c>
      <c r="C941" s="1" t="s">
        <v>82</v>
      </c>
      <c r="D941" s="59" t="s">
        <v>456</v>
      </c>
      <c r="E941" s="1" t="s">
        <v>460</v>
      </c>
      <c r="F941" s="1" t="s">
        <v>127</v>
      </c>
      <c r="G941" s="1" t="s">
        <v>31</v>
      </c>
      <c r="H941" s="1">
        <v>5000</v>
      </c>
      <c r="J941" s="51">
        <v>45426</v>
      </c>
      <c r="L941" s="51">
        <v>45379</v>
      </c>
      <c r="M941" s="1" t="s">
        <v>139</v>
      </c>
      <c r="N941" s="1">
        <v>-1</v>
      </c>
      <c r="O941" s="59">
        <v>1198</v>
      </c>
      <c r="P941" s="1">
        <v>-59900</v>
      </c>
      <c r="Q941" s="1">
        <v>-2.97</v>
      </c>
      <c r="R941" s="1" t="s">
        <v>83</v>
      </c>
      <c r="T941" s="50">
        <f>IF(ISNUMBER(VLOOKUP(U941,Blotter!B:C,2,0)),VLOOKUP(U941,Blotter!B:C,2,0),"")</f>
        <v>49</v>
      </c>
      <c r="U941" s="49" t="str">
        <f t="shared" si="936"/>
        <v>ZSK4</v>
      </c>
      <c r="V941" s="49">
        <f t="shared" si="937"/>
        <v>-1</v>
      </c>
      <c r="W941" s="49">
        <f t="shared" si="938"/>
        <v>1198</v>
      </c>
      <c r="X941" s="49">
        <f t="shared" si="939"/>
        <v>-2.97</v>
      </c>
    </row>
    <row r="942" spans="1:24" x14ac:dyDescent="0.4">
      <c r="A942" s="1" t="s">
        <v>138</v>
      </c>
      <c r="B942" s="1" t="s">
        <v>83</v>
      </c>
      <c r="C942" s="1" t="s">
        <v>82</v>
      </c>
      <c r="D942" s="59" t="s">
        <v>456</v>
      </c>
      <c r="E942" s="1" t="s">
        <v>460</v>
      </c>
      <c r="F942" s="1" t="s">
        <v>127</v>
      </c>
      <c r="G942" s="1" t="s">
        <v>31</v>
      </c>
      <c r="H942" s="1">
        <v>5000</v>
      </c>
      <c r="J942" s="51">
        <v>45426</v>
      </c>
      <c r="L942" s="51">
        <v>45379</v>
      </c>
      <c r="M942" s="1" t="s">
        <v>139</v>
      </c>
      <c r="N942" s="1">
        <v>-1</v>
      </c>
      <c r="O942" s="59">
        <v>1198</v>
      </c>
      <c r="P942" s="1">
        <v>-59900</v>
      </c>
      <c r="Q942" s="1">
        <v>-2.97</v>
      </c>
      <c r="R942" s="1" t="s">
        <v>83</v>
      </c>
      <c r="T942" s="50">
        <f>IF(ISNUMBER(VLOOKUP(U942,Blotter!B:C,2,0)),VLOOKUP(U942,Blotter!B:C,2,0),"")</f>
        <v>49</v>
      </c>
      <c r="U942" s="49" t="str">
        <f t="shared" si="936"/>
        <v>ZSK4</v>
      </c>
      <c r="V942" s="49">
        <f t="shared" si="937"/>
        <v>-1</v>
      </c>
      <c r="W942" s="49">
        <f t="shared" si="938"/>
        <v>1198</v>
      </c>
      <c r="X942" s="49">
        <f t="shared" si="939"/>
        <v>-2.97</v>
      </c>
    </row>
    <row r="943" spans="1:24" x14ac:dyDescent="0.4">
      <c r="A943" s="1" t="s">
        <v>138</v>
      </c>
      <c r="B943" s="1" t="s">
        <v>83</v>
      </c>
      <c r="C943" s="1" t="s">
        <v>82</v>
      </c>
      <c r="D943" s="59" t="s">
        <v>456</v>
      </c>
      <c r="E943" s="1" t="s">
        <v>460</v>
      </c>
      <c r="F943" s="1" t="s">
        <v>127</v>
      </c>
      <c r="G943" s="1" t="s">
        <v>31</v>
      </c>
      <c r="H943" s="1">
        <v>5000</v>
      </c>
      <c r="J943" s="51">
        <v>45426</v>
      </c>
      <c r="L943" s="51">
        <v>45379</v>
      </c>
      <c r="M943" s="1" t="s">
        <v>139</v>
      </c>
      <c r="N943" s="1">
        <v>-7</v>
      </c>
      <c r="O943" s="59">
        <v>1198</v>
      </c>
      <c r="P943" s="1">
        <v>-419300</v>
      </c>
      <c r="Q943" s="1">
        <v>-20.79</v>
      </c>
      <c r="R943" s="1" t="s">
        <v>83</v>
      </c>
      <c r="T943" s="50">
        <f>IF(ISNUMBER(VLOOKUP(U943,Blotter!B:C,2,0)),VLOOKUP(U943,Blotter!B:C,2,0),"")</f>
        <v>49</v>
      </c>
      <c r="U943" s="49" t="str">
        <f t="shared" si="936"/>
        <v>ZSK4</v>
      </c>
      <c r="V943" s="49">
        <f t="shared" si="937"/>
        <v>-7</v>
      </c>
      <c r="W943" s="49">
        <f t="shared" si="938"/>
        <v>1198</v>
      </c>
      <c r="X943" s="49">
        <f t="shared" si="939"/>
        <v>-20.79</v>
      </c>
    </row>
    <row r="944" spans="1:24" x14ac:dyDescent="0.4">
      <c r="A944" s="1" t="s">
        <v>138</v>
      </c>
      <c r="B944" s="1" t="s">
        <v>83</v>
      </c>
      <c r="C944" s="1" t="s">
        <v>87</v>
      </c>
      <c r="D944" s="1" t="s">
        <v>329</v>
      </c>
      <c r="E944" s="1" t="s">
        <v>330</v>
      </c>
      <c r="F944" s="1" t="s">
        <v>129</v>
      </c>
      <c r="G944" s="1" t="s">
        <v>331</v>
      </c>
      <c r="H944" s="1">
        <v>100</v>
      </c>
      <c r="I944" s="1">
        <v>32</v>
      </c>
      <c r="J944" s="51">
        <v>45401</v>
      </c>
      <c r="K944" s="1" t="s">
        <v>57</v>
      </c>
      <c r="L944" s="51">
        <v>45383</v>
      </c>
      <c r="M944" s="1" t="s">
        <v>139</v>
      </c>
      <c r="N944" s="1">
        <v>-100</v>
      </c>
      <c r="O944" s="1">
        <v>0.35</v>
      </c>
      <c r="P944" s="1">
        <v>-3500</v>
      </c>
      <c r="Q944" s="1">
        <v>30.007999999999999</v>
      </c>
      <c r="R944" s="1" t="s">
        <v>83</v>
      </c>
      <c r="T944" s="50">
        <f>IF(ISNUMBER(VLOOKUP(U944,Blotter!B:C,2,0)),VLOOKUP(U944,Blotter!B:C,2,0),"")</f>
        <v>31</v>
      </c>
      <c r="U944" s="49" t="str">
        <f t="shared" ref="U944" si="940">D944</f>
        <v>URA   240419C00032000</v>
      </c>
      <c r="V944" s="49">
        <f t="shared" ref="V944" si="941">N944</f>
        <v>-100</v>
      </c>
      <c r="W944" s="49">
        <f t="shared" ref="W944" si="942">O944</f>
        <v>0.35</v>
      </c>
      <c r="X944" s="49">
        <f t="shared" ref="X944" si="943">Q944</f>
        <v>30.007999999999999</v>
      </c>
    </row>
    <row r="945" spans="1:24" x14ac:dyDescent="0.4">
      <c r="A945" s="1" t="s">
        <v>138</v>
      </c>
      <c r="B945" s="1" t="s">
        <v>83</v>
      </c>
      <c r="C945" s="1" t="s">
        <v>82</v>
      </c>
      <c r="D945" s="1" t="s">
        <v>428</v>
      </c>
      <c r="E945" s="1" t="s">
        <v>430</v>
      </c>
      <c r="F945" s="1" t="s">
        <v>100</v>
      </c>
      <c r="G945" s="1" t="s">
        <v>101</v>
      </c>
      <c r="H945" s="1">
        <v>50000</v>
      </c>
      <c r="J945" s="51">
        <v>45427</v>
      </c>
      <c r="L945" s="51">
        <v>45385</v>
      </c>
      <c r="M945" s="1" t="s">
        <v>135</v>
      </c>
      <c r="N945" s="1">
        <v>1</v>
      </c>
      <c r="O945" s="59">
        <v>89.8</v>
      </c>
      <c r="P945" s="1">
        <v>44900</v>
      </c>
      <c r="Q945" s="1">
        <v>-2.97</v>
      </c>
      <c r="R945" s="1" t="s">
        <v>83</v>
      </c>
      <c r="T945" s="50">
        <f>IF(ISNUMBER(VLOOKUP(U945,Blotter!B:C,2,0)),VLOOKUP(U945,Blotter!B:C,2,0),"")</f>
        <v>46</v>
      </c>
      <c r="U945" s="49" t="str">
        <f t="shared" ref="U945" si="944">D945</f>
        <v>CTK4</v>
      </c>
      <c r="V945" s="49">
        <f t="shared" ref="V945" si="945">N945</f>
        <v>1</v>
      </c>
      <c r="W945" s="49">
        <f t="shared" ref="W945" si="946">O945</f>
        <v>89.8</v>
      </c>
      <c r="X945" s="49">
        <f t="shared" ref="X945" si="947">Q945</f>
        <v>-2.97</v>
      </c>
    </row>
    <row r="946" spans="1:24" x14ac:dyDescent="0.4">
      <c r="A946" s="1" t="s">
        <v>138</v>
      </c>
      <c r="B946" s="1" t="s">
        <v>83</v>
      </c>
      <c r="C946" s="1" t="s">
        <v>82</v>
      </c>
      <c r="D946" s="1" t="s">
        <v>428</v>
      </c>
      <c r="E946" s="1" t="s">
        <v>430</v>
      </c>
      <c r="F946" s="1" t="s">
        <v>100</v>
      </c>
      <c r="G946" s="1" t="s">
        <v>101</v>
      </c>
      <c r="H946" s="1">
        <v>50000</v>
      </c>
      <c r="J946" s="51">
        <v>45427</v>
      </c>
      <c r="L946" s="51">
        <v>45385</v>
      </c>
      <c r="M946" s="1" t="s">
        <v>135</v>
      </c>
      <c r="N946" s="1">
        <v>2</v>
      </c>
      <c r="O946" s="59">
        <v>89.8</v>
      </c>
      <c r="P946" s="1">
        <v>89800</v>
      </c>
      <c r="Q946" s="1">
        <v>-5.94</v>
      </c>
      <c r="R946" s="1" t="s">
        <v>83</v>
      </c>
      <c r="T946" s="50">
        <f>IF(ISNUMBER(VLOOKUP(U946,Blotter!B:C,2,0)),VLOOKUP(U946,Blotter!B:C,2,0),"")</f>
        <v>46</v>
      </c>
      <c r="U946" s="49" t="str">
        <f t="shared" ref="U946:U949" si="948">D946</f>
        <v>CTK4</v>
      </c>
      <c r="V946" s="49">
        <f t="shared" ref="V946:V949" si="949">N946</f>
        <v>2</v>
      </c>
      <c r="W946" s="49">
        <f t="shared" ref="W946:W949" si="950">O946</f>
        <v>89.8</v>
      </c>
      <c r="X946" s="49">
        <f t="shared" ref="X946:X949" si="951">Q946</f>
        <v>-5.94</v>
      </c>
    </row>
    <row r="947" spans="1:24" x14ac:dyDescent="0.4">
      <c r="A947" s="1" t="s">
        <v>138</v>
      </c>
      <c r="B947" s="1" t="s">
        <v>83</v>
      </c>
      <c r="C947" s="1" t="s">
        <v>82</v>
      </c>
      <c r="D947" s="1" t="s">
        <v>428</v>
      </c>
      <c r="E947" s="1" t="s">
        <v>430</v>
      </c>
      <c r="F947" s="1" t="s">
        <v>100</v>
      </c>
      <c r="G947" s="1" t="s">
        <v>101</v>
      </c>
      <c r="H947" s="1">
        <v>50000</v>
      </c>
      <c r="J947" s="51">
        <v>45427</v>
      </c>
      <c r="L947" s="51">
        <v>45385</v>
      </c>
      <c r="M947" s="1" t="s">
        <v>135</v>
      </c>
      <c r="N947" s="1">
        <v>2</v>
      </c>
      <c r="O947" s="59">
        <v>89.8</v>
      </c>
      <c r="P947" s="1">
        <v>89800</v>
      </c>
      <c r="Q947" s="1">
        <v>-5.94</v>
      </c>
      <c r="R947" s="1" t="s">
        <v>83</v>
      </c>
      <c r="T947" s="50">
        <f>IF(ISNUMBER(VLOOKUP(U947,Blotter!B:C,2,0)),VLOOKUP(U947,Blotter!B:C,2,0),"")</f>
        <v>46</v>
      </c>
      <c r="U947" s="49" t="str">
        <f t="shared" si="948"/>
        <v>CTK4</v>
      </c>
      <c r="V947" s="49">
        <f t="shared" si="949"/>
        <v>2</v>
      </c>
      <c r="W947" s="49">
        <f t="shared" si="950"/>
        <v>89.8</v>
      </c>
      <c r="X947" s="49">
        <f t="shared" si="951"/>
        <v>-5.94</v>
      </c>
    </row>
    <row r="948" spans="1:24" x14ac:dyDescent="0.4">
      <c r="A948" s="1" t="s">
        <v>138</v>
      </c>
      <c r="B948" s="1" t="s">
        <v>83</v>
      </c>
      <c r="C948" s="1" t="s">
        <v>82</v>
      </c>
      <c r="D948" s="1" t="s">
        <v>428</v>
      </c>
      <c r="E948" s="1" t="s">
        <v>430</v>
      </c>
      <c r="F948" s="1" t="s">
        <v>100</v>
      </c>
      <c r="G948" s="1" t="s">
        <v>101</v>
      </c>
      <c r="H948" s="1">
        <v>50000</v>
      </c>
      <c r="J948" s="51">
        <v>45427</v>
      </c>
      <c r="L948" s="51">
        <v>45385</v>
      </c>
      <c r="M948" s="1" t="s">
        <v>135</v>
      </c>
      <c r="N948" s="1">
        <v>2</v>
      </c>
      <c r="O948" s="59">
        <v>89.8</v>
      </c>
      <c r="P948" s="1">
        <v>89800</v>
      </c>
      <c r="Q948" s="1">
        <v>-5.94</v>
      </c>
      <c r="R948" s="1" t="s">
        <v>83</v>
      </c>
      <c r="T948" s="50">
        <f>IF(ISNUMBER(VLOOKUP(U948,Blotter!B:C,2,0)),VLOOKUP(U948,Blotter!B:C,2,0),"")</f>
        <v>46</v>
      </c>
      <c r="U948" s="49" t="str">
        <f t="shared" si="948"/>
        <v>CTK4</v>
      </c>
      <c r="V948" s="49">
        <f t="shared" si="949"/>
        <v>2</v>
      </c>
      <c r="W948" s="49">
        <f t="shared" si="950"/>
        <v>89.8</v>
      </c>
      <c r="X948" s="49">
        <f t="shared" si="951"/>
        <v>-5.94</v>
      </c>
    </row>
    <row r="949" spans="1:24" x14ac:dyDescent="0.4">
      <c r="A949" s="1" t="s">
        <v>138</v>
      </c>
      <c r="B949" s="1" t="s">
        <v>83</v>
      </c>
      <c r="C949" s="1" t="s">
        <v>82</v>
      </c>
      <c r="D949" s="1" t="s">
        <v>450</v>
      </c>
      <c r="E949" s="1" t="s">
        <v>451</v>
      </c>
      <c r="F949" s="1" t="s">
        <v>100</v>
      </c>
      <c r="G949" s="1" t="s">
        <v>33</v>
      </c>
      <c r="H949" s="1">
        <v>37500</v>
      </c>
      <c r="J949" s="51">
        <v>45433</v>
      </c>
      <c r="L949" s="51">
        <v>45385</v>
      </c>
      <c r="M949" s="1" t="s">
        <v>139</v>
      </c>
      <c r="N949" s="1">
        <v>-5</v>
      </c>
      <c r="O949" s="59">
        <v>202</v>
      </c>
      <c r="P949" s="1">
        <v>-378750</v>
      </c>
      <c r="Q949" s="1">
        <v>-14.85</v>
      </c>
      <c r="R949" s="1" t="s">
        <v>83</v>
      </c>
      <c r="T949" s="50">
        <f>IF(ISNUMBER(VLOOKUP(U949,Blotter!B:C,2,0)),VLOOKUP(U949,Blotter!B:C,2,0),"")</f>
        <v>48</v>
      </c>
      <c r="U949" s="49" t="str">
        <f t="shared" si="948"/>
        <v>KCK4</v>
      </c>
      <c r="V949" s="49">
        <f t="shared" si="949"/>
        <v>-5</v>
      </c>
      <c r="W949" s="49">
        <f t="shared" si="950"/>
        <v>202</v>
      </c>
      <c r="X949" s="49">
        <f t="shared" si="951"/>
        <v>-14.85</v>
      </c>
    </row>
    <row r="950" spans="1:24" x14ac:dyDescent="0.4">
      <c r="A950" s="1" t="s">
        <v>138</v>
      </c>
      <c r="B950" s="1" t="s">
        <v>83</v>
      </c>
      <c r="C950" s="1" t="s">
        <v>82</v>
      </c>
      <c r="D950" s="1" t="s">
        <v>428</v>
      </c>
      <c r="E950" s="1" t="s">
        <v>430</v>
      </c>
      <c r="F950" s="1" t="s">
        <v>100</v>
      </c>
      <c r="G950" s="1" t="s">
        <v>101</v>
      </c>
      <c r="H950" s="1">
        <v>50000</v>
      </c>
      <c r="J950" s="51">
        <v>45427</v>
      </c>
      <c r="L950" s="51">
        <v>45387</v>
      </c>
      <c r="M950" s="1" t="s">
        <v>139</v>
      </c>
      <c r="N950" s="1">
        <v>-5</v>
      </c>
      <c r="O950" s="59">
        <v>86.7</v>
      </c>
      <c r="P950" s="1">
        <v>-216750</v>
      </c>
      <c r="Q950" s="1">
        <v>-14.85</v>
      </c>
      <c r="R950" s="1" t="s">
        <v>83</v>
      </c>
      <c r="T950" s="50">
        <f>IF(ISNUMBER(VLOOKUP(U950,Blotter!B:C,2,0)),VLOOKUP(U950,Blotter!B:C,2,0),"")</f>
        <v>46</v>
      </c>
      <c r="U950" s="49" t="str">
        <f t="shared" ref="U950" si="952">D950</f>
        <v>CTK4</v>
      </c>
      <c r="V950" s="49">
        <f t="shared" ref="V950" si="953">N950</f>
        <v>-5</v>
      </c>
      <c r="W950" s="49">
        <f t="shared" ref="W950" si="954">O950</f>
        <v>86.7</v>
      </c>
      <c r="X950" s="49">
        <f t="shared" ref="X950" si="955">Q950</f>
        <v>-14.85</v>
      </c>
    </row>
    <row r="951" spans="1:24" x14ac:dyDescent="0.4">
      <c r="A951" s="1" t="s">
        <v>138</v>
      </c>
      <c r="B951" s="1" t="s">
        <v>83</v>
      </c>
      <c r="C951" s="1" t="s">
        <v>82</v>
      </c>
      <c r="D951" s="1" t="s">
        <v>428</v>
      </c>
      <c r="E951" s="1" t="s">
        <v>430</v>
      </c>
      <c r="F951" s="1" t="s">
        <v>100</v>
      </c>
      <c r="G951" s="1" t="s">
        <v>101</v>
      </c>
      <c r="H951" s="1">
        <v>50000</v>
      </c>
      <c r="J951" s="51">
        <v>45427</v>
      </c>
      <c r="L951" s="51">
        <v>45387</v>
      </c>
      <c r="M951" s="1" t="s">
        <v>139</v>
      </c>
      <c r="N951" s="1">
        <v>-1</v>
      </c>
      <c r="O951" s="59">
        <v>86.7</v>
      </c>
      <c r="P951" s="1">
        <v>-43350</v>
      </c>
      <c r="Q951" s="1">
        <v>-2.97</v>
      </c>
      <c r="R951" s="1" t="s">
        <v>83</v>
      </c>
      <c r="T951" s="50">
        <f>IF(ISNUMBER(VLOOKUP(U951,Blotter!B:C,2,0)),VLOOKUP(U951,Blotter!B:C,2,0),"")</f>
        <v>46</v>
      </c>
      <c r="U951" s="49" t="str">
        <f t="shared" ref="U951" si="956">D951</f>
        <v>CTK4</v>
      </c>
      <c r="V951" s="49">
        <f t="shared" ref="V951" si="957">N951</f>
        <v>-1</v>
      </c>
      <c r="W951" s="49">
        <f t="shared" ref="W951" si="958">O951</f>
        <v>86.7</v>
      </c>
      <c r="X951" s="49">
        <f t="shared" ref="X951" si="959">Q951</f>
        <v>-2.97</v>
      </c>
    </row>
    <row r="952" spans="1:24" x14ac:dyDescent="0.4">
      <c r="A952" s="1" t="s">
        <v>138</v>
      </c>
      <c r="B952" s="1" t="s">
        <v>83</v>
      </c>
      <c r="C952" s="1" t="s">
        <v>82</v>
      </c>
      <c r="D952" s="1" t="s">
        <v>428</v>
      </c>
      <c r="E952" s="1" t="s">
        <v>430</v>
      </c>
      <c r="F952" s="1" t="s">
        <v>100</v>
      </c>
      <c r="G952" s="1" t="s">
        <v>101</v>
      </c>
      <c r="H952" s="1">
        <v>50000</v>
      </c>
      <c r="J952" s="51">
        <v>45427</v>
      </c>
      <c r="L952" s="51">
        <v>45387</v>
      </c>
      <c r="M952" s="1" t="s">
        <v>139</v>
      </c>
      <c r="N952" s="1">
        <v>-1</v>
      </c>
      <c r="O952" s="59">
        <v>86.7</v>
      </c>
      <c r="P952" s="1">
        <v>-43350</v>
      </c>
      <c r="Q952" s="1">
        <v>-2.97</v>
      </c>
      <c r="R952" s="1" t="s">
        <v>83</v>
      </c>
      <c r="T952" s="50">
        <f>IF(ISNUMBER(VLOOKUP(U952,Blotter!B:C,2,0)),VLOOKUP(U952,Blotter!B:C,2,0),"")</f>
        <v>46</v>
      </c>
      <c r="U952" s="49" t="str">
        <f t="shared" ref="U952" si="960">D952</f>
        <v>CTK4</v>
      </c>
      <c r="V952" s="49">
        <f t="shared" ref="V952" si="961">N952</f>
        <v>-1</v>
      </c>
      <c r="W952" s="49">
        <f t="shared" ref="W952" si="962">O952</f>
        <v>86.7</v>
      </c>
      <c r="X952" s="49">
        <f t="shared" ref="X952" si="963">Q952</f>
        <v>-2.97</v>
      </c>
    </row>
    <row r="953" spans="1:24" x14ac:dyDescent="0.4">
      <c r="A953" s="1" t="s">
        <v>138</v>
      </c>
      <c r="B953" s="1" t="s">
        <v>83</v>
      </c>
      <c r="C953" s="1" t="s">
        <v>86</v>
      </c>
      <c r="D953" s="1" t="s">
        <v>442</v>
      </c>
      <c r="E953" s="1" t="s">
        <v>443</v>
      </c>
      <c r="F953" s="1" t="s">
        <v>124</v>
      </c>
      <c r="G953" s="1" t="s">
        <v>444</v>
      </c>
      <c r="H953" s="1">
        <v>50</v>
      </c>
      <c r="I953" s="1">
        <v>4920</v>
      </c>
      <c r="J953" s="51">
        <v>45412</v>
      </c>
      <c r="K953" s="1" t="s">
        <v>89</v>
      </c>
      <c r="L953" s="51">
        <v>45387</v>
      </c>
      <c r="M953" s="1" t="s">
        <v>135</v>
      </c>
      <c r="N953" s="1">
        <v>10</v>
      </c>
      <c r="O953" s="1">
        <v>13.5</v>
      </c>
      <c r="P953" s="1">
        <v>6750</v>
      </c>
      <c r="Q953" s="1">
        <v>-14.2</v>
      </c>
      <c r="R953" s="1" t="s">
        <v>83</v>
      </c>
      <c r="T953" s="50">
        <f>IF(ISNUMBER(VLOOKUP(U953,Blotter!B:C,2,0)),VLOOKUP(U953,Blotter!B:C,2,0),"")</f>
        <v>48</v>
      </c>
      <c r="U953" s="49" t="str">
        <f t="shared" ref="U953:U954" si="964">D953</f>
        <v>EWJ4 P4920</v>
      </c>
      <c r="V953" s="49">
        <f t="shared" ref="V953:V954" si="965">N953</f>
        <v>10</v>
      </c>
      <c r="W953" s="49">
        <f t="shared" ref="W953:W954" si="966">O953</f>
        <v>13.5</v>
      </c>
      <c r="X953" s="49">
        <f t="shared" ref="X953:X954" si="967">Q953</f>
        <v>-14.2</v>
      </c>
    </row>
    <row r="954" spans="1:24" x14ac:dyDescent="0.4">
      <c r="A954" s="1" t="s">
        <v>138</v>
      </c>
      <c r="B954" s="1" t="s">
        <v>83</v>
      </c>
      <c r="C954" s="1" t="s">
        <v>86</v>
      </c>
      <c r="D954" s="1" t="s">
        <v>442</v>
      </c>
      <c r="E954" s="1" t="s">
        <v>443</v>
      </c>
      <c r="F954" s="1" t="s">
        <v>124</v>
      </c>
      <c r="G954" s="1" t="s">
        <v>444</v>
      </c>
      <c r="H954" s="1">
        <v>50</v>
      </c>
      <c r="I954" s="1">
        <v>4920</v>
      </c>
      <c r="J954" s="51">
        <v>45412</v>
      </c>
      <c r="K954" s="1" t="s">
        <v>89</v>
      </c>
      <c r="L954" s="51">
        <v>45387</v>
      </c>
      <c r="M954" s="1" t="s">
        <v>135</v>
      </c>
      <c r="N954" s="1">
        <v>10</v>
      </c>
      <c r="O954" s="1">
        <v>9.4</v>
      </c>
      <c r="P954" s="1">
        <v>4700</v>
      </c>
      <c r="Q954" s="1">
        <v>-14.2</v>
      </c>
      <c r="R954" s="1" t="s">
        <v>83</v>
      </c>
      <c r="T954" s="50">
        <f>IF(ISNUMBER(VLOOKUP(U954,Blotter!B:C,2,0)),VLOOKUP(U954,Blotter!B:C,2,0),"")</f>
        <v>48</v>
      </c>
      <c r="U954" s="49" t="str">
        <f t="shared" si="964"/>
        <v>EWJ4 P4920</v>
      </c>
      <c r="V954" s="49">
        <f t="shared" si="965"/>
        <v>10</v>
      </c>
      <c r="W954" s="49">
        <f t="shared" si="966"/>
        <v>9.4</v>
      </c>
      <c r="X954" s="49">
        <f t="shared" si="967"/>
        <v>-14.2</v>
      </c>
    </row>
    <row r="955" spans="1:24" x14ac:dyDescent="0.4">
      <c r="A955" s="1" t="s">
        <v>138</v>
      </c>
      <c r="B955" s="1" t="s">
        <v>83</v>
      </c>
      <c r="C955" s="1" t="s">
        <v>82</v>
      </c>
      <c r="D955" s="1" t="s">
        <v>462</v>
      </c>
      <c r="E955" s="1" t="s">
        <v>466</v>
      </c>
      <c r="F955" s="1" t="s">
        <v>124</v>
      </c>
      <c r="G955" s="1" t="s">
        <v>22</v>
      </c>
      <c r="H955" s="1">
        <v>20</v>
      </c>
      <c r="J955" s="51">
        <v>45464</v>
      </c>
      <c r="L955" s="51">
        <v>45391</v>
      </c>
      <c r="M955" s="1" t="s">
        <v>139</v>
      </c>
      <c r="N955" s="1">
        <v>-1</v>
      </c>
      <c r="O955" s="1">
        <v>18302</v>
      </c>
      <c r="P955" s="1">
        <v>-366040</v>
      </c>
      <c r="Q955" s="1">
        <v>-2.2000000000000002</v>
      </c>
      <c r="R955" s="1" t="s">
        <v>83</v>
      </c>
      <c r="T955" s="50">
        <f>IF(ISNUMBER(VLOOKUP(U955,Blotter!B:C,2,0)),VLOOKUP(U955,Blotter!B:C,2,0),"")</f>
        <v>53</v>
      </c>
      <c r="U955" s="49" t="str">
        <f t="shared" ref="U955" si="968">D955</f>
        <v>NQM4</v>
      </c>
      <c r="V955" s="49">
        <f t="shared" ref="V955" si="969">N955</f>
        <v>-1</v>
      </c>
      <c r="W955" s="49">
        <f t="shared" ref="W955" si="970">O955</f>
        <v>18302</v>
      </c>
      <c r="X955" s="49">
        <f t="shared" ref="X955" si="971">Q955</f>
        <v>-2.2000000000000002</v>
      </c>
    </row>
    <row r="956" spans="1:24" x14ac:dyDescent="0.4">
      <c r="A956" s="1" t="s">
        <v>138</v>
      </c>
      <c r="B956" s="1" t="s">
        <v>83</v>
      </c>
      <c r="C956" s="1" t="s">
        <v>82</v>
      </c>
      <c r="D956" s="1" t="s">
        <v>462</v>
      </c>
      <c r="E956" s="1" t="s">
        <v>466</v>
      </c>
      <c r="F956" s="1" t="s">
        <v>124</v>
      </c>
      <c r="G956" s="1" t="s">
        <v>22</v>
      </c>
      <c r="H956" s="1">
        <v>20</v>
      </c>
      <c r="J956" s="51">
        <v>45464</v>
      </c>
      <c r="L956" s="51">
        <v>45391</v>
      </c>
      <c r="M956" s="1" t="s">
        <v>139</v>
      </c>
      <c r="N956" s="1">
        <v>-1</v>
      </c>
      <c r="O956" s="1">
        <v>18302</v>
      </c>
      <c r="P956" s="1">
        <v>-366040</v>
      </c>
      <c r="Q956" s="1">
        <v>-2.2000000000000002</v>
      </c>
      <c r="R956" s="1" t="s">
        <v>83</v>
      </c>
      <c r="T956" s="50">
        <f>IF(ISNUMBER(VLOOKUP(U956,Blotter!B:C,2,0)),VLOOKUP(U956,Blotter!B:C,2,0),"")</f>
        <v>53</v>
      </c>
      <c r="U956" s="49" t="str">
        <f t="shared" ref="U956" si="972">D956</f>
        <v>NQM4</v>
      </c>
      <c r="V956" s="49">
        <f t="shared" ref="V956" si="973">N956</f>
        <v>-1</v>
      </c>
      <c r="W956" s="49">
        <f t="shared" ref="W956" si="974">O956</f>
        <v>18302</v>
      </c>
      <c r="X956" s="49">
        <f t="shared" ref="X956" si="975">Q956</f>
        <v>-2.2000000000000002</v>
      </c>
    </row>
    <row r="957" spans="1:24" x14ac:dyDescent="0.4">
      <c r="A957" s="1" t="s">
        <v>138</v>
      </c>
      <c r="B957" s="1" t="s">
        <v>83</v>
      </c>
      <c r="C957" s="1" t="s">
        <v>82</v>
      </c>
      <c r="D957" s="1" t="s">
        <v>428</v>
      </c>
      <c r="E957" s="1" t="s">
        <v>430</v>
      </c>
      <c r="F957" s="1" t="s">
        <v>100</v>
      </c>
      <c r="G957" s="1" t="s">
        <v>101</v>
      </c>
      <c r="H957" s="1">
        <v>50000</v>
      </c>
      <c r="J957" s="51">
        <v>45427</v>
      </c>
      <c r="L957" s="51">
        <v>45393</v>
      </c>
      <c r="M957" s="1" t="s">
        <v>135</v>
      </c>
      <c r="N957" s="1">
        <v>3</v>
      </c>
      <c r="O957" s="59">
        <v>83.65</v>
      </c>
      <c r="P957" s="1">
        <v>125475</v>
      </c>
      <c r="Q957" s="1">
        <v>-8.91</v>
      </c>
      <c r="R957" s="1" t="s">
        <v>83</v>
      </c>
      <c r="T957" s="50">
        <f>IF(ISNUMBER(VLOOKUP(U957,Blotter!B:C,2,0)),VLOOKUP(U957,Blotter!B:C,2,0),"")</f>
        <v>46</v>
      </c>
      <c r="U957" s="49" t="str">
        <f t="shared" ref="U957:U958" si="976">D957</f>
        <v>CTK4</v>
      </c>
      <c r="V957" s="49">
        <f t="shared" ref="V957:V958" si="977">N957</f>
        <v>3</v>
      </c>
      <c r="W957" s="49">
        <f t="shared" ref="W957:W958" si="978">O957</f>
        <v>83.65</v>
      </c>
      <c r="X957" s="49">
        <f t="shared" ref="X957:X958" si="979">Q957</f>
        <v>-8.91</v>
      </c>
    </row>
    <row r="958" spans="1:24" x14ac:dyDescent="0.4">
      <c r="A958" s="1" t="s">
        <v>138</v>
      </c>
      <c r="B958" s="1" t="s">
        <v>83</v>
      </c>
      <c r="C958" s="1" t="s">
        <v>82</v>
      </c>
      <c r="D958" s="1" t="s">
        <v>462</v>
      </c>
      <c r="E958" s="1" t="s">
        <v>466</v>
      </c>
      <c r="F958" s="1" t="s">
        <v>124</v>
      </c>
      <c r="G958" s="1" t="s">
        <v>22</v>
      </c>
      <c r="H958" s="1">
        <v>20</v>
      </c>
      <c r="J958" s="51">
        <v>45464</v>
      </c>
      <c r="L958" s="51">
        <v>45393</v>
      </c>
      <c r="M958" s="1" t="s">
        <v>135</v>
      </c>
      <c r="N958" s="1">
        <v>2</v>
      </c>
      <c r="O958" s="1">
        <v>18420</v>
      </c>
      <c r="P958" s="1">
        <v>736800</v>
      </c>
      <c r="Q958" s="1">
        <v>-4.4000000000000004</v>
      </c>
      <c r="R958" s="1" t="s">
        <v>83</v>
      </c>
      <c r="T958" s="50">
        <f>IF(ISNUMBER(VLOOKUP(U958,Blotter!B:C,2,0)),VLOOKUP(U958,Blotter!B:C,2,0),"")</f>
        <v>53</v>
      </c>
      <c r="U958" s="49" t="str">
        <f t="shared" si="976"/>
        <v>NQM4</v>
      </c>
      <c r="V958" s="49">
        <f t="shared" si="977"/>
        <v>2</v>
      </c>
      <c r="W958" s="49">
        <f t="shared" si="978"/>
        <v>18420</v>
      </c>
      <c r="X958" s="49">
        <f t="shared" si="979"/>
        <v>-4.4000000000000004</v>
      </c>
    </row>
    <row r="959" spans="1:24" x14ac:dyDescent="0.4">
      <c r="A959" s="1" t="s">
        <v>138</v>
      </c>
      <c r="B959" s="1" t="s">
        <v>83</v>
      </c>
      <c r="C959" s="1" t="s">
        <v>82</v>
      </c>
      <c r="D959" s="1" t="s">
        <v>428</v>
      </c>
      <c r="E959" s="1" t="s">
        <v>430</v>
      </c>
      <c r="F959" s="1" t="s">
        <v>100</v>
      </c>
      <c r="G959" s="1" t="s">
        <v>101</v>
      </c>
      <c r="H959" s="1">
        <v>50000</v>
      </c>
      <c r="J959" s="51">
        <v>45427</v>
      </c>
      <c r="L959" s="51">
        <v>45398</v>
      </c>
      <c r="M959" s="1" t="s">
        <v>135</v>
      </c>
      <c r="N959" s="1">
        <v>1</v>
      </c>
      <c r="O959" s="59">
        <v>80.89</v>
      </c>
      <c r="P959" s="1">
        <v>40445</v>
      </c>
      <c r="Q959" s="1">
        <v>-2.97</v>
      </c>
      <c r="R959" s="1" t="s">
        <v>83</v>
      </c>
      <c r="T959" s="50">
        <f>IF(ISNUMBER(VLOOKUP(U959,Blotter!B:C,2,0)),VLOOKUP(U959,Blotter!B:C,2,0),"")</f>
        <v>46</v>
      </c>
      <c r="U959" s="49" t="str">
        <f t="shared" ref="U959:U961" si="980">D959</f>
        <v>CTK4</v>
      </c>
      <c r="V959" s="49">
        <f t="shared" ref="V959:V961" si="981">N959</f>
        <v>1</v>
      </c>
      <c r="W959" s="49">
        <f t="shared" ref="W959:W961" si="982">O959</f>
        <v>80.89</v>
      </c>
      <c r="X959" s="49">
        <f t="shared" ref="X959:X961" si="983">Q959</f>
        <v>-2.97</v>
      </c>
    </row>
    <row r="960" spans="1:24" x14ac:dyDescent="0.4">
      <c r="A960" s="1" t="s">
        <v>138</v>
      </c>
      <c r="B960" s="1" t="s">
        <v>83</v>
      </c>
      <c r="C960" s="1" t="s">
        <v>82</v>
      </c>
      <c r="D960" s="1" t="s">
        <v>428</v>
      </c>
      <c r="E960" s="1" t="s">
        <v>430</v>
      </c>
      <c r="F960" s="1" t="s">
        <v>100</v>
      </c>
      <c r="G960" s="1" t="s">
        <v>101</v>
      </c>
      <c r="H960" s="1">
        <v>50000</v>
      </c>
      <c r="J960" s="51">
        <v>45427</v>
      </c>
      <c r="L960" s="51">
        <v>45398</v>
      </c>
      <c r="M960" s="1" t="s">
        <v>135</v>
      </c>
      <c r="N960" s="1">
        <v>1</v>
      </c>
      <c r="O960" s="59">
        <v>80.88</v>
      </c>
      <c r="P960" s="1">
        <v>40440</v>
      </c>
      <c r="Q960" s="1">
        <v>-2.97</v>
      </c>
      <c r="R960" s="1" t="s">
        <v>83</v>
      </c>
      <c r="T960" s="50">
        <f>IF(ISNUMBER(VLOOKUP(U960,Blotter!B:C,2,0)),VLOOKUP(U960,Blotter!B:C,2,0),"")</f>
        <v>46</v>
      </c>
      <c r="U960" s="49" t="str">
        <f t="shared" si="980"/>
        <v>CTK4</v>
      </c>
      <c r="V960" s="49">
        <f t="shared" si="981"/>
        <v>1</v>
      </c>
      <c r="W960" s="49">
        <f t="shared" si="982"/>
        <v>80.88</v>
      </c>
      <c r="X960" s="49">
        <f t="shared" si="983"/>
        <v>-2.97</v>
      </c>
    </row>
    <row r="961" spans="1:24" x14ac:dyDescent="0.4">
      <c r="A961" s="1" t="s">
        <v>138</v>
      </c>
      <c r="B961" s="1" t="s">
        <v>83</v>
      </c>
      <c r="C961" s="1" t="s">
        <v>137</v>
      </c>
      <c r="D961" s="1" t="s">
        <v>470</v>
      </c>
      <c r="E961" s="1" t="s">
        <v>470</v>
      </c>
      <c r="H961" s="1">
        <v>1</v>
      </c>
      <c r="L961" s="51">
        <v>45398</v>
      </c>
      <c r="M961" s="1" t="s">
        <v>135</v>
      </c>
      <c r="N961" s="1">
        <v>963000</v>
      </c>
      <c r="O961" s="1">
        <v>97.578460000000007</v>
      </c>
      <c r="P961" s="1">
        <v>939680.57</v>
      </c>
      <c r="Q961" s="1">
        <v>-19.260000000000002</v>
      </c>
      <c r="R961" s="1" t="s">
        <v>83</v>
      </c>
      <c r="T961" s="50" t="str">
        <f>IF(ISNUMBER(VLOOKUP(U961,Blotter!B:C,2,0)),VLOOKUP(U961,Blotter!B:C,2,0),"")</f>
        <v/>
      </c>
      <c r="U961" s="49" t="str">
        <f t="shared" si="980"/>
        <v>T 2 5/8 04/15/25</v>
      </c>
      <c r="V961" s="49">
        <f t="shared" si="981"/>
        <v>963000</v>
      </c>
      <c r="W961" s="49">
        <f t="shared" si="982"/>
        <v>97.578460000000007</v>
      </c>
      <c r="X961" s="49">
        <f t="shared" si="983"/>
        <v>-19.260000000000002</v>
      </c>
    </row>
    <row r="962" spans="1:24" x14ac:dyDescent="0.4">
      <c r="A962" s="1" t="s">
        <v>138</v>
      </c>
      <c r="B962" s="1" t="s">
        <v>83</v>
      </c>
      <c r="C962" s="1" t="s">
        <v>82</v>
      </c>
      <c r="D962" s="1" t="s">
        <v>456</v>
      </c>
      <c r="E962" s="1" t="s">
        <v>460</v>
      </c>
      <c r="F962" s="1" t="s">
        <v>127</v>
      </c>
      <c r="G962" s="1" t="s">
        <v>31</v>
      </c>
      <c r="H962" s="1">
        <v>5000</v>
      </c>
      <c r="J962" s="51">
        <v>45426</v>
      </c>
      <c r="L962" s="51">
        <v>45399</v>
      </c>
      <c r="M962" s="1" t="s">
        <v>135</v>
      </c>
      <c r="N962" s="1">
        <v>5</v>
      </c>
      <c r="O962" s="59">
        <v>1145</v>
      </c>
      <c r="P962" s="1">
        <v>286250</v>
      </c>
      <c r="Q962" s="1">
        <v>-14.85</v>
      </c>
      <c r="R962" s="1" t="s">
        <v>83</v>
      </c>
      <c r="T962" s="50">
        <f>IF(ISNUMBER(VLOOKUP(U962,Blotter!B:C,2,0)),VLOOKUP(U962,Blotter!B:C,2,0),"")</f>
        <v>49</v>
      </c>
      <c r="U962" s="49" t="str">
        <f t="shared" ref="U962:U966" si="984">D962</f>
        <v>ZSK4</v>
      </c>
      <c r="V962" s="49">
        <f t="shared" ref="V962:V966" si="985">N962</f>
        <v>5</v>
      </c>
      <c r="W962" s="49">
        <f t="shared" ref="W962:W966" si="986">O962</f>
        <v>1145</v>
      </c>
      <c r="X962" s="49">
        <f t="shared" ref="X962:X966" si="987">Q962</f>
        <v>-14.85</v>
      </c>
    </row>
    <row r="963" spans="1:24" x14ac:dyDescent="0.4">
      <c r="A963" s="1" t="s">
        <v>138</v>
      </c>
      <c r="B963" s="1" t="s">
        <v>83</v>
      </c>
      <c r="C963" s="1" t="s">
        <v>87</v>
      </c>
      <c r="D963" s="1" t="s">
        <v>412</v>
      </c>
      <c r="E963" s="1" t="s">
        <v>413</v>
      </c>
      <c r="F963" s="1" t="s">
        <v>129</v>
      </c>
      <c r="G963" s="1" t="s">
        <v>331</v>
      </c>
      <c r="H963" s="1">
        <v>100</v>
      </c>
      <c r="I963" s="1">
        <v>40</v>
      </c>
      <c r="J963" s="51">
        <v>45401</v>
      </c>
      <c r="K963" s="1" t="s">
        <v>57</v>
      </c>
      <c r="L963" s="51">
        <v>45401</v>
      </c>
      <c r="M963" s="1" t="s">
        <v>135</v>
      </c>
      <c r="N963" s="1">
        <v>150</v>
      </c>
      <c r="O963" s="1">
        <v>0</v>
      </c>
      <c r="P963" s="1">
        <v>0</v>
      </c>
      <c r="Q963" s="1">
        <v>0</v>
      </c>
      <c r="R963" s="1" t="s">
        <v>83</v>
      </c>
      <c r="T963" s="50">
        <f>IF(ISNUMBER(VLOOKUP(U963,Blotter!B:C,2,0)),VLOOKUP(U963,Blotter!B:C,2,0),"")</f>
        <v>31</v>
      </c>
      <c r="U963" s="49" t="str">
        <f t="shared" si="984"/>
        <v>URA   240419C00040000</v>
      </c>
      <c r="V963" s="49">
        <f t="shared" si="985"/>
        <v>150</v>
      </c>
      <c r="W963" s="49">
        <f t="shared" si="986"/>
        <v>0</v>
      </c>
      <c r="X963" s="49">
        <f t="shared" si="987"/>
        <v>0</v>
      </c>
    </row>
    <row r="964" spans="1:24" x14ac:dyDescent="0.4">
      <c r="A964" s="1" t="s">
        <v>138</v>
      </c>
      <c r="B964" s="1" t="s">
        <v>83</v>
      </c>
      <c r="C964" s="1" t="s">
        <v>82</v>
      </c>
      <c r="D964" s="1" t="s">
        <v>462</v>
      </c>
      <c r="E964" s="1" t="s">
        <v>466</v>
      </c>
      <c r="F964" s="1" t="s">
        <v>124</v>
      </c>
      <c r="G964" s="1" t="s">
        <v>22</v>
      </c>
      <c r="H964" s="1">
        <v>20</v>
      </c>
      <c r="J964" s="51">
        <v>45464</v>
      </c>
      <c r="L964" s="51">
        <v>45401</v>
      </c>
      <c r="M964" s="1" t="s">
        <v>135</v>
      </c>
      <c r="N964" s="1">
        <v>1</v>
      </c>
      <c r="O964" s="1">
        <v>17432</v>
      </c>
      <c r="P964" s="1">
        <v>348640</v>
      </c>
      <c r="Q964" s="1">
        <v>-2.2000000000000002</v>
      </c>
      <c r="R964" s="1" t="s">
        <v>83</v>
      </c>
      <c r="T964" s="50">
        <f>IF(ISNUMBER(VLOOKUP(U964,Blotter!B:C,2,0)),VLOOKUP(U964,Blotter!B:C,2,0),"")</f>
        <v>53</v>
      </c>
      <c r="U964" s="49" t="str">
        <f t="shared" si="984"/>
        <v>NQM4</v>
      </c>
      <c r="V964" s="49">
        <f t="shared" si="985"/>
        <v>1</v>
      </c>
      <c r="W964" s="49">
        <f t="shared" si="986"/>
        <v>17432</v>
      </c>
      <c r="X964" s="49">
        <f t="shared" si="987"/>
        <v>-2.2000000000000002</v>
      </c>
    </row>
    <row r="965" spans="1:24" x14ac:dyDescent="0.4">
      <c r="A965" s="1" t="s">
        <v>138</v>
      </c>
      <c r="B965" s="1" t="s">
        <v>83</v>
      </c>
      <c r="C965" s="1" t="s">
        <v>82</v>
      </c>
      <c r="D965" s="1" t="s">
        <v>462</v>
      </c>
      <c r="E965" s="1" t="s">
        <v>466</v>
      </c>
      <c r="F965" s="1" t="s">
        <v>124</v>
      </c>
      <c r="G965" s="1" t="s">
        <v>22</v>
      </c>
      <c r="H965" s="1">
        <v>20</v>
      </c>
      <c r="J965" s="51">
        <v>45464</v>
      </c>
      <c r="L965" s="51">
        <v>45401</v>
      </c>
      <c r="M965" s="1" t="s">
        <v>135</v>
      </c>
      <c r="N965" s="1">
        <v>1</v>
      </c>
      <c r="O965" s="1">
        <v>17431.75</v>
      </c>
      <c r="P965" s="1">
        <v>348635</v>
      </c>
      <c r="Q965" s="1">
        <v>-2.2000000000000002</v>
      </c>
      <c r="R965" s="1" t="s">
        <v>83</v>
      </c>
      <c r="T965" s="50">
        <f>IF(ISNUMBER(VLOOKUP(U965,Blotter!B:C,2,0)),VLOOKUP(U965,Blotter!B:C,2,0),"")</f>
        <v>53</v>
      </c>
      <c r="U965" s="49" t="str">
        <f t="shared" si="984"/>
        <v>NQM4</v>
      </c>
      <c r="V965" s="49">
        <f t="shared" si="985"/>
        <v>1</v>
      </c>
      <c r="W965" s="49">
        <f t="shared" si="986"/>
        <v>17431.75</v>
      </c>
      <c r="X965" s="49">
        <f t="shared" si="987"/>
        <v>-2.2000000000000002</v>
      </c>
    </row>
    <row r="966" spans="1:24" x14ac:dyDescent="0.4">
      <c r="A966" s="1" t="s">
        <v>138</v>
      </c>
      <c r="B966" s="1" t="s">
        <v>83</v>
      </c>
      <c r="C966" s="1" t="s">
        <v>82</v>
      </c>
      <c r="D966" s="1" t="s">
        <v>462</v>
      </c>
      <c r="E966" s="1" t="s">
        <v>466</v>
      </c>
      <c r="F966" s="1" t="s">
        <v>124</v>
      </c>
      <c r="G966" s="1" t="s">
        <v>22</v>
      </c>
      <c r="H966" s="1">
        <v>20</v>
      </c>
      <c r="J966" s="51">
        <v>45464</v>
      </c>
      <c r="L966" s="51">
        <v>45401</v>
      </c>
      <c r="M966" s="1" t="s">
        <v>139</v>
      </c>
      <c r="N966" s="1">
        <v>-4</v>
      </c>
      <c r="O966" s="1">
        <v>17235</v>
      </c>
      <c r="P966" s="1">
        <v>-1378800</v>
      </c>
      <c r="Q966" s="1">
        <v>-8.8000000000000007</v>
      </c>
      <c r="R966" s="1" t="s">
        <v>83</v>
      </c>
      <c r="T966" s="50">
        <f>IF(ISNUMBER(VLOOKUP(U966,Blotter!B:C,2,0)),VLOOKUP(U966,Blotter!B:C,2,0),"")</f>
        <v>53</v>
      </c>
      <c r="U966" s="49" t="str">
        <f t="shared" si="984"/>
        <v>NQM4</v>
      </c>
      <c r="V966" s="49">
        <f t="shared" si="985"/>
        <v>-4</v>
      </c>
      <c r="W966" s="49">
        <f t="shared" si="986"/>
        <v>17235</v>
      </c>
      <c r="X966" s="49">
        <f t="shared" si="987"/>
        <v>-8.8000000000000007</v>
      </c>
    </row>
    <row r="967" spans="1:24" x14ac:dyDescent="0.4">
      <c r="A967" s="1" t="s">
        <v>138</v>
      </c>
      <c r="B967" s="1" t="s">
        <v>83</v>
      </c>
      <c r="C967" s="1" t="s">
        <v>82</v>
      </c>
      <c r="D967" s="1" t="s">
        <v>428</v>
      </c>
      <c r="E967" s="1" t="s">
        <v>430</v>
      </c>
      <c r="F967" s="1" t="s">
        <v>100</v>
      </c>
      <c r="G967" s="1" t="s">
        <v>101</v>
      </c>
      <c r="H967" s="1">
        <v>50000</v>
      </c>
      <c r="J967" s="51">
        <v>45427</v>
      </c>
      <c r="L967" s="51">
        <v>45404</v>
      </c>
      <c r="M967" s="1" t="s">
        <v>139</v>
      </c>
      <c r="N967" s="1">
        <v>-1</v>
      </c>
      <c r="O967" s="59">
        <v>78.81</v>
      </c>
      <c r="P967" s="1">
        <v>-39405</v>
      </c>
      <c r="Q967" s="1">
        <v>-2.97</v>
      </c>
      <c r="R967" s="1" t="s">
        <v>83</v>
      </c>
      <c r="T967" s="50">
        <f>IF(ISNUMBER(VLOOKUP(U967,Blotter!B:C,2,0)),VLOOKUP(U967,Blotter!B:C,2,0),"")</f>
        <v>46</v>
      </c>
      <c r="U967" s="49" t="str">
        <f t="shared" ref="U967:U983" si="988">D967</f>
        <v>CTK4</v>
      </c>
      <c r="V967" s="49">
        <f t="shared" ref="V967:V983" si="989">N967</f>
        <v>-1</v>
      </c>
      <c r="W967" s="49">
        <f t="shared" ref="W967:W983" si="990">O967</f>
        <v>78.81</v>
      </c>
      <c r="X967" s="49">
        <f t="shared" ref="X967:X983" si="991">Q967</f>
        <v>-2.97</v>
      </c>
    </row>
    <row r="968" spans="1:24" x14ac:dyDescent="0.4">
      <c r="A968" s="1" t="s">
        <v>138</v>
      </c>
      <c r="B968" s="1" t="s">
        <v>83</v>
      </c>
      <c r="C968" s="1" t="s">
        <v>82</v>
      </c>
      <c r="D968" s="1" t="s">
        <v>428</v>
      </c>
      <c r="E968" s="1" t="s">
        <v>430</v>
      </c>
      <c r="F968" s="1" t="s">
        <v>100</v>
      </c>
      <c r="G968" s="1" t="s">
        <v>101</v>
      </c>
      <c r="H968" s="1">
        <v>50000</v>
      </c>
      <c r="J968" s="51">
        <v>45427</v>
      </c>
      <c r="L968" s="51">
        <v>45404</v>
      </c>
      <c r="M968" s="1" t="s">
        <v>139</v>
      </c>
      <c r="N968" s="1">
        <v>-1</v>
      </c>
      <c r="O968" s="59">
        <v>78.81</v>
      </c>
      <c r="P968" s="1">
        <v>-39405</v>
      </c>
      <c r="Q968" s="1">
        <v>-2.97</v>
      </c>
      <c r="R968" s="1" t="s">
        <v>83</v>
      </c>
      <c r="T968" s="50">
        <f>IF(ISNUMBER(VLOOKUP(U968,Blotter!B:C,2,0)),VLOOKUP(U968,Blotter!B:C,2,0),"")</f>
        <v>46</v>
      </c>
      <c r="U968" s="49" t="str">
        <f t="shared" si="988"/>
        <v>CTK4</v>
      </c>
      <c r="V968" s="49">
        <f t="shared" si="989"/>
        <v>-1</v>
      </c>
      <c r="W968" s="49">
        <f t="shared" si="990"/>
        <v>78.81</v>
      </c>
      <c r="X968" s="49">
        <f t="shared" si="991"/>
        <v>-2.97</v>
      </c>
    </row>
    <row r="969" spans="1:24" x14ac:dyDescent="0.4">
      <c r="A969" s="1" t="s">
        <v>138</v>
      </c>
      <c r="B969" s="1" t="s">
        <v>83</v>
      </c>
      <c r="C969" s="1" t="s">
        <v>82</v>
      </c>
      <c r="D969" s="1" t="s">
        <v>428</v>
      </c>
      <c r="E969" s="1" t="s">
        <v>430</v>
      </c>
      <c r="F969" s="1" t="s">
        <v>100</v>
      </c>
      <c r="G969" s="1" t="s">
        <v>101</v>
      </c>
      <c r="H969" s="1">
        <v>50000</v>
      </c>
      <c r="J969" s="51">
        <v>45427</v>
      </c>
      <c r="L969" s="51">
        <v>45404</v>
      </c>
      <c r="M969" s="1" t="s">
        <v>139</v>
      </c>
      <c r="N969" s="1">
        <v>-1</v>
      </c>
      <c r="O969" s="59">
        <v>78.81</v>
      </c>
      <c r="P969" s="1">
        <v>-39405</v>
      </c>
      <c r="Q969" s="1">
        <v>-2.97</v>
      </c>
      <c r="R969" s="1" t="s">
        <v>83</v>
      </c>
      <c r="T969" s="50">
        <f>IF(ISNUMBER(VLOOKUP(U969,Blotter!B:C,2,0)),VLOOKUP(U969,Blotter!B:C,2,0),"")</f>
        <v>46</v>
      </c>
      <c r="U969" s="49" t="str">
        <f t="shared" si="988"/>
        <v>CTK4</v>
      </c>
      <c r="V969" s="49">
        <f t="shared" si="989"/>
        <v>-1</v>
      </c>
      <c r="W969" s="49">
        <f t="shared" si="990"/>
        <v>78.81</v>
      </c>
      <c r="X969" s="49">
        <f t="shared" si="991"/>
        <v>-2.97</v>
      </c>
    </row>
    <row r="970" spans="1:24" x14ac:dyDescent="0.4">
      <c r="A970" s="1" t="s">
        <v>138</v>
      </c>
      <c r="B970" s="1" t="s">
        <v>83</v>
      </c>
      <c r="C970" s="1" t="s">
        <v>82</v>
      </c>
      <c r="D970" s="1" t="s">
        <v>428</v>
      </c>
      <c r="E970" s="1" t="s">
        <v>430</v>
      </c>
      <c r="F970" s="1" t="s">
        <v>100</v>
      </c>
      <c r="G970" s="1" t="s">
        <v>101</v>
      </c>
      <c r="H970" s="1">
        <v>50000</v>
      </c>
      <c r="J970" s="51">
        <v>45427</v>
      </c>
      <c r="L970" s="51">
        <v>45404</v>
      </c>
      <c r="M970" s="1" t="s">
        <v>139</v>
      </c>
      <c r="N970" s="1">
        <v>-1</v>
      </c>
      <c r="O970" s="59">
        <v>78.81</v>
      </c>
      <c r="P970" s="1">
        <v>-39405</v>
      </c>
      <c r="Q970" s="1">
        <v>-2.97</v>
      </c>
      <c r="R970" s="1" t="s">
        <v>83</v>
      </c>
      <c r="T970" s="50">
        <f>IF(ISNUMBER(VLOOKUP(U970,Blotter!B:C,2,0)),VLOOKUP(U970,Blotter!B:C,2,0),"")</f>
        <v>46</v>
      </c>
      <c r="U970" s="49" t="str">
        <f t="shared" si="988"/>
        <v>CTK4</v>
      </c>
      <c r="V970" s="49">
        <f t="shared" si="989"/>
        <v>-1</v>
      </c>
      <c r="W970" s="49">
        <f t="shared" si="990"/>
        <v>78.81</v>
      </c>
      <c r="X970" s="49">
        <f t="shared" si="991"/>
        <v>-2.97</v>
      </c>
    </row>
    <row r="971" spans="1:24" x14ac:dyDescent="0.4">
      <c r="A971" s="1" t="s">
        <v>138</v>
      </c>
      <c r="B971" s="1" t="s">
        <v>83</v>
      </c>
      <c r="C971" s="1" t="s">
        <v>82</v>
      </c>
      <c r="D971" s="1" t="s">
        <v>428</v>
      </c>
      <c r="E971" s="1" t="s">
        <v>430</v>
      </c>
      <c r="F971" s="1" t="s">
        <v>100</v>
      </c>
      <c r="G971" s="1" t="s">
        <v>101</v>
      </c>
      <c r="H971" s="1">
        <v>50000</v>
      </c>
      <c r="J971" s="51">
        <v>45427</v>
      </c>
      <c r="L971" s="51">
        <v>45404</v>
      </c>
      <c r="M971" s="1" t="s">
        <v>139</v>
      </c>
      <c r="N971" s="1">
        <v>-1</v>
      </c>
      <c r="O971" s="59">
        <v>78.81</v>
      </c>
      <c r="P971" s="1">
        <v>-39405</v>
      </c>
      <c r="Q971" s="1">
        <v>-2.97</v>
      </c>
      <c r="R971" s="1" t="s">
        <v>83</v>
      </c>
      <c r="T971" s="50">
        <f>IF(ISNUMBER(VLOOKUP(U971,Blotter!B:C,2,0)),VLOOKUP(U971,Blotter!B:C,2,0),"")</f>
        <v>46</v>
      </c>
      <c r="U971" s="49" t="str">
        <f t="shared" si="988"/>
        <v>CTK4</v>
      </c>
      <c r="V971" s="49">
        <f t="shared" si="989"/>
        <v>-1</v>
      </c>
      <c r="W971" s="49">
        <f t="shared" si="990"/>
        <v>78.81</v>
      </c>
      <c r="X971" s="49">
        <f t="shared" si="991"/>
        <v>-2.97</v>
      </c>
    </row>
    <row r="972" spans="1:24" x14ac:dyDescent="0.4">
      <c r="A972" s="1" t="s">
        <v>138</v>
      </c>
      <c r="B972" s="1" t="s">
        <v>83</v>
      </c>
      <c r="C972" s="1" t="s">
        <v>82</v>
      </c>
      <c r="D972" s="1" t="s">
        <v>428</v>
      </c>
      <c r="E972" s="1" t="s">
        <v>430</v>
      </c>
      <c r="F972" s="1" t="s">
        <v>100</v>
      </c>
      <c r="G972" s="1" t="s">
        <v>101</v>
      </c>
      <c r="H972" s="1">
        <v>50000</v>
      </c>
      <c r="J972" s="51">
        <v>45427</v>
      </c>
      <c r="L972" s="51">
        <v>45404</v>
      </c>
      <c r="M972" s="1" t="s">
        <v>139</v>
      </c>
      <c r="N972" s="1">
        <v>-1</v>
      </c>
      <c r="O972" s="59">
        <v>78.81</v>
      </c>
      <c r="P972" s="1">
        <v>-39405</v>
      </c>
      <c r="Q972" s="1">
        <v>-2.97</v>
      </c>
      <c r="R972" s="1" t="s">
        <v>83</v>
      </c>
      <c r="T972" s="50">
        <f>IF(ISNUMBER(VLOOKUP(U972,Blotter!B:C,2,0)),VLOOKUP(U972,Blotter!B:C,2,0),"")</f>
        <v>46</v>
      </c>
      <c r="U972" s="49" t="str">
        <f t="shared" si="988"/>
        <v>CTK4</v>
      </c>
      <c r="V972" s="49">
        <f t="shared" si="989"/>
        <v>-1</v>
      </c>
      <c r="W972" s="49">
        <f t="shared" si="990"/>
        <v>78.81</v>
      </c>
      <c r="X972" s="49">
        <f t="shared" si="991"/>
        <v>-2.97</v>
      </c>
    </row>
    <row r="973" spans="1:24" x14ac:dyDescent="0.4">
      <c r="A973" s="1" t="s">
        <v>138</v>
      </c>
      <c r="B973" s="1" t="s">
        <v>83</v>
      </c>
      <c r="C973" s="1" t="s">
        <v>82</v>
      </c>
      <c r="D973" s="1" t="s">
        <v>428</v>
      </c>
      <c r="E973" s="1" t="s">
        <v>430</v>
      </c>
      <c r="F973" s="1" t="s">
        <v>100</v>
      </c>
      <c r="G973" s="1" t="s">
        <v>101</v>
      </c>
      <c r="H973" s="1">
        <v>50000</v>
      </c>
      <c r="J973" s="51">
        <v>45427</v>
      </c>
      <c r="L973" s="51">
        <v>45404</v>
      </c>
      <c r="M973" s="1" t="s">
        <v>139</v>
      </c>
      <c r="N973" s="1">
        <v>-1</v>
      </c>
      <c r="O973" s="59">
        <v>78.78</v>
      </c>
      <c r="P973" s="1">
        <v>-39390</v>
      </c>
      <c r="Q973" s="1">
        <v>-2.97</v>
      </c>
      <c r="R973" s="1" t="s">
        <v>83</v>
      </c>
      <c r="T973" s="50">
        <f>IF(ISNUMBER(VLOOKUP(U973,Blotter!B:C,2,0)),VLOOKUP(U973,Blotter!B:C,2,0),"")</f>
        <v>46</v>
      </c>
      <c r="U973" s="49" t="str">
        <f t="shared" si="988"/>
        <v>CTK4</v>
      </c>
      <c r="V973" s="49">
        <f t="shared" si="989"/>
        <v>-1</v>
      </c>
      <c r="W973" s="49">
        <f t="shared" si="990"/>
        <v>78.78</v>
      </c>
      <c r="X973" s="49">
        <f t="shared" si="991"/>
        <v>-2.97</v>
      </c>
    </row>
    <row r="974" spans="1:24" x14ac:dyDescent="0.4">
      <c r="A974" s="1" t="s">
        <v>138</v>
      </c>
      <c r="B974" s="1" t="s">
        <v>83</v>
      </c>
      <c r="C974" s="1" t="s">
        <v>82</v>
      </c>
      <c r="D974" s="1" t="s">
        <v>428</v>
      </c>
      <c r="E974" s="1" t="s">
        <v>430</v>
      </c>
      <c r="F974" s="1" t="s">
        <v>100</v>
      </c>
      <c r="G974" s="1" t="s">
        <v>101</v>
      </c>
      <c r="H974" s="1">
        <v>50000</v>
      </c>
      <c r="J974" s="51">
        <v>45427</v>
      </c>
      <c r="L974" s="51">
        <v>45404</v>
      </c>
      <c r="M974" s="1" t="s">
        <v>139</v>
      </c>
      <c r="N974" s="1">
        <v>-1</v>
      </c>
      <c r="O974" s="59">
        <v>78.78</v>
      </c>
      <c r="P974" s="1">
        <v>-39390</v>
      </c>
      <c r="Q974" s="1">
        <v>-2.97</v>
      </c>
      <c r="R974" s="1" t="s">
        <v>83</v>
      </c>
      <c r="T974" s="50">
        <f>IF(ISNUMBER(VLOOKUP(U974,Blotter!B:C,2,0)),VLOOKUP(U974,Blotter!B:C,2,0),"")</f>
        <v>46</v>
      </c>
      <c r="U974" s="49" t="str">
        <f t="shared" si="988"/>
        <v>CTK4</v>
      </c>
      <c r="V974" s="49">
        <f t="shared" si="989"/>
        <v>-1</v>
      </c>
      <c r="W974" s="49">
        <f t="shared" si="990"/>
        <v>78.78</v>
      </c>
      <c r="X974" s="49">
        <f t="shared" si="991"/>
        <v>-2.97</v>
      </c>
    </row>
    <row r="975" spans="1:24" x14ac:dyDescent="0.4">
      <c r="A975" s="1" t="s">
        <v>138</v>
      </c>
      <c r="B975" s="1" t="s">
        <v>83</v>
      </c>
      <c r="C975" s="1" t="s">
        <v>82</v>
      </c>
      <c r="D975" s="1" t="s">
        <v>428</v>
      </c>
      <c r="E975" s="1" t="s">
        <v>430</v>
      </c>
      <c r="F975" s="1" t="s">
        <v>100</v>
      </c>
      <c r="G975" s="1" t="s">
        <v>101</v>
      </c>
      <c r="H975" s="1">
        <v>50000</v>
      </c>
      <c r="J975" s="51">
        <v>45427</v>
      </c>
      <c r="L975" s="51">
        <v>45404</v>
      </c>
      <c r="M975" s="1" t="s">
        <v>139</v>
      </c>
      <c r="N975" s="1">
        <v>-1</v>
      </c>
      <c r="O975" s="59">
        <v>78.78</v>
      </c>
      <c r="P975" s="1">
        <v>-39390</v>
      </c>
      <c r="Q975" s="1">
        <v>-2.97</v>
      </c>
      <c r="R975" s="1" t="s">
        <v>83</v>
      </c>
      <c r="T975" s="50">
        <f>IF(ISNUMBER(VLOOKUP(U975,Blotter!B:C,2,0)),VLOOKUP(U975,Blotter!B:C,2,0),"")</f>
        <v>46</v>
      </c>
      <c r="U975" s="49" t="str">
        <f t="shared" si="988"/>
        <v>CTK4</v>
      </c>
      <c r="V975" s="49">
        <f t="shared" si="989"/>
        <v>-1</v>
      </c>
      <c r="W975" s="49">
        <f t="shared" si="990"/>
        <v>78.78</v>
      </c>
      <c r="X975" s="49">
        <f t="shared" si="991"/>
        <v>-2.97</v>
      </c>
    </row>
    <row r="976" spans="1:24" x14ac:dyDescent="0.4">
      <c r="A976" s="1" t="s">
        <v>138</v>
      </c>
      <c r="B976" s="1" t="s">
        <v>83</v>
      </c>
      <c r="C976" s="1" t="s">
        <v>82</v>
      </c>
      <c r="D976" s="1" t="s">
        <v>428</v>
      </c>
      <c r="E976" s="1" t="s">
        <v>430</v>
      </c>
      <c r="F976" s="1" t="s">
        <v>100</v>
      </c>
      <c r="G976" s="1" t="s">
        <v>101</v>
      </c>
      <c r="H976" s="1">
        <v>50000</v>
      </c>
      <c r="J976" s="51">
        <v>45427</v>
      </c>
      <c r="L976" s="51">
        <v>45404</v>
      </c>
      <c r="M976" s="1" t="s">
        <v>139</v>
      </c>
      <c r="N976" s="1">
        <v>-1</v>
      </c>
      <c r="O976" s="59">
        <v>78.78</v>
      </c>
      <c r="P976" s="1">
        <v>-39390</v>
      </c>
      <c r="Q976" s="1">
        <v>-2.97</v>
      </c>
      <c r="R976" s="1" t="s">
        <v>83</v>
      </c>
      <c r="T976" s="50">
        <f>IF(ISNUMBER(VLOOKUP(U976,Blotter!B:C,2,0)),VLOOKUP(U976,Blotter!B:C,2,0),"")</f>
        <v>46</v>
      </c>
      <c r="U976" s="49" t="str">
        <f t="shared" si="988"/>
        <v>CTK4</v>
      </c>
      <c r="V976" s="49">
        <f t="shared" si="989"/>
        <v>-1</v>
      </c>
      <c r="W976" s="49">
        <f t="shared" si="990"/>
        <v>78.78</v>
      </c>
      <c r="X976" s="49">
        <f t="shared" si="991"/>
        <v>-2.97</v>
      </c>
    </row>
    <row r="977" spans="1:24" x14ac:dyDescent="0.4">
      <c r="A977" s="1" t="s">
        <v>138</v>
      </c>
      <c r="B977" s="1" t="s">
        <v>83</v>
      </c>
      <c r="C977" s="1" t="s">
        <v>82</v>
      </c>
      <c r="D977" s="1" t="s">
        <v>428</v>
      </c>
      <c r="E977" s="1" t="s">
        <v>430</v>
      </c>
      <c r="F977" s="1" t="s">
        <v>100</v>
      </c>
      <c r="G977" s="1" t="s">
        <v>101</v>
      </c>
      <c r="H977" s="1">
        <v>50000</v>
      </c>
      <c r="J977" s="51">
        <v>45427</v>
      </c>
      <c r="L977" s="51">
        <v>45404</v>
      </c>
      <c r="M977" s="1" t="s">
        <v>139</v>
      </c>
      <c r="N977" s="1">
        <v>-1</v>
      </c>
      <c r="O977" s="59">
        <v>78.78</v>
      </c>
      <c r="P977" s="1">
        <v>-39390</v>
      </c>
      <c r="Q977" s="1">
        <v>-2.97</v>
      </c>
      <c r="R977" s="1" t="s">
        <v>83</v>
      </c>
      <c r="T977" s="50">
        <f>IF(ISNUMBER(VLOOKUP(U977,Blotter!B:C,2,0)),VLOOKUP(U977,Blotter!B:C,2,0),"")</f>
        <v>46</v>
      </c>
      <c r="U977" s="49" t="str">
        <f t="shared" si="988"/>
        <v>CTK4</v>
      </c>
      <c r="V977" s="49">
        <f t="shared" si="989"/>
        <v>-1</v>
      </c>
      <c r="W977" s="49">
        <f t="shared" si="990"/>
        <v>78.78</v>
      </c>
      <c r="X977" s="49">
        <f t="shared" si="991"/>
        <v>-2.97</v>
      </c>
    </row>
    <row r="978" spans="1:24" x14ac:dyDescent="0.4">
      <c r="A978" s="1" t="s">
        <v>138</v>
      </c>
      <c r="B978" s="1" t="s">
        <v>83</v>
      </c>
      <c r="C978" s="1" t="s">
        <v>82</v>
      </c>
      <c r="D978" s="1" t="s">
        <v>428</v>
      </c>
      <c r="E978" s="1" t="s">
        <v>430</v>
      </c>
      <c r="F978" s="1" t="s">
        <v>100</v>
      </c>
      <c r="G978" s="1" t="s">
        <v>101</v>
      </c>
      <c r="H978" s="1">
        <v>50000</v>
      </c>
      <c r="J978" s="51">
        <v>45427</v>
      </c>
      <c r="L978" s="51">
        <v>45404</v>
      </c>
      <c r="M978" s="1" t="s">
        <v>139</v>
      </c>
      <c r="N978" s="1">
        <v>-1</v>
      </c>
      <c r="O978" s="59">
        <v>78.78</v>
      </c>
      <c r="P978" s="1">
        <v>-39390</v>
      </c>
      <c r="Q978" s="1">
        <v>-2.97</v>
      </c>
      <c r="R978" s="1" t="s">
        <v>83</v>
      </c>
      <c r="T978" s="50">
        <f>IF(ISNUMBER(VLOOKUP(U978,Blotter!B:C,2,0)),VLOOKUP(U978,Blotter!B:C,2,0),"")</f>
        <v>46</v>
      </c>
      <c r="U978" s="49" t="str">
        <f t="shared" si="988"/>
        <v>CTK4</v>
      </c>
      <c r="V978" s="49">
        <f t="shared" si="989"/>
        <v>-1</v>
      </c>
      <c r="W978" s="49">
        <f t="shared" si="990"/>
        <v>78.78</v>
      </c>
      <c r="X978" s="49">
        <f t="shared" si="991"/>
        <v>-2.97</v>
      </c>
    </row>
    <row r="979" spans="1:24" x14ac:dyDescent="0.4">
      <c r="A979" s="1" t="s">
        <v>138</v>
      </c>
      <c r="B979" s="1" t="s">
        <v>83</v>
      </c>
      <c r="C979" s="1" t="s">
        <v>82</v>
      </c>
      <c r="D979" s="1" t="s">
        <v>471</v>
      </c>
      <c r="E979" s="1" t="s">
        <v>472</v>
      </c>
      <c r="F979" s="1" t="s">
        <v>100</v>
      </c>
      <c r="G979" s="1" t="s">
        <v>101</v>
      </c>
      <c r="H979" s="1">
        <v>50000</v>
      </c>
      <c r="J979" s="51">
        <v>45489</v>
      </c>
      <c r="L979" s="51">
        <v>45404</v>
      </c>
      <c r="M979" s="1" t="s">
        <v>135</v>
      </c>
      <c r="N979" s="1">
        <v>12</v>
      </c>
      <c r="O979" s="59">
        <v>81.95</v>
      </c>
      <c r="P979" s="1">
        <v>491700</v>
      </c>
      <c r="Q979" s="1">
        <v>-35.64</v>
      </c>
      <c r="R979" s="1" t="s">
        <v>83</v>
      </c>
      <c r="T979" s="50">
        <f>IF(ISNUMBER(VLOOKUP(U979,Blotter!B:C,2,0)),VLOOKUP(U979,Blotter!B:C,2,0),"")</f>
        <v>46</v>
      </c>
      <c r="U979" s="49" t="str">
        <f t="shared" si="988"/>
        <v>CTN4</v>
      </c>
      <c r="V979" s="49">
        <f t="shared" si="989"/>
        <v>12</v>
      </c>
      <c r="W979" s="49">
        <f t="shared" si="990"/>
        <v>81.95</v>
      </c>
      <c r="X979" s="49">
        <f t="shared" si="991"/>
        <v>-35.64</v>
      </c>
    </row>
    <row r="980" spans="1:24" x14ac:dyDescent="0.4">
      <c r="A980" s="1" t="s">
        <v>138</v>
      </c>
      <c r="B980" s="1" t="s">
        <v>83</v>
      </c>
      <c r="C980" s="1" t="s">
        <v>82</v>
      </c>
      <c r="D980" s="1" t="s">
        <v>471</v>
      </c>
      <c r="E980" s="1" t="s">
        <v>472</v>
      </c>
      <c r="F980" s="1" t="s">
        <v>100</v>
      </c>
      <c r="G980" s="1" t="s">
        <v>101</v>
      </c>
      <c r="H980" s="1">
        <v>50000</v>
      </c>
      <c r="J980" s="51">
        <v>45489</v>
      </c>
      <c r="L980" s="51">
        <v>45404</v>
      </c>
      <c r="M980" s="1" t="s">
        <v>135</v>
      </c>
      <c r="N980" s="1">
        <v>4</v>
      </c>
      <c r="O980" s="59">
        <v>81.59</v>
      </c>
      <c r="P980" s="1">
        <v>163180</v>
      </c>
      <c r="Q980" s="1">
        <v>-11.88</v>
      </c>
      <c r="R980" s="1" t="s">
        <v>83</v>
      </c>
      <c r="T980" s="50">
        <f>IF(ISNUMBER(VLOOKUP(U980,Blotter!B:C,2,0)),VLOOKUP(U980,Blotter!B:C,2,0),"")</f>
        <v>46</v>
      </c>
      <c r="U980" s="49" t="str">
        <f t="shared" si="988"/>
        <v>CTN4</v>
      </c>
      <c r="V980" s="49">
        <f t="shared" si="989"/>
        <v>4</v>
      </c>
      <c r="W980" s="49">
        <f t="shared" si="990"/>
        <v>81.59</v>
      </c>
      <c r="X980" s="49">
        <f t="shared" si="991"/>
        <v>-11.88</v>
      </c>
    </row>
    <row r="981" spans="1:24" x14ac:dyDescent="0.4">
      <c r="A981" s="1" t="s">
        <v>138</v>
      </c>
      <c r="B981" s="1" t="s">
        <v>83</v>
      </c>
      <c r="C981" s="1" t="s">
        <v>82</v>
      </c>
      <c r="D981" s="1" t="s">
        <v>462</v>
      </c>
      <c r="E981" s="1" t="s">
        <v>466</v>
      </c>
      <c r="F981" s="1" t="s">
        <v>124</v>
      </c>
      <c r="G981" s="1" t="s">
        <v>22</v>
      </c>
      <c r="H981" s="1">
        <v>20</v>
      </c>
      <c r="J981" s="51">
        <v>45464</v>
      </c>
      <c r="L981" s="51">
        <v>45404</v>
      </c>
      <c r="M981" s="1" t="s">
        <v>135</v>
      </c>
      <c r="N981" s="1">
        <v>1</v>
      </c>
      <c r="O981" s="1">
        <v>17295</v>
      </c>
      <c r="P981" s="1">
        <v>345900</v>
      </c>
      <c r="Q981" s="1">
        <v>-2.2000000000000002</v>
      </c>
      <c r="R981" s="1" t="s">
        <v>83</v>
      </c>
      <c r="T981" s="50">
        <f>IF(ISNUMBER(VLOOKUP(U981,Blotter!B:C,2,0)),VLOOKUP(U981,Blotter!B:C,2,0),"")</f>
        <v>53</v>
      </c>
      <c r="U981" s="49" t="str">
        <f t="shared" si="988"/>
        <v>NQM4</v>
      </c>
      <c r="V981" s="49">
        <f t="shared" si="989"/>
        <v>1</v>
      </c>
      <c r="W981" s="49">
        <f t="shared" si="990"/>
        <v>17295</v>
      </c>
      <c r="X981" s="49">
        <f t="shared" si="991"/>
        <v>-2.2000000000000002</v>
      </c>
    </row>
    <row r="982" spans="1:24" x14ac:dyDescent="0.4">
      <c r="A982" s="1" t="s">
        <v>138</v>
      </c>
      <c r="B982" s="1" t="s">
        <v>83</v>
      </c>
      <c r="C982" s="1" t="s">
        <v>82</v>
      </c>
      <c r="D982" s="1" t="s">
        <v>462</v>
      </c>
      <c r="E982" s="1" t="s">
        <v>466</v>
      </c>
      <c r="F982" s="1" t="s">
        <v>124</v>
      </c>
      <c r="G982" s="1" t="s">
        <v>22</v>
      </c>
      <c r="H982" s="1">
        <v>20</v>
      </c>
      <c r="J982" s="51">
        <v>45464</v>
      </c>
      <c r="L982" s="51">
        <v>45404</v>
      </c>
      <c r="M982" s="1" t="s">
        <v>135</v>
      </c>
      <c r="N982" s="1">
        <v>3</v>
      </c>
      <c r="O982" s="1">
        <v>17295</v>
      </c>
      <c r="P982" s="1">
        <v>1037700</v>
      </c>
      <c r="Q982" s="1">
        <v>-6.6</v>
      </c>
      <c r="R982" s="1" t="s">
        <v>83</v>
      </c>
      <c r="T982" s="50">
        <f>IF(ISNUMBER(VLOOKUP(U982,Blotter!B:C,2,0)),VLOOKUP(U982,Blotter!B:C,2,0),"")</f>
        <v>53</v>
      </c>
      <c r="U982" s="49" t="str">
        <f t="shared" si="988"/>
        <v>NQM4</v>
      </c>
      <c r="V982" s="49">
        <f t="shared" si="989"/>
        <v>3</v>
      </c>
      <c r="W982" s="49">
        <f t="shared" si="990"/>
        <v>17295</v>
      </c>
      <c r="X982" s="49">
        <f t="shared" si="991"/>
        <v>-6.6</v>
      </c>
    </row>
    <row r="983" spans="1:24" x14ac:dyDescent="0.4">
      <c r="A983" s="1" t="s">
        <v>138</v>
      </c>
      <c r="B983" s="1" t="s">
        <v>83</v>
      </c>
      <c r="C983" s="1" t="s">
        <v>82</v>
      </c>
      <c r="D983" s="1" t="s">
        <v>462</v>
      </c>
      <c r="E983" s="1" t="s">
        <v>466</v>
      </c>
      <c r="F983" s="1" t="s">
        <v>124</v>
      </c>
      <c r="G983" s="1" t="s">
        <v>22</v>
      </c>
      <c r="H983" s="1">
        <v>20</v>
      </c>
      <c r="J983" s="51">
        <v>45464</v>
      </c>
      <c r="L983" s="51">
        <v>45404</v>
      </c>
      <c r="M983" s="1" t="s">
        <v>139</v>
      </c>
      <c r="N983" s="1">
        <v>-3</v>
      </c>
      <c r="O983" s="1">
        <v>17300</v>
      </c>
      <c r="P983" s="1">
        <v>-1038000</v>
      </c>
      <c r="Q983" s="1">
        <v>-6.6</v>
      </c>
      <c r="R983" s="1" t="s">
        <v>83</v>
      </c>
      <c r="T983" s="50">
        <f>IF(ISNUMBER(VLOOKUP(U983,Blotter!B:C,2,0)),VLOOKUP(U983,Blotter!B:C,2,0),"")</f>
        <v>53</v>
      </c>
      <c r="U983" s="49" t="str">
        <f t="shared" si="988"/>
        <v>NQM4</v>
      </c>
      <c r="V983" s="49">
        <f t="shared" si="989"/>
        <v>-3</v>
      </c>
      <c r="W983" s="49">
        <f t="shared" si="990"/>
        <v>17300</v>
      </c>
      <c r="X983" s="49">
        <f t="shared" si="991"/>
        <v>-6.6</v>
      </c>
    </row>
    <row r="984" spans="1:24" x14ac:dyDescent="0.4">
      <c r="A984" s="1" t="s">
        <v>138</v>
      </c>
      <c r="B984" s="1" t="s">
        <v>83</v>
      </c>
      <c r="C984" s="1" t="s">
        <v>82</v>
      </c>
      <c r="D984" s="1" t="s">
        <v>471</v>
      </c>
      <c r="E984" s="1" t="s">
        <v>472</v>
      </c>
      <c r="F984" s="1" t="s">
        <v>100</v>
      </c>
      <c r="G984" s="1" t="s">
        <v>101</v>
      </c>
      <c r="H984" s="1">
        <v>50000</v>
      </c>
      <c r="J984" s="51">
        <v>45489</v>
      </c>
      <c r="L984" s="51">
        <v>45405</v>
      </c>
      <c r="M984" s="1" t="s">
        <v>135</v>
      </c>
      <c r="N984" s="1">
        <v>1</v>
      </c>
      <c r="O984" s="59">
        <v>81.37</v>
      </c>
      <c r="P984" s="1">
        <v>40685</v>
      </c>
      <c r="Q984" s="1">
        <v>-2.97</v>
      </c>
      <c r="R984" s="1" t="s">
        <v>83</v>
      </c>
      <c r="T984" s="50">
        <f>IF(ISNUMBER(VLOOKUP(U984,Blotter!B:C,2,0)),VLOOKUP(U984,Blotter!B:C,2,0),"")</f>
        <v>46</v>
      </c>
      <c r="U984" s="49" t="str">
        <f t="shared" ref="U984:U993" si="992">D984</f>
        <v>CTN4</v>
      </c>
      <c r="V984" s="49">
        <f t="shared" ref="V984:V993" si="993">N984</f>
        <v>1</v>
      </c>
      <c r="W984" s="49">
        <f t="shared" ref="W984:W993" si="994">O984</f>
        <v>81.37</v>
      </c>
      <c r="X984" s="49">
        <f t="shared" ref="X984:X993" si="995">Q984</f>
        <v>-2.97</v>
      </c>
    </row>
    <row r="985" spans="1:24" x14ac:dyDescent="0.4">
      <c r="A985" s="1" t="s">
        <v>138</v>
      </c>
      <c r="B985" s="1" t="s">
        <v>83</v>
      </c>
      <c r="C985" s="1" t="s">
        <v>82</v>
      </c>
      <c r="D985" s="1" t="s">
        <v>471</v>
      </c>
      <c r="E985" s="1" t="s">
        <v>472</v>
      </c>
      <c r="F985" s="1" t="s">
        <v>100</v>
      </c>
      <c r="G985" s="1" t="s">
        <v>101</v>
      </c>
      <c r="H985" s="1">
        <v>50000</v>
      </c>
      <c r="J985" s="51">
        <v>45489</v>
      </c>
      <c r="L985" s="51">
        <v>45405</v>
      </c>
      <c r="M985" s="1" t="s">
        <v>135</v>
      </c>
      <c r="N985" s="1">
        <v>1</v>
      </c>
      <c r="O985" s="59">
        <v>81.37</v>
      </c>
      <c r="P985" s="1">
        <v>40685</v>
      </c>
      <c r="Q985" s="1">
        <v>-2.97</v>
      </c>
      <c r="R985" s="1" t="s">
        <v>83</v>
      </c>
      <c r="T985" s="50">
        <f>IF(ISNUMBER(VLOOKUP(U985,Blotter!B:C,2,0)),VLOOKUP(U985,Blotter!B:C,2,0),"")</f>
        <v>46</v>
      </c>
      <c r="U985" s="49" t="str">
        <f t="shared" si="992"/>
        <v>CTN4</v>
      </c>
      <c r="V985" s="49">
        <f t="shared" si="993"/>
        <v>1</v>
      </c>
      <c r="W985" s="49">
        <f t="shared" si="994"/>
        <v>81.37</v>
      </c>
      <c r="X985" s="49">
        <f t="shared" si="995"/>
        <v>-2.97</v>
      </c>
    </row>
    <row r="986" spans="1:24" x14ac:dyDescent="0.4">
      <c r="A986" s="1" t="s">
        <v>138</v>
      </c>
      <c r="B986" s="1" t="s">
        <v>83</v>
      </c>
      <c r="C986" s="1" t="s">
        <v>82</v>
      </c>
      <c r="D986" s="1" t="s">
        <v>471</v>
      </c>
      <c r="E986" s="1" t="s">
        <v>472</v>
      </c>
      <c r="F986" s="1" t="s">
        <v>100</v>
      </c>
      <c r="G986" s="1" t="s">
        <v>101</v>
      </c>
      <c r="H986" s="1">
        <v>50000</v>
      </c>
      <c r="J986" s="51">
        <v>45489</v>
      </c>
      <c r="L986" s="51">
        <v>45405</v>
      </c>
      <c r="M986" s="1" t="s">
        <v>135</v>
      </c>
      <c r="N986" s="1">
        <v>1</v>
      </c>
      <c r="O986" s="59">
        <v>81.37</v>
      </c>
      <c r="P986" s="1">
        <v>40685</v>
      </c>
      <c r="Q986" s="1">
        <v>-2.97</v>
      </c>
      <c r="R986" s="1" t="s">
        <v>83</v>
      </c>
      <c r="T986" s="50">
        <f>IF(ISNUMBER(VLOOKUP(U986,Blotter!B:C,2,0)),VLOOKUP(U986,Blotter!B:C,2,0),"")</f>
        <v>46</v>
      </c>
      <c r="U986" s="49" t="str">
        <f t="shared" si="992"/>
        <v>CTN4</v>
      </c>
      <c r="V986" s="49">
        <f t="shared" si="993"/>
        <v>1</v>
      </c>
      <c r="W986" s="49">
        <f t="shared" si="994"/>
        <v>81.37</v>
      </c>
      <c r="X986" s="49">
        <f t="shared" si="995"/>
        <v>-2.97</v>
      </c>
    </row>
    <row r="987" spans="1:24" x14ac:dyDescent="0.4">
      <c r="A987" s="1" t="s">
        <v>138</v>
      </c>
      <c r="B987" s="1" t="s">
        <v>83</v>
      </c>
      <c r="C987" s="1" t="s">
        <v>82</v>
      </c>
      <c r="D987" s="1" t="s">
        <v>471</v>
      </c>
      <c r="E987" s="1" t="s">
        <v>472</v>
      </c>
      <c r="F987" s="1" t="s">
        <v>100</v>
      </c>
      <c r="G987" s="1" t="s">
        <v>101</v>
      </c>
      <c r="H987" s="1">
        <v>50000</v>
      </c>
      <c r="J987" s="51">
        <v>45489</v>
      </c>
      <c r="L987" s="51">
        <v>45405</v>
      </c>
      <c r="M987" s="1" t="s">
        <v>135</v>
      </c>
      <c r="N987" s="1">
        <v>1</v>
      </c>
      <c r="O987" s="59">
        <v>81.37</v>
      </c>
      <c r="P987" s="1">
        <v>40685</v>
      </c>
      <c r="Q987" s="1">
        <v>-2.97</v>
      </c>
      <c r="R987" s="1" t="s">
        <v>83</v>
      </c>
      <c r="T987" s="50">
        <f>IF(ISNUMBER(VLOOKUP(U987,Blotter!B:C,2,0)),VLOOKUP(U987,Blotter!B:C,2,0),"")</f>
        <v>46</v>
      </c>
      <c r="U987" s="49" t="str">
        <f t="shared" si="992"/>
        <v>CTN4</v>
      </c>
      <c r="V987" s="49">
        <f t="shared" si="993"/>
        <v>1</v>
      </c>
      <c r="W987" s="49">
        <f t="shared" si="994"/>
        <v>81.37</v>
      </c>
      <c r="X987" s="49">
        <f t="shared" si="995"/>
        <v>-2.97</v>
      </c>
    </row>
    <row r="988" spans="1:24" x14ac:dyDescent="0.4">
      <c r="A988" s="1" t="s">
        <v>138</v>
      </c>
      <c r="B988" s="1" t="s">
        <v>83</v>
      </c>
      <c r="C988" s="1" t="s">
        <v>82</v>
      </c>
      <c r="D988" s="1" t="s">
        <v>471</v>
      </c>
      <c r="E988" s="1" t="s">
        <v>472</v>
      </c>
      <c r="F988" s="1" t="s">
        <v>100</v>
      </c>
      <c r="G988" s="1" t="s">
        <v>101</v>
      </c>
      <c r="H988" s="1">
        <v>50000</v>
      </c>
      <c r="J988" s="51">
        <v>45489</v>
      </c>
      <c r="L988" s="51">
        <v>45405</v>
      </c>
      <c r="M988" s="1" t="s">
        <v>139</v>
      </c>
      <c r="N988" s="1">
        <v>-4</v>
      </c>
      <c r="O988" s="59">
        <v>82.6</v>
      </c>
      <c r="P988" s="1">
        <v>-165200</v>
      </c>
      <c r="Q988" s="1">
        <v>-11.88</v>
      </c>
      <c r="R988" s="1" t="s">
        <v>83</v>
      </c>
      <c r="T988" s="50">
        <f>IF(ISNUMBER(VLOOKUP(U988,Blotter!B:C,2,0)),VLOOKUP(U988,Blotter!B:C,2,0),"")</f>
        <v>46</v>
      </c>
      <c r="U988" s="49" t="str">
        <f t="shared" si="992"/>
        <v>CTN4</v>
      </c>
      <c r="V988" s="49">
        <f t="shared" si="993"/>
        <v>-4</v>
      </c>
      <c r="W988" s="49">
        <f t="shared" si="994"/>
        <v>82.6</v>
      </c>
      <c r="X988" s="49">
        <f t="shared" si="995"/>
        <v>-11.88</v>
      </c>
    </row>
    <row r="989" spans="1:24" x14ac:dyDescent="0.4">
      <c r="A989" s="1" t="s">
        <v>138</v>
      </c>
      <c r="B989" s="1" t="s">
        <v>83</v>
      </c>
      <c r="C989" s="1" t="s">
        <v>82</v>
      </c>
      <c r="D989" s="1" t="s">
        <v>462</v>
      </c>
      <c r="E989" s="1" t="s">
        <v>466</v>
      </c>
      <c r="F989" s="1" t="s">
        <v>124</v>
      </c>
      <c r="G989" s="1" t="s">
        <v>22</v>
      </c>
      <c r="H989" s="1">
        <v>20</v>
      </c>
      <c r="J989" s="51">
        <v>45464</v>
      </c>
      <c r="L989" s="51">
        <v>45405</v>
      </c>
      <c r="M989" s="1" t="s">
        <v>139</v>
      </c>
      <c r="N989" s="1">
        <v>-1</v>
      </c>
      <c r="O989" s="1">
        <v>17360</v>
      </c>
      <c r="P989" s="1">
        <v>-347200</v>
      </c>
      <c r="Q989" s="1">
        <v>-2.2000000000000002</v>
      </c>
      <c r="R989" s="1" t="s">
        <v>83</v>
      </c>
      <c r="T989" s="50">
        <f>IF(ISNUMBER(VLOOKUP(U989,Blotter!B:C,2,0)),VLOOKUP(U989,Blotter!B:C,2,0),"")</f>
        <v>53</v>
      </c>
      <c r="U989" s="49" t="str">
        <f t="shared" si="992"/>
        <v>NQM4</v>
      </c>
      <c r="V989" s="49">
        <f t="shared" si="993"/>
        <v>-1</v>
      </c>
      <c r="W989" s="49">
        <f t="shared" si="994"/>
        <v>17360</v>
      </c>
      <c r="X989" s="49">
        <f t="shared" si="995"/>
        <v>-2.2000000000000002</v>
      </c>
    </row>
    <row r="990" spans="1:24" x14ac:dyDescent="0.4">
      <c r="A990" s="1" t="s">
        <v>138</v>
      </c>
      <c r="B990" s="1" t="s">
        <v>83</v>
      </c>
      <c r="C990" s="1" t="s">
        <v>82</v>
      </c>
      <c r="D990" s="1" t="s">
        <v>462</v>
      </c>
      <c r="E990" s="1" t="s">
        <v>466</v>
      </c>
      <c r="F990" s="1" t="s">
        <v>124</v>
      </c>
      <c r="G990" s="1" t="s">
        <v>22</v>
      </c>
      <c r="H990" s="1">
        <v>20</v>
      </c>
      <c r="J990" s="51">
        <v>45464</v>
      </c>
      <c r="L990" s="51">
        <v>45405</v>
      </c>
      <c r="M990" s="1" t="s">
        <v>139</v>
      </c>
      <c r="N990" s="1">
        <v>-1</v>
      </c>
      <c r="O990" s="1">
        <v>17600</v>
      </c>
      <c r="P990" s="1">
        <v>-352000</v>
      </c>
      <c r="Q990" s="1">
        <v>-2.2000000000000002</v>
      </c>
      <c r="R990" s="1" t="s">
        <v>83</v>
      </c>
      <c r="T990" s="50">
        <f>IF(ISNUMBER(VLOOKUP(U990,Blotter!B:C,2,0)),VLOOKUP(U990,Blotter!B:C,2,0),"")</f>
        <v>53</v>
      </c>
      <c r="U990" s="49" t="str">
        <f t="shared" si="992"/>
        <v>NQM4</v>
      </c>
      <c r="V990" s="49">
        <f t="shared" si="993"/>
        <v>-1</v>
      </c>
      <c r="W990" s="49">
        <f t="shared" si="994"/>
        <v>17600</v>
      </c>
      <c r="X990" s="49">
        <f t="shared" si="995"/>
        <v>-2.2000000000000002</v>
      </c>
    </row>
    <row r="991" spans="1:24" x14ac:dyDescent="0.4">
      <c r="A991" s="1" t="s">
        <v>138</v>
      </c>
      <c r="B991" s="1" t="s">
        <v>83</v>
      </c>
      <c r="C991" s="1" t="s">
        <v>82</v>
      </c>
      <c r="D991" s="1" t="s">
        <v>456</v>
      </c>
      <c r="E991" s="1" t="s">
        <v>460</v>
      </c>
      <c r="F991" s="1" t="s">
        <v>127</v>
      </c>
      <c r="G991" s="1" t="s">
        <v>31</v>
      </c>
      <c r="H991" s="1">
        <v>5000</v>
      </c>
      <c r="J991" s="51">
        <v>45426</v>
      </c>
      <c r="L991" s="51">
        <v>45405</v>
      </c>
      <c r="M991" s="1" t="s">
        <v>139</v>
      </c>
      <c r="N991" s="1">
        <v>-5</v>
      </c>
      <c r="O991" s="59">
        <v>1165</v>
      </c>
      <c r="P991" s="1">
        <v>-291250</v>
      </c>
      <c r="Q991" s="1">
        <v>-14.85</v>
      </c>
      <c r="R991" s="1" t="s">
        <v>83</v>
      </c>
      <c r="T991" s="50">
        <f>IF(ISNUMBER(VLOOKUP(U991,Blotter!B:C,2,0)),VLOOKUP(U991,Blotter!B:C,2,0),"")</f>
        <v>49</v>
      </c>
      <c r="U991" s="49" t="str">
        <f t="shared" si="992"/>
        <v>ZSK4</v>
      </c>
      <c r="V991" s="49">
        <f t="shared" si="993"/>
        <v>-5</v>
      </c>
      <c r="W991" s="49">
        <f t="shared" si="994"/>
        <v>1165</v>
      </c>
      <c r="X991" s="49">
        <f t="shared" si="995"/>
        <v>-14.85</v>
      </c>
    </row>
    <row r="992" spans="1:24" x14ac:dyDescent="0.4">
      <c r="A992" s="1" t="s">
        <v>138</v>
      </c>
      <c r="B992" s="1" t="s">
        <v>83</v>
      </c>
      <c r="C992" s="1" t="s">
        <v>82</v>
      </c>
      <c r="D992" s="1" t="s">
        <v>433</v>
      </c>
      <c r="E992" s="1" t="s">
        <v>434</v>
      </c>
      <c r="F992" s="1" t="s">
        <v>127</v>
      </c>
      <c r="G992" s="1" t="s">
        <v>29</v>
      </c>
      <c r="H992" s="1">
        <v>5000</v>
      </c>
      <c r="J992" s="51">
        <v>45426</v>
      </c>
      <c r="L992" s="51">
        <v>45405</v>
      </c>
      <c r="M992" s="1" t="s">
        <v>139</v>
      </c>
      <c r="N992" s="1">
        <v>-2</v>
      </c>
      <c r="O992" s="59">
        <v>582</v>
      </c>
      <c r="P992" s="1">
        <v>-58200</v>
      </c>
      <c r="Q992" s="1">
        <v>-5.94</v>
      </c>
      <c r="R992" s="1" t="s">
        <v>83</v>
      </c>
      <c r="T992" s="50">
        <f>IF(ISNUMBER(VLOOKUP(U992,Blotter!B:C,2,0)),VLOOKUP(U992,Blotter!B:C,2,0),"")</f>
        <v>43</v>
      </c>
      <c r="U992" s="49" t="str">
        <f t="shared" si="992"/>
        <v>ZWK4</v>
      </c>
      <c r="V992" s="49">
        <f t="shared" si="993"/>
        <v>-2</v>
      </c>
      <c r="W992" s="49">
        <f t="shared" si="994"/>
        <v>582</v>
      </c>
      <c r="X992" s="49">
        <f t="shared" si="995"/>
        <v>-5.94</v>
      </c>
    </row>
    <row r="993" spans="1:24" x14ac:dyDescent="0.4">
      <c r="A993" s="1" t="s">
        <v>138</v>
      </c>
      <c r="B993" s="1" t="s">
        <v>83</v>
      </c>
      <c r="C993" s="1" t="s">
        <v>82</v>
      </c>
      <c r="D993" s="1" t="s">
        <v>433</v>
      </c>
      <c r="E993" s="1" t="s">
        <v>434</v>
      </c>
      <c r="F993" s="1" t="s">
        <v>127</v>
      </c>
      <c r="G993" s="1" t="s">
        <v>29</v>
      </c>
      <c r="H993" s="1">
        <v>5000</v>
      </c>
      <c r="J993" s="51">
        <v>45426</v>
      </c>
      <c r="L993" s="51">
        <v>45405</v>
      </c>
      <c r="M993" s="1" t="s">
        <v>139</v>
      </c>
      <c r="N993" s="1">
        <v>-3</v>
      </c>
      <c r="O993" s="59">
        <v>582</v>
      </c>
      <c r="P993" s="1">
        <v>-87300</v>
      </c>
      <c r="Q993" s="1">
        <v>-8.91</v>
      </c>
      <c r="R993" s="1" t="s">
        <v>83</v>
      </c>
      <c r="T993" s="50">
        <f>IF(ISNUMBER(VLOOKUP(U993,Blotter!B:C,2,0)),VLOOKUP(U993,Blotter!B:C,2,0),"")</f>
        <v>43</v>
      </c>
      <c r="U993" s="49" t="str">
        <f t="shared" si="992"/>
        <v>ZWK4</v>
      </c>
      <c r="V993" s="49">
        <f t="shared" si="993"/>
        <v>-3</v>
      </c>
      <c r="W993" s="49">
        <f t="shared" si="994"/>
        <v>582</v>
      </c>
      <c r="X993" s="49">
        <f t="shared" si="995"/>
        <v>-8.91</v>
      </c>
    </row>
    <row r="994" spans="1:24" x14ac:dyDescent="0.4">
      <c r="A994" s="1" t="s">
        <v>138</v>
      </c>
      <c r="B994" s="1" t="s">
        <v>83</v>
      </c>
      <c r="C994" s="1" t="s">
        <v>82</v>
      </c>
      <c r="D994" s="1" t="s">
        <v>462</v>
      </c>
      <c r="E994" s="1" t="s">
        <v>466</v>
      </c>
      <c r="F994" s="1" t="s">
        <v>124</v>
      </c>
      <c r="G994" s="1" t="s">
        <v>22</v>
      </c>
      <c r="H994" s="1">
        <v>20</v>
      </c>
      <c r="J994" s="51">
        <v>45464</v>
      </c>
      <c r="L994" s="51">
        <v>45406</v>
      </c>
      <c r="M994" s="1" t="s">
        <v>135</v>
      </c>
      <c r="N994" s="1">
        <v>1</v>
      </c>
      <c r="O994" s="59">
        <v>17500</v>
      </c>
      <c r="P994" s="1">
        <v>350000</v>
      </c>
      <c r="Q994" s="1">
        <v>-2.2000000000000002</v>
      </c>
      <c r="R994" s="1" t="s">
        <v>83</v>
      </c>
      <c r="T994" s="50">
        <f>IF(ISNUMBER(VLOOKUP(U994,Blotter!B:C,2,0)),VLOOKUP(U994,Blotter!B:C,2,0),"")</f>
        <v>53</v>
      </c>
      <c r="U994" s="49" t="str">
        <f t="shared" ref="U994:U1000" si="996">D994</f>
        <v>NQM4</v>
      </c>
      <c r="V994" s="49">
        <f t="shared" ref="V994:V1000" si="997">N994</f>
        <v>1</v>
      </c>
      <c r="W994" s="49">
        <f t="shared" ref="W994:W1000" si="998">O994</f>
        <v>17500</v>
      </c>
      <c r="X994" s="49">
        <f t="shared" ref="X994:X1000" si="999">Q994</f>
        <v>-2.2000000000000002</v>
      </c>
    </row>
    <row r="995" spans="1:24" x14ac:dyDescent="0.4">
      <c r="A995" s="1" t="s">
        <v>138</v>
      </c>
      <c r="B995" s="1" t="s">
        <v>83</v>
      </c>
      <c r="C995" s="1" t="s">
        <v>82</v>
      </c>
      <c r="D995" s="1" t="s">
        <v>456</v>
      </c>
      <c r="E995" s="1" t="s">
        <v>460</v>
      </c>
      <c r="F995" s="1" t="s">
        <v>127</v>
      </c>
      <c r="G995" s="1" t="s">
        <v>31</v>
      </c>
      <c r="H995" s="1">
        <v>5000</v>
      </c>
      <c r="J995" s="51">
        <v>45426</v>
      </c>
      <c r="L995" s="51">
        <v>45406</v>
      </c>
      <c r="M995" s="1" t="s">
        <v>139</v>
      </c>
      <c r="N995" s="1">
        <v>-1</v>
      </c>
      <c r="O995" s="59">
        <v>1175</v>
      </c>
      <c r="P995" s="1">
        <v>-58750</v>
      </c>
      <c r="Q995" s="1">
        <v>-2.97</v>
      </c>
      <c r="R995" s="1" t="s">
        <v>83</v>
      </c>
      <c r="T995" s="50">
        <f>IF(ISNUMBER(VLOOKUP(U995,Blotter!B:C,2,0)),VLOOKUP(U995,Blotter!B:C,2,0),"")</f>
        <v>49</v>
      </c>
      <c r="U995" s="49" t="str">
        <f t="shared" si="996"/>
        <v>ZSK4</v>
      </c>
      <c r="V995" s="49">
        <f t="shared" si="997"/>
        <v>-1</v>
      </c>
      <c r="W995" s="49">
        <f t="shared" si="998"/>
        <v>1175</v>
      </c>
      <c r="X995" s="49">
        <f t="shared" si="999"/>
        <v>-2.97</v>
      </c>
    </row>
    <row r="996" spans="1:24" x14ac:dyDescent="0.4">
      <c r="A996" s="1" t="s">
        <v>138</v>
      </c>
      <c r="B996" s="1" t="s">
        <v>83</v>
      </c>
      <c r="C996" s="1" t="s">
        <v>82</v>
      </c>
      <c r="D996" s="1" t="s">
        <v>456</v>
      </c>
      <c r="E996" s="1" t="s">
        <v>460</v>
      </c>
      <c r="F996" s="1" t="s">
        <v>127</v>
      </c>
      <c r="G996" s="1" t="s">
        <v>31</v>
      </c>
      <c r="H996" s="1">
        <v>5000</v>
      </c>
      <c r="J996" s="51">
        <v>45426</v>
      </c>
      <c r="L996" s="51">
        <v>45406</v>
      </c>
      <c r="M996" s="1" t="s">
        <v>139</v>
      </c>
      <c r="N996" s="1">
        <v>-1</v>
      </c>
      <c r="O996" s="59">
        <v>1175</v>
      </c>
      <c r="P996" s="1">
        <v>-58750</v>
      </c>
      <c r="Q996" s="1">
        <v>-2.97</v>
      </c>
      <c r="R996" s="1" t="s">
        <v>83</v>
      </c>
      <c r="T996" s="50">
        <f>IF(ISNUMBER(VLOOKUP(U996,Blotter!B:C,2,0)),VLOOKUP(U996,Blotter!B:C,2,0),"")</f>
        <v>49</v>
      </c>
      <c r="U996" s="49" t="str">
        <f t="shared" si="996"/>
        <v>ZSK4</v>
      </c>
      <c r="V996" s="49">
        <f t="shared" si="997"/>
        <v>-1</v>
      </c>
      <c r="W996" s="49">
        <f t="shared" si="998"/>
        <v>1175</v>
      </c>
      <c r="X996" s="49">
        <f t="shared" si="999"/>
        <v>-2.97</v>
      </c>
    </row>
    <row r="997" spans="1:24" x14ac:dyDescent="0.4">
      <c r="A997" s="1" t="s">
        <v>138</v>
      </c>
      <c r="B997" s="1" t="s">
        <v>83</v>
      </c>
      <c r="C997" s="1" t="s">
        <v>82</v>
      </c>
      <c r="D997" s="1" t="s">
        <v>456</v>
      </c>
      <c r="E997" s="1" t="s">
        <v>460</v>
      </c>
      <c r="F997" s="1" t="s">
        <v>127</v>
      </c>
      <c r="G997" s="1" t="s">
        <v>31</v>
      </c>
      <c r="H997" s="1">
        <v>5000</v>
      </c>
      <c r="J997" s="51">
        <v>45426</v>
      </c>
      <c r="L997" s="51">
        <v>45406</v>
      </c>
      <c r="M997" s="1" t="s">
        <v>139</v>
      </c>
      <c r="N997" s="1">
        <v>-3</v>
      </c>
      <c r="O997" s="59">
        <v>1175</v>
      </c>
      <c r="P997" s="1">
        <v>-176250</v>
      </c>
      <c r="Q997" s="1">
        <v>-8.91</v>
      </c>
      <c r="R997" s="1" t="s">
        <v>83</v>
      </c>
      <c r="T997" s="50">
        <f>IF(ISNUMBER(VLOOKUP(U997,Blotter!B:C,2,0)),VLOOKUP(U997,Blotter!B:C,2,0),"")</f>
        <v>49</v>
      </c>
      <c r="U997" s="49" t="str">
        <f t="shared" si="996"/>
        <v>ZSK4</v>
      </c>
      <c r="V997" s="49">
        <f t="shared" si="997"/>
        <v>-3</v>
      </c>
      <c r="W997" s="49">
        <f t="shared" si="998"/>
        <v>1175</v>
      </c>
      <c r="X997" s="49">
        <f t="shared" si="999"/>
        <v>-8.91</v>
      </c>
    </row>
    <row r="998" spans="1:24" x14ac:dyDescent="0.4">
      <c r="A998" s="1" t="s">
        <v>138</v>
      </c>
      <c r="B998" s="1" t="s">
        <v>83</v>
      </c>
      <c r="C998" s="1" t="s">
        <v>82</v>
      </c>
      <c r="D998" s="1" t="s">
        <v>433</v>
      </c>
      <c r="E998" s="1" t="s">
        <v>434</v>
      </c>
      <c r="F998" s="1" t="s">
        <v>127</v>
      </c>
      <c r="G998" s="1" t="s">
        <v>29</v>
      </c>
      <c r="H998" s="1">
        <v>5000</v>
      </c>
      <c r="J998" s="51">
        <v>45426</v>
      </c>
      <c r="L998" s="51">
        <v>45406</v>
      </c>
      <c r="M998" s="1" t="s">
        <v>139</v>
      </c>
      <c r="N998" s="1">
        <v>-1</v>
      </c>
      <c r="O998" s="59">
        <v>585</v>
      </c>
      <c r="P998" s="1">
        <v>-29250</v>
      </c>
      <c r="Q998" s="1">
        <v>-2.97</v>
      </c>
      <c r="R998" s="1" t="s">
        <v>83</v>
      </c>
      <c r="T998" s="50">
        <f>IF(ISNUMBER(VLOOKUP(U998,Blotter!B:C,2,0)),VLOOKUP(U998,Blotter!B:C,2,0),"")</f>
        <v>43</v>
      </c>
      <c r="U998" s="49" t="str">
        <f t="shared" si="996"/>
        <v>ZWK4</v>
      </c>
      <c r="V998" s="49">
        <f t="shared" si="997"/>
        <v>-1</v>
      </c>
      <c r="W998" s="49">
        <f t="shared" si="998"/>
        <v>585</v>
      </c>
      <c r="X998" s="49">
        <f t="shared" si="999"/>
        <v>-2.97</v>
      </c>
    </row>
    <row r="999" spans="1:24" x14ac:dyDescent="0.4">
      <c r="A999" s="1" t="s">
        <v>138</v>
      </c>
      <c r="B999" s="1" t="s">
        <v>83</v>
      </c>
      <c r="C999" s="1" t="s">
        <v>82</v>
      </c>
      <c r="D999" s="1" t="s">
        <v>433</v>
      </c>
      <c r="E999" s="1" t="s">
        <v>434</v>
      </c>
      <c r="F999" s="1" t="s">
        <v>127</v>
      </c>
      <c r="G999" s="1" t="s">
        <v>29</v>
      </c>
      <c r="H999" s="1">
        <v>5000</v>
      </c>
      <c r="J999" s="51">
        <v>45426</v>
      </c>
      <c r="L999" s="51">
        <v>45406</v>
      </c>
      <c r="M999" s="1" t="s">
        <v>139</v>
      </c>
      <c r="N999" s="1">
        <v>-1</v>
      </c>
      <c r="O999" s="59">
        <v>585</v>
      </c>
      <c r="P999" s="1">
        <v>-29250</v>
      </c>
      <c r="Q999" s="1">
        <v>-2.97</v>
      </c>
      <c r="R999" s="1" t="s">
        <v>83</v>
      </c>
      <c r="T999" s="50">
        <f>IF(ISNUMBER(VLOOKUP(U999,Blotter!B:C,2,0)),VLOOKUP(U999,Blotter!B:C,2,0),"")</f>
        <v>43</v>
      </c>
      <c r="U999" s="49" t="str">
        <f t="shared" si="996"/>
        <v>ZWK4</v>
      </c>
      <c r="V999" s="49">
        <f t="shared" si="997"/>
        <v>-1</v>
      </c>
      <c r="W999" s="49">
        <f t="shared" si="998"/>
        <v>585</v>
      </c>
      <c r="X999" s="49">
        <f t="shared" si="999"/>
        <v>-2.97</v>
      </c>
    </row>
    <row r="1000" spans="1:24" x14ac:dyDescent="0.4">
      <c r="A1000" s="1" t="s">
        <v>138</v>
      </c>
      <c r="B1000" s="1" t="s">
        <v>83</v>
      </c>
      <c r="C1000" s="1" t="s">
        <v>82</v>
      </c>
      <c r="D1000" s="1" t="s">
        <v>433</v>
      </c>
      <c r="E1000" s="1" t="s">
        <v>434</v>
      </c>
      <c r="F1000" s="1" t="s">
        <v>127</v>
      </c>
      <c r="G1000" s="1" t="s">
        <v>29</v>
      </c>
      <c r="H1000" s="1">
        <v>5000</v>
      </c>
      <c r="J1000" s="51">
        <v>45426</v>
      </c>
      <c r="L1000" s="51">
        <v>45406</v>
      </c>
      <c r="M1000" s="1" t="s">
        <v>139</v>
      </c>
      <c r="N1000" s="1">
        <v>-3</v>
      </c>
      <c r="O1000" s="59">
        <v>585</v>
      </c>
      <c r="P1000" s="1">
        <v>-87750</v>
      </c>
      <c r="Q1000" s="1">
        <v>-8.91</v>
      </c>
      <c r="R1000" s="1" t="s">
        <v>83</v>
      </c>
      <c r="T1000" s="50">
        <f>IF(ISNUMBER(VLOOKUP(U1000,Blotter!B:C,2,0)),VLOOKUP(U1000,Blotter!B:C,2,0),"")</f>
        <v>43</v>
      </c>
      <c r="U1000" s="49" t="str">
        <f t="shared" si="996"/>
        <v>ZWK4</v>
      </c>
      <c r="V1000" s="49">
        <f t="shared" si="997"/>
        <v>-3</v>
      </c>
      <c r="W1000" s="49">
        <f t="shared" si="998"/>
        <v>585</v>
      </c>
      <c r="X1000" s="49">
        <f t="shared" si="999"/>
        <v>-8.91</v>
      </c>
    </row>
    <row r="1001" spans="1:24" x14ac:dyDescent="0.4">
      <c r="A1001" s="1" t="s">
        <v>138</v>
      </c>
      <c r="B1001" s="1" t="s">
        <v>83</v>
      </c>
      <c r="C1001" s="1" t="s">
        <v>117</v>
      </c>
      <c r="D1001" s="1" t="s">
        <v>407</v>
      </c>
      <c r="E1001" s="1" t="s">
        <v>409</v>
      </c>
      <c r="F1001" s="1" t="s">
        <v>408</v>
      </c>
      <c r="H1001" s="1">
        <v>1</v>
      </c>
      <c r="L1001" s="51">
        <v>45407</v>
      </c>
      <c r="M1001" s="1" t="s">
        <v>135</v>
      </c>
      <c r="N1001" s="1">
        <v>39</v>
      </c>
      <c r="O1001" s="1">
        <v>64</v>
      </c>
      <c r="P1001" s="1">
        <v>2496</v>
      </c>
      <c r="Q1001" s="1">
        <v>-1</v>
      </c>
      <c r="R1001" s="1" t="s">
        <v>83</v>
      </c>
      <c r="T1001" s="50">
        <f>IF(ISNUMBER(VLOOKUP(U1001,Blotter!B:C,2,0)),VLOOKUP(U1001,Blotter!B:C,2,0),"")</f>
        <v>40</v>
      </c>
      <c r="U1001" s="49" t="str">
        <f t="shared" ref="U1001" si="1000">D1001</f>
        <v>CYTK</v>
      </c>
      <c r="V1001" s="49">
        <f t="shared" ref="V1001" si="1001">N1001</f>
        <v>39</v>
      </c>
      <c r="W1001" s="49">
        <f t="shared" ref="W1001" si="1002">O1001</f>
        <v>64</v>
      </c>
      <c r="X1001" s="49">
        <f t="shared" ref="X1001" si="1003">Q1001</f>
        <v>-1</v>
      </c>
    </row>
    <row r="1002" spans="1:24" x14ac:dyDescent="0.4">
      <c r="A1002" s="1" t="s">
        <v>138</v>
      </c>
      <c r="B1002" s="1" t="s">
        <v>83</v>
      </c>
      <c r="C1002" s="1" t="s">
        <v>117</v>
      </c>
      <c r="D1002" s="1" t="s">
        <v>407</v>
      </c>
      <c r="E1002" s="1" t="s">
        <v>409</v>
      </c>
      <c r="F1002" s="1" t="s">
        <v>408</v>
      </c>
      <c r="H1002" s="1">
        <v>1</v>
      </c>
      <c r="L1002" s="51">
        <v>45407</v>
      </c>
      <c r="M1002" s="1" t="s">
        <v>135</v>
      </c>
      <c r="N1002" s="1">
        <v>25</v>
      </c>
      <c r="O1002" s="1">
        <v>64</v>
      </c>
      <c r="P1002" s="1">
        <v>1600</v>
      </c>
      <c r="Q1002" s="1">
        <v>0</v>
      </c>
      <c r="R1002" s="1" t="s">
        <v>83</v>
      </c>
      <c r="T1002" s="50">
        <f>IF(ISNUMBER(VLOOKUP(U1002,Blotter!B:C,2,0)),VLOOKUP(U1002,Blotter!B:C,2,0),"")</f>
        <v>40</v>
      </c>
      <c r="U1002" s="49" t="str">
        <f t="shared" ref="U1002" si="1004">D1002</f>
        <v>CYTK</v>
      </c>
      <c r="V1002" s="49">
        <f t="shared" ref="V1002" si="1005">N1002</f>
        <v>25</v>
      </c>
      <c r="W1002" s="49">
        <f t="shared" ref="W1002" si="1006">O1002</f>
        <v>64</v>
      </c>
      <c r="X1002" s="49">
        <f t="shared" ref="X1002" si="1007">Q1002</f>
        <v>0</v>
      </c>
    </row>
    <row r="1003" spans="1:24" x14ac:dyDescent="0.4">
      <c r="A1003" s="1" t="s">
        <v>138</v>
      </c>
      <c r="B1003" s="1" t="s">
        <v>83</v>
      </c>
      <c r="C1003" s="1" t="s">
        <v>117</v>
      </c>
      <c r="D1003" s="1" t="s">
        <v>407</v>
      </c>
      <c r="E1003" s="1" t="s">
        <v>409</v>
      </c>
      <c r="F1003" s="1" t="s">
        <v>408</v>
      </c>
      <c r="H1003" s="1">
        <v>1</v>
      </c>
      <c r="L1003" s="51">
        <v>45407</v>
      </c>
      <c r="M1003" s="1" t="s">
        <v>135</v>
      </c>
      <c r="N1003" s="1">
        <v>91</v>
      </c>
      <c r="O1003" s="1">
        <v>64</v>
      </c>
      <c r="P1003" s="1">
        <v>5824</v>
      </c>
      <c r="Q1003" s="1">
        <v>0</v>
      </c>
      <c r="R1003" s="1" t="s">
        <v>83</v>
      </c>
      <c r="T1003" s="50">
        <f>IF(ISNUMBER(VLOOKUP(U1003,Blotter!B:C,2,0)),VLOOKUP(U1003,Blotter!B:C,2,0),"")</f>
        <v>40</v>
      </c>
      <c r="U1003" s="49" t="str">
        <f t="shared" ref="U1003:U1008" si="1008">D1003</f>
        <v>CYTK</v>
      </c>
      <c r="V1003" s="49">
        <f t="shared" ref="V1003:V1008" si="1009">N1003</f>
        <v>91</v>
      </c>
      <c r="W1003" s="49">
        <f t="shared" ref="W1003:W1008" si="1010">O1003</f>
        <v>64</v>
      </c>
      <c r="X1003" s="49">
        <f t="shared" ref="X1003:X1008" si="1011">Q1003</f>
        <v>0</v>
      </c>
    </row>
    <row r="1004" spans="1:24" x14ac:dyDescent="0.4">
      <c r="A1004" s="1" t="s">
        <v>138</v>
      </c>
      <c r="B1004" s="1" t="s">
        <v>83</v>
      </c>
      <c r="C1004" s="1" t="s">
        <v>117</v>
      </c>
      <c r="D1004" s="1" t="s">
        <v>407</v>
      </c>
      <c r="E1004" s="1" t="s">
        <v>409</v>
      </c>
      <c r="F1004" s="1" t="s">
        <v>408</v>
      </c>
      <c r="H1004" s="1">
        <v>1</v>
      </c>
      <c r="L1004" s="51">
        <v>45407</v>
      </c>
      <c r="M1004" s="1" t="s">
        <v>135</v>
      </c>
      <c r="N1004" s="1">
        <v>122</v>
      </c>
      <c r="O1004" s="1">
        <v>64</v>
      </c>
      <c r="P1004" s="1">
        <v>7808</v>
      </c>
      <c r="Q1004" s="1">
        <v>-0.38500000000000001</v>
      </c>
      <c r="R1004" s="1" t="s">
        <v>83</v>
      </c>
      <c r="T1004" s="50">
        <f>IF(ISNUMBER(VLOOKUP(U1004,Blotter!B:C,2,0)),VLOOKUP(U1004,Blotter!B:C,2,0),"")</f>
        <v>40</v>
      </c>
      <c r="U1004" s="49" t="str">
        <f t="shared" si="1008"/>
        <v>CYTK</v>
      </c>
      <c r="V1004" s="49">
        <f t="shared" si="1009"/>
        <v>122</v>
      </c>
      <c r="W1004" s="49">
        <f t="shared" si="1010"/>
        <v>64</v>
      </c>
      <c r="X1004" s="49">
        <f t="shared" si="1011"/>
        <v>-0.38500000000000001</v>
      </c>
    </row>
    <row r="1005" spans="1:24" x14ac:dyDescent="0.4">
      <c r="A1005" s="1" t="s">
        <v>138</v>
      </c>
      <c r="B1005" s="1" t="s">
        <v>83</v>
      </c>
      <c r="C1005" s="1" t="s">
        <v>117</v>
      </c>
      <c r="D1005" s="1" t="s">
        <v>407</v>
      </c>
      <c r="E1005" s="1" t="s">
        <v>409</v>
      </c>
      <c r="F1005" s="1" t="s">
        <v>408</v>
      </c>
      <c r="H1005" s="1">
        <v>1</v>
      </c>
      <c r="L1005" s="51">
        <v>45407</v>
      </c>
      <c r="M1005" s="1" t="s">
        <v>135</v>
      </c>
      <c r="N1005" s="1">
        <v>44</v>
      </c>
      <c r="O1005" s="1">
        <v>64</v>
      </c>
      <c r="P1005" s="1">
        <v>2816</v>
      </c>
      <c r="Q1005" s="1">
        <v>-0.22</v>
      </c>
      <c r="R1005" s="1" t="s">
        <v>83</v>
      </c>
      <c r="T1005" s="50">
        <f>IF(ISNUMBER(VLOOKUP(U1005,Blotter!B:C,2,0)),VLOOKUP(U1005,Blotter!B:C,2,0),"")</f>
        <v>40</v>
      </c>
      <c r="U1005" s="49" t="str">
        <f t="shared" si="1008"/>
        <v>CYTK</v>
      </c>
      <c r="V1005" s="49">
        <f t="shared" si="1009"/>
        <v>44</v>
      </c>
      <c r="W1005" s="49">
        <f t="shared" si="1010"/>
        <v>64</v>
      </c>
      <c r="X1005" s="49">
        <f t="shared" si="1011"/>
        <v>-0.22</v>
      </c>
    </row>
    <row r="1006" spans="1:24" x14ac:dyDescent="0.4">
      <c r="A1006" s="1" t="s">
        <v>138</v>
      </c>
      <c r="B1006" s="1" t="s">
        <v>83</v>
      </c>
      <c r="C1006" s="1" t="s">
        <v>117</v>
      </c>
      <c r="D1006" s="1" t="s">
        <v>407</v>
      </c>
      <c r="E1006" s="1" t="s">
        <v>409</v>
      </c>
      <c r="F1006" s="1" t="s">
        <v>408</v>
      </c>
      <c r="H1006" s="1">
        <v>1</v>
      </c>
      <c r="L1006" s="51">
        <v>45407</v>
      </c>
      <c r="M1006" s="1" t="s">
        <v>135</v>
      </c>
      <c r="N1006" s="1">
        <v>679</v>
      </c>
      <c r="O1006" s="1">
        <v>64</v>
      </c>
      <c r="P1006" s="1">
        <v>43456</v>
      </c>
      <c r="Q1006" s="1">
        <v>-3.395</v>
      </c>
      <c r="R1006" s="1" t="s">
        <v>83</v>
      </c>
      <c r="T1006" s="50">
        <f>IF(ISNUMBER(VLOOKUP(U1006,Blotter!B:C,2,0)),VLOOKUP(U1006,Blotter!B:C,2,0),"")</f>
        <v>40</v>
      </c>
      <c r="U1006" s="49" t="str">
        <f t="shared" si="1008"/>
        <v>CYTK</v>
      </c>
      <c r="V1006" s="49">
        <f t="shared" si="1009"/>
        <v>679</v>
      </c>
      <c r="W1006" s="49">
        <f t="shared" si="1010"/>
        <v>64</v>
      </c>
      <c r="X1006" s="49">
        <f t="shared" si="1011"/>
        <v>-3.395</v>
      </c>
    </row>
    <row r="1007" spans="1:24" x14ac:dyDescent="0.4">
      <c r="A1007" s="1" t="s">
        <v>138</v>
      </c>
      <c r="B1007" s="1" t="s">
        <v>83</v>
      </c>
      <c r="C1007" s="1" t="s">
        <v>82</v>
      </c>
      <c r="D1007" s="1" t="s">
        <v>462</v>
      </c>
      <c r="E1007" s="1" t="s">
        <v>466</v>
      </c>
      <c r="F1007" s="1" t="s">
        <v>124</v>
      </c>
      <c r="G1007" s="1" t="s">
        <v>22</v>
      </c>
      <c r="H1007" s="1">
        <v>20</v>
      </c>
      <c r="J1007" s="51">
        <v>45464</v>
      </c>
      <c r="L1007" s="51">
        <v>45407</v>
      </c>
      <c r="M1007" s="1" t="s">
        <v>135</v>
      </c>
      <c r="N1007" s="1">
        <v>1</v>
      </c>
      <c r="O1007" s="1">
        <v>17400</v>
      </c>
      <c r="P1007" s="1">
        <v>348000</v>
      </c>
      <c r="Q1007" s="1">
        <v>-2.2000000000000002</v>
      </c>
      <c r="R1007" s="1" t="s">
        <v>83</v>
      </c>
      <c r="T1007" s="50">
        <f>IF(ISNUMBER(VLOOKUP(U1007,Blotter!B:C,2,0)),VLOOKUP(U1007,Blotter!B:C,2,0),"")</f>
        <v>53</v>
      </c>
      <c r="U1007" s="49" t="str">
        <f t="shared" si="1008"/>
        <v>NQM4</v>
      </c>
      <c r="V1007" s="49">
        <f t="shared" si="1009"/>
        <v>1</v>
      </c>
      <c r="W1007" s="49">
        <f t="shared" si="1010"/>
        <v>17400</v>
      </c>
      <c r="X1007" s="49">
        <f t="shared" si="1011"/>
        <v>-2.2000000000000002</v>
      </c>
    </row>
    <row r="1008" spans="1:24" x14ac:dyDescent="0.4">
      <c r="A1008" s="1" t="s">
        <v>138</v>
      </c>
      <c r="B1008" s="1" t="s">
        <v>83</v>
      </c>
      <c r="C1008" s="1" t="s">
        <v>82</v>
      </c>
      <c r="D1008" s="1" t="s">
        <v>456</v>
      </c>
      <c r="E1008" s="1" t="s">
        <v>460</v>
      </c>
      <c r="F1008" s="1" t="s">
        <v>127</v>
      </c>
      <c r="G1008" s="1" t="s">
        <v>31</v>
      </c>
      <c r="H1008" s="1">
        <v>5000</v>
      </c>
      <c r="J1008" s="51">
        <v>45426</v>
      </c>
      <c r="L1008" s="51">
        <v>45407</v>
      </c>
      <c r="M1008" s="1" t="s">
        <v>139</v>
      </c>
      <c r="N1008" s="1">
        <v>-5</v>
      </c>
      <c r="O1008" s="59">
        <v>1160</v>
      </c>
      <c r="P1008" s="1">
        <v>-290000</v>
      </c>
      <c r="Q1008" s="1">
        <v>-14.85</v>
      </c>
      <c r="R1008" s="1" t="s">
        <v>83</v>
      </c>
      <c r="T1008" s="50">
        <f>IF(ISNUMBER(VLOOKUP(U1008,Blotter!B:C,2,0)),VLOOKUP(U1008,Blotter!B:C,2,0),"")</f>
        <v>49</v>
      </c>
      <c r="U1008" s="49" t="str">
        <f t="shared" si="1008"/>
        <v>ZSK4</v>
      </c>
      <c r="V1008" s="49">
        <f t="shared" si="1009"/>
        <v>-5</v>
      </c>
      <c r="W1008" s="49">
        <f t="shared" si="1010"/>
        <v>1160</v>
      </c>
      <c r="X1008" s="49">
        <f t="shared" si="1011"/>
        <v>-14.85</v>
      </c>
    </row>
    <row r="1009" spans="1:24" x14ac:dyDescent="0.4">
      <c r="A1009" s="1" t="s">
        <v>138</v>
      </c>
      <c r="B1009" s="1" t="s">
        <v>83</v>
      </c>
      <c r="C1009" s="1" t="s">
        <v>82</v>
      </c>
      <c r="D1009" s="1" t="s">
        <v>471</v>
      </c>
      <c r="E1009" s="1" t="s">
        <v>472</v>
      </c>
      <c r="F1009" s="1" t="s">
        <v>100</v>
      </c>
      <c r="G1009" s="1" t="s">
        <v>101</v>
      </c>
      <c r="H1009" s="1">
        <v>50000</v>
      </c>
      <c r="J1009" s="51">
        <v>45489</v>
      </c>
      <c r="L1009" s="51">
        <v>45411</v>
      </c>
      <c r="M1009" s="1" t="s">
        <v>139</v>
      </c>
      <c r="N1009" s="1">
        <v>-1</v>
      </c>
      <c r="O1009" s="59">
        <v>82.5</v>
      </c>
      <c r="P1009" s="1">
        <v>-41250</v>
      </c>
      <c r="Q1009" s="1">
        <v>-2.97</v>
      </c>
      <c r="R1009" s="1" t="s">
        <v>83</v>
      </c>
      <c r="T1009" s="50">
        <f>IF(ISNUMBER(VLOOKUP(U1009,Blotter!B:C,2,0)),VLOOKUP(U1009,Blotter!B:C,2,0),"")</f>
        <v>46</v>
      </c>
      <c r="U1009" s="49" t="str">
        <f t="shared" ref="U1009:U1011" si="1012">D1009</f>
        <v>CTN4</v>
      </c>
      <c r="V1009" s="49">
        <f t="shared" ref="V1009:V1011" si="1013">N1009</f>
        <v>-1</v>
      </c>
      <c r="W1009" s="49">
        <f t="shared" ref="W1009:W1011" si="1014">O1009</f>
        <v>82.5</v>
      </c>
      <c r="X1009" s="49">
        <f t="shared" ref="X1009:X1011" si="1015">Q1009</f>
        <v>-2.97</v>
      </c>
    </row>
    <row r="1010" spans="1:24" x14ac:dyDescent="0.4">
      <c r="A1010" s="1" t="s">
        <v>138</v>
      </c>
      <c r="B1010" s="1" t="s">
        <v>83</v>
      </c>
      <c r="C1010" s="1" t="s">
        <v>82</v>
      </c>
      <c r="D1010" s="1" t="s">
        <v>462</v>
      </c>
      <c r="E1010" s="1" t="s">
        <v>466</v>
      </c>
      <c r="F1010" s="1" t="s">
        <v>124</v>
      </c>
      <c r="G1010" s="1" t="s">
        <v>22</v>
      </c>
      <c r="H1010" s="1">
        <v>20</v>
      </c>
      <c r="J1010" s="51">
        <v>45464</v>
      </c>
      <c r="L1010" s="51">
        <v>45412</v>
      </c>
      <c r="M1010" s="1" t="s">
        <v>135</v>
      </c>
      <c r="N1010" s="1">
        <v>6</v>
      </c>
      <c r="O1010" s="1">
        <v>17510</v>
      </c>
      <c r="P1010" s="1">
        <v>2101200</v>
      </c>
      <c r="Q1010" s="1">
        <v>-13.2</v>
      </c>
      <c r="R1010" s="1" t="s">
        <v>83</v>
      </c>
      <c r="T1010" s="50">
        <f>IF(ISNUMBER(VLOOKUP(U1010,Blotter!B:C,2,0)),VLOOKUP(U1010,Blotter!B:C,2,0),"")</f>
        <v>53</v>
      </c>
      <c r="U1010" s="49" t="str">
        <f t="shared" si="1012"/>
        <v>NQM4</v>
      </c>
      <c r="V1010" s="49">
        <f t="shared" si="1013"/>
        <v>6</v>
      </c>
      <c r="W1010" s="49">
        <f t="shared" si="1014"/>
        <v>17510</v>
      </c>
      <c r="X1010" s="49">
        <f t="shared" si="1015"/>
        <v>-13.2</v>
      </c>
    </row>
    <row r="1011" spans="1:24" x14ac:dyDescent="0.4">
      <c r="A1011" s="1" t="s">
        <v>138</v>
      </c>
      <c r="B1011" s="1" t="s">
        <v>83</v>
      </c>
      <c r="C1011" s="1" t="s">
        <v>82</v>
      </c>
      <c r="D1011" s="1" t="s">
        <v>462</v>
      </c>
      <c r="E1011" s="1" t="s">
        <v>466</v>
      </c>
      <c r="F1011" s="1" t="s">
        <v>124</v>
      </c>
      <c r="G1011" s="1" t="s">
        <v>22</v>
      </c>
      <c r="H1011" s="1">
        <v>20</v>
      </c>
      <c r="J1011" s="51">
        <v>45464</v>
      </c>
      <c r="L1011" s="51">
        <v>45412</v>
      </c>
      <c r="M1011" s="1" t="s">
        <v>135</v>
      </c>
      <c r="N1011" s="1">
        <v>5</v>
      </c>
      <c r="O1011" s="1">
        <v>17510</v>
      </c>
      <c r="P1011" s="1">
        <v>1751000</v>
      </c>
      <c r="Q1011" s="1">
        <v>-11</v>
      </c>
      <c r="R1011" s="1" t="s">
        <v>83</v>
      </c>
      <c r="T1011" s="50">
        <f>IF(ISNUMBER(VLOOKUP(U1011,Blotter!B:C,2,0)),VLOOKUP(U1011,Blotter!B:C,2,0),"")</f>
        <v>53</v>
      </c>
      <c r="U1011" s="49" t="str">
        <f t="shared" si="1012"/>
        <v>NQM4</v>
      </c>
      <c r="V1011" s="49">
        <f t="shared" si="1013"/>
        <v>5</v>
      </c>
      <c r="W1011" s="49">
        <f t="shared" si="1014"/>
        <v>17510</v>
      </c>
      <c r="X1011" s="49">
        <f t="shared" si="1015"/>
        <v>-11</v>
      </c>
    </row>
    <row r="1012" spans="1:24" x14ac:dyDescent="0.4">
      <c r="A1012" s="1" t="s">
        <v>138</v>
      </c>
      <c r="B1012" s="1" t="s">
        <v>83</v>
      </c>
      <c r="C1012" s="1" t="s">
        <v>82</v>
      </c>
      <c r="D1012" s="1" t="s">
        <v>474</v>
      </c>
      <c r="E1012" s="1" t="s">
        <v>475</v>
      </c>
      <c r="F1012" s="1" t="s">
        <v>100</v>
      </c>
      <c r="G1012" s="1" t="s">
        <v>34</v>
      </c>
      <c r="H1012" s="1">
        <v>10</v>
      </c>
      <c r="J1012" s="51">
        <v>45490</v>
      </c>
      <c r="L1012" s="51">
        <v>45413</v>
      </c>
      <c r="M1012" s="1" t="s">
        <v>135</v>
      </c>
      <c r="N1012" s="1">
        <v>1</v>
      </c>
      <c r="O1012" s="1">
        <v>8980</v>
      </c>
      <c r="P1012" s="1">
        <v>89800</v>
      </c>
      <c r="Q1012" s="1">
        <v>-2.97</v>
      </c>
      <c r="R1012" s="1" t="s">
        <v>83</v>
      </c>
      <c r="T1012" s="50">
        <f>IF(ISNUMBER(VLOOKUP(U1012,Blotter!B:C,2,0)),VLOOKUP(U1012,Blotter!B:C,2,0),"")</f>
        <v>56</v>
      </c>
      <c r="U1012" s="49" t="str">
        <f t="shared" ref="U1012:U1044" si="1016">D1012</f>
        <v>CCN4</v>
      </c>
      <c r="V1012" s="49">
        <f t="shared" ref="V1012:V1044" si="1017">N1012</f>
        <v>1</v>
      </c>
      <c r="W1012" s="49">
        <f t="shared" ref="W1012:W1044" si="1018">O1012</f>
        <v>8980</v>
      </c>
      <c r="X1012" s="49">
        <f t="shared" ref="X1012:X1044" si="1019">Q1012</f>
        <v>-2.97</v>
      </c>
    </row>
    <row r="1013" spans="1:24" x14ac:dyDescent="0.4">
      <c r="A1013" s="1" t="s">
        <v>138</v>
      </c>
      <c r="B1013" s="1" t="s">
        <v>83</v>
      </c>
      <c r="C1013" s="1" t="s">
        <v>82</v>
      </c>
      <c r="D1013" s="1" t="s">
        <v>474</v>
      </c>
      <c r="E1013" s="1" t="s">
        <v>475</v>
      </c>
      <c r="F1013" s="1" t="s">
        <v>100</v>
      </c>
      <c r="G1013" s="1" t="s">
        <v>34</v>
      </c>
      <c r="H1013" s="1">
        <v>10</v>
      </c>
      <c r="J1013" s="51">
        <v>45490</v>
      </c>
      <c r="L1013" s="51">
        <v>45413</v>
      </c>
      <c r="M1013" s="1" t="s">
        <v>135</v>
      </c>
      <c r="N1013" s="1">
        <v>3</v>
      </c>
      <c r="O1013" s="1">
        <v>8980</v>
      </c>
      <c r="P1013" s="1">
        <v>269400</v>
      </c>
      <c r="Q1013" s="1">
        <v>-8.91</v>
      </c>
      <c r="R1013" s="1" t="s">
        <v>83</v>
      </c>
      <c r="T1013" s="50">
        <f>IF(ISNUMBER(VLOOKUP(U1013,Blotter!B:C,2,0)),VLOOKUP(U1013,Blotter!B:C,2,0),"")</f>
        <v>56</v>
      </c>
      <c r="U1013" s="49" t="str">
        <f t="shared" si="1016"/>
        <v>CCN4</v>
      </c>
      <c r="V1013" s="49">
        <f t="shared" si="1017"/>
        <v>3</v>
      </c>
      <c r="W1013" s="49">
        <f t="shared" si="1018"/>
        <v>8980</v>
      </c>
      <c r="X1013" s="49">
        <f t="shared" si="1019"/>
        <v>-8.91</v>
      </c>
    </row>
    <row r="1014" spans="1:24" x14ac:dyDescent="0.4">
      <c r="A1014" s="1" t="s">
        <v>138</v>
      </c>
      <c r="B1014" s="1" t="s">
        <v>83</v>
      </c>
      <c r="C1014" s="1" t="s">
        <v>82</v>
      </c>
      <c r="D1014" s="1" t="s">
        <v>474</v>
      </c>
      <c r="E1014" s="1" t="s">
        <v>475</v>
      </c>
      <c r="F1014" s="1" t="s">
        <v>100</v>
      </c>
      <c r="G1014" s="1" t="s">
        <v>34</v>
      </c>
      <c r="H1014" s="1">
        <v>10</v>
      </c>
      <c r="J1014" s="51">
        <v>45490</v>
      </c>
      <c r="L1014" s="51">
        <v>45413</v>
      </c>
      <c r="M1014" s="1" t="s">
        <v>135</v>
      </c>
      <c r="N1014" s="1">
        <v>1</v>
      </c>
      <c r="O1014" s="1">
        <v>8980</v>
      </c>
      <c r="P1014" s="1">
        <v>89800</v>
      </c>
      <c r="Q1014" s="1">
        <v>-2.97</v>
      </c>
      <c r="R1014" s="1" t="s">
        <v>83</v>
      </c>
      <c r="T1014" s="50">
        <f>IF(ISNUMBER(VLOOKUP(U1014,Blotter!B:C,2,0)),VLOOKUP(U1014,Blotter!B:C,2,0),"")</f>
        <v>56</v>
      </c>
      <c r="U1014" s="49" t="str">
        <f t="shared" si="1016"/>
        <v>CCN4</v>
      </c>
      <c r="V1014" s="49">
        <f t="shared" si="1017"/>
        <v>1</v>
      </c>
      <c r="W1014" s="49">
        <f t="shared" si="1018"/>
        <v>8980</v>
      </c>
      <c r="X1014" s="49">
        <f t="shared" si="1019"/>
        <v>-2.97</v>
      </c>
    </row>
    <row r="1015" spans="1:24" x14ac:dyDescent="0.4">
      <c r="A1015" s="1" t="s">
        <v>138</v>
      </c>
      <c r="B1015" s="1" t="s">
        <v>83</v>
      </c>
      <c r="C1015" s="1" t="s">
        <v>82</v>
      </c>
      <c r="D1015" s="1" t="s">
        <v>474</v>
      </c>
      <c r="E1015" s="1" t="s">
        <v>475</v>
      </c>
      <c r="F1015" s="1" t="s">
        <v>100</v>
      </c>
      <c r="G1015" s="1" t="s">
        <v>34</v>
      </c>
      <c r="H1015" s="1">
        <v>10</v>
      </c>
      <c r="J1015" s="51">
        <v>45490</v>
      </c>
      <c r="L1015" s="51">
        <v>45413</v>
      </c>
      <c r="M1015" s="1" t="s">
        <v>135</v>
      </c>
      <c r="N1015" s="1">
        <v>5</v>
      </c>
      <c r="O1015" s="1">
        <v>8495</v>
      </c>
      <c r="P1015" s="1">
        <v>424750</v>
      </c>
      <c r="Q1015" s="1">
        <v>-14.85</v>
      </c>
      <c r="R1015" s="1" t="s">
        <v>83</v>
      </c>
      <c r="T1015" s="50">
        <f>IF(ISNUMBER(VLOOKUP(U1015,Blotter!B:C,2,0)),VLOOKUP(U1015,Blotter!B:C,2,0),"")</f>
        <v>56</v>
      </c>
      <c r="U1015" s="49" t="str">
        <f t="shared" si="1016"/>
        <v>CCN4</v>
      </c>
      <c r="V1015" s="49">
        <f t="shared" si="1017"/>
        <v>5</v>
      </c>
      <c r="W1015" s="49">
        <f t="shared" si="1018"/>
        <v>8495</v>
      </c>
      <c r="X1015" s="49">
        <f t="shared" si="1019"/>
        <v>-14.85</v>
      </c>
    </row>
    <row r="1016" spans="1:24" x14ac:dyDescent="0.4">
      <c r="A1016" s="1" t="s">
        <v>138</v>
      </c>
      <c r="B1016" s="1" t="s">
        <v>83</v>
      </c>
      <c r="C1016" s="1" t="s">
        <v>82</v>
      </c>
      <c r="D1016" s="1" t="s">
        <v>474</v>
      </c>
      <c r="E1016" s="1" t="s">
        <v>475</v>
      </c>
      <c r="F1016" s="1" t="s">
        <v>100</v>
      </c>
      <c r="G1016" s="1" t="s">
        <v>34</v>
      </c>
      <c r="H1016" s="1">
        <v>10</v>
      </c>
      <c r="J1016" s="51">
        <v>45490</v>
      </c>
      <c r="L1016" s="51">
        <v>45413</v>
      </c>
      <c r="M1016" s="1" t="s">
        <v>139</v>
      </c>
      <c r="N1016" s="1">
        <v>-2</v>
      </c>
      <c r="O1016" s="1">
        <v>8680</v>
      </c>
      <c r="P1016" s="1">
        <v>-173600</v>
      </c>
      <c r="Q1016" s="1">
        <v>-5.94</v>
      </c>
      <c r="R1016" s="1" t="s">
        <v>83</v>
      </c>
      <c r="T1016" s="50">
        <f>IF(ISNUMBER(VLOOKUP(U1016,Blotter!B:C,2,0)),VLOOKUP(U1016,Blotter!B:C,2,0),"")</f>
        <v>56</v>
      </c>
      <c r="U1016" s="49" t="str">
        <f t="shared" si="1016"/>
        <v>CCN4</v>
      </c>
      <c r="V1016" s="49">
        <f t="shared" si="1017"/>
        <v>-2</v>
      </c>
      <c r="W1016" s="49">
        <f t="shared" si="1018"/>
        <v>8680</v>
      </c>
      <c r="X1016" s="49">
        <f t="shared" si="1019"/>
        <v>-5.94</v>
      </c>
    </row>
    <row r="1017" spans="1:24" x14ac:dyDescent="0.4">
      <c r="A1017" s="1" t="s">
        <v>138</v>
      </c>
      <c r="B1017" s="1" t="s">
        <v>83</v>
      </c>
      <c r="C1017" s="1" t="s">
        <v>82</v>
      </c>
      <c r="D1017" s="1" t="s">
        <v>474</v>
      </c>
      <c r="E1017" s="1" t="s">
        <v>475</v>
      </c>
      <c r="F1017" s="1" t="s">
        <v>100</v>
      </c>
      <c r="G1017" s="1" t="s">
        <v>34</v>
      </c>
      <c r="H1017" s="1">
        <v>10</v>
      </c>
      <c r="J1017" s="51">
        <v>45490</v>
      </c>
      <c r="L1017" s="51">
        <v>45413</v>
      </c>
      <c r="M1017" s="1" t="s">
        <v>139</v>
      </c>
      <c r="N1017" s="1">
        <v>-1</v>
      </c>
      <c r="O1017" s="1">
        <v>8680</v>
      </c>
      <c r="P1017" s="1">
        <v>-86800</v>
      </c>
      <c r="Q1017" s="1">
        <v>-2.97</v>
      </c>
      <c r="R1017" s="1" t="s">
        <v>83</v>
      </c>
      <c r="T1017" s="50">
        <f>IF(ISNUMBER(VLOOKUP(U1017,Blotter!B:C,2,0)),VLOOKUP(U1017,Blotter!B:C,2,0),"")</f>
        <v>56</v>
      </c>
      <c r="U1017" s="49" t="str">
        <f t="shared" si="1016"/>
        <v>CCN4</v>
      </c>
      <c r="V1017" s="49">
        <f t="shared" si="1017"/>
        <v>-1</v>
      </c>
      <c r="W1017" s="49">
        <f t="shared" si="1018"/>
        <v>8680</v>
      </c>
      <c r="X1017" s="49">
        <f t="shared" si="1019"/>
        <v>-2.97</v>
      </c>
    </row>
    <row r="1018" spans="1:24" x14ac:dyDescent="0.4">
      <c r="A1018" s="1" t="s">
        <v>138</v>
      </c>
      <c r="B1018" s="1" t="s">
        <v>83</v>
      </c>
      <c r="C1018" s="1" t="s">
        <v>82</v>
      </c>
      <c r="D1018" s="1" t="s">
        <v>474</v>
      </c>
      <c r="E1018" s="1" t="s">
        <v>475</v>
      </c>
      <c r="F1018" s="1" t="s">
        <v>100</v>
      </c>
      <c r="G1018" s="1" t="s">
        <v>34</v>
      </c>
      <c r="H1018" s="1">
        <v>10</v>
      </c>
      <c r="J1018" s="51">
        <v>45490</v>
      </c>
      <c r="L1018" s="51">
        <v>45413</v>
      </c>
      <c r="M1018" s="1" t="s">
        <v>139</v>
      </c>
      <c r="N1018" s="1">
        <v>-2</v>
      </c>
      <c r="O1018" s="1">
        <v>8680</v>
      </c>
      <c r="P1018" s="1">
        <v>-173600</v>
      </c>
      <c r="Q1018" s="1">
        <v>-5.94</v>
      </c>
      <c r="R1018" s="1" t="s">
        <v>83</v>
      </c>
      <c r="T1018" s="50">
        <f>IF(ISNUMBER(VLOOKUP(U1018,Blotter!B:C,2,0)),VLOOKUP(U1018,Blotter!B:C,2,0),"")</f>
        <v>56</v>
      </c>
      <c r="U1018" s="49" t="str">
        <f t="shared" si="1016"/>
        <v>CCN4</v>
      </c>
      <c r="V1018" s="49">
        <f t="shared" si="1017"/>
        <v>-2</v>
      </c>
      <c r="W1018" s="49">
        <f t="shared" si="1018"/>
        <v>8680</v>
      </c>
      <c r="X1018" s="49">
        <f t="shared" si="1019"/>
        <v>-5.94</v>
      </c>
    </row>
    <row r="1019" spans="1:24" x14ac:dyDescent="0.4">
      <c r="A1019" s="1" t="s">
        <v>138</v>
      </c>
      <c r="B1019" s="1" t="s">
        <v>83</v>
      </c>
      <c r="C1019" s="1" t="s">
        <v>82</v>
      </c>
      <c r="D1019" s="1" t="s">
        <v>474</v>
      </c>
      <c r="E1019" s="1" t="s">
        <v>475</v>
      </c>
      <c r="F1019" s="1" t="s">
        <v>100</v>
      </c>
      <c r="G1019" s="1" t="s">
        <v>34</v>
      </c>
      <c r="H1019" s="1">
        <v>10</v>
      </c>
      <c r="J1019" s="51">
        <v>45490</v>
      </c>
      <c r="L1019" s="51">
        <v>45413</v>
      </c>
      <c r="M1019" s="1" t="s">
        <v>139</v>
      </c>
      <c r="N1019" s="1">
        <v>-5</v>
      </c>
      <c r="O1019" s="1">
        <v>8496</v>
      </c>
      <c r="P1019" s="1">
        <v>-424800</v>
      </c>
      <c r="Q1019" s="1">
        <v>-14.85</v>
      </c>
      <c r="R1019" s="1" t="s">
        <v>83</v>
      </c>
      <c r="T1019" s="50">
        <f>IF(ISNUMBER(VLOOKUP(U1019,Blotter!B:C,2,0)),VLOOKUP(U1019,Blotter!B:C,2,0),"")</f>
        <v>56</v>
      </c>
      <c r="U1019" s="49" t="str">
        <f t="shared" si="1016"/>
        <v>CCN4</v>
      </c>
      <c r="V1019" s="49">
        <f t="shared" si="1017"/>
        <v>-5</v>
      </c>
      <c r="W1019" s="49">
        <f t="shared" si="1018"/>
        <v>8496</v>
      </c>
      <c r="X1019" s="49">
        <f t="shared" si="1019"/>
        <v>-14.85</v>
      </c>
    </row>
    <row r="1020" spans="1:24" x14ac:dyDescent="0.4">
      <c r="A1020" s="1" t="s">
        <v>138</v>
      </c>
      <c r="B1020" s="1" t="s">
        <v>83</v>
      </c>
      <c r="C1020" s="1" t="s">
        <v>82</v>
      </c>
      <c r="D1020" s="1" t="s">
        <v>462</v>
      </c>
      <c r="E1020" s="1" t="s">
        <v>466</v>
      </c>
      <c r="F1020" s="1" t="s">
        <v>124</v>
      </c>
      <c r="G1020" s="1" t="s">
        <v>22</v>
      </c>
      <c r="H1020" s="1">
        <v>20</v>
      </c>
      <c r="J1020" s="51">
        <v>45464</v>
      </c>
      <c r="L1020" s="51">
        <v>45413</v>
      </c>
      <c r="M1020" s="1" t="s">
        <v>135</v>
      </c>
      <c r="N1020" s="1">
        <v>1</v>
      </c>
      <c r="O1020" s="1">
        <v>17439</v>
      </c>
      <c r="P1020" s="1">
        <v>348780</v>
      </c>
      <c r="Q1020" s="1">
        <v>-2.2000000000000002</v>
      </c>
      <c r="R1020" s="1" t="s">
        <v>83</v>
      </c>
      <c r="T1020" s="50">
        <f>IF(ISNUMBER(VLOOKUP(U1020,Blotter!B:C,2,0)),VLOOKUP(U1020,Blotter!B:C,2,0),"")</f>
        <v>53</v>
      </c>
      <c r="U1020" s="49" t="str">
        <f t="shared" si="1016"/>
        <v>NQM4</v>
      </c>
      <c r="V1020" s="49">
        <f t="shared" si="1017"/>
        <v>1</v>
      </c>
      <c r="W1020" s="49">
        <f t="shared" si="1018"/>
        <v>17439</v>
      </c>
      <c r="X1020" s="49">
        <f t="shared" si="1019"/>
        <v>-2.2000000000000002</v>
      </c>
    </row>
    <row r="1021" spans="1:24" x14ac:dyDescent="0.4">
      <c r="A1021" s="1" t="s">
        <v>138</v>
      </c>
      <c r="B1021" s="1" t="s">
        <v>83</v>
      </c>
      <c r="C1021" s="1" t="s">
        <v>82</v>
      </c>
      <c r="D1021" s="1" t="s">
        <v>462</v>
      </c>
      <c r="E1021" s="1" t="s">
        <v>466</v>
      </c>
      <c r="F1021" s="1" t="s">
        <v>124</v>
      </c>
      <c r="G1021" s="1" t="s">
        <v>22</v>
      </c>
      <c r="H1021" s="1">
        <v>20</v>
      </c>
      <c r="J1021" s="51">
        <v>45464</v>
      </c>
      <c r="L1021" s="51">
        <v>45413</v>
      </c>
      <c r="M1021" s="1" t="s">
        <v>135</v>
      </c>
      <c r="N1021" s="1">
        <v>2</v>
      </c>
      <c r="O1021" s="1">
        <v>17439</v>
      </c>
      <c r="P1021" s="1">
        <v>697560</v>
      </c>
      <c r="Q1021" s="1">
        <v>-4.4000000000000004</v>
      </c>
      <c r="R1021" s="1" t="s">
        <v>83</v>
      </c>
      <c r="T1021" s="50">
        <f>IF(ISNUMBER(VLOOKUP(U1021,Blotter!B:C,2,0)),VLOOKUP(U1021,Blotter!B:C,2,0),"")</f>
        <v>53</v>
      </c>
      <c r="U1021" s="49" t="str">
        <f t="shared" si="1016"/>
        <v>NQM4</v>
      </c>
      <c r="V1021" s="49">
        <f t="shared" si="1017"/>
        <v>2</v>
      </c>
      <c r="W1021" s="49">
        <f t="shared" si="1018"/>
        <v>17439</v>
      </c>
      <c r="X1021" s="49">
        <f t="shared" si="1019"/>
        <v>-4.4000000000000004</v>
      </c>
    </row>
    <row r="1022" spans="1:24" x14ac:dyDescent="0.4">
      <c r="A1022" s="1" t="s">
        <v>138</v>
      </c>
      <c r="B1022" s="1" t="s">
        <v>83</v>
      </c>
      <c r="C1022" s="1" t="s">
        <v>82</v>
      </c>
      <c r="D1022" s="1" t="s">
        <v>462</v>
      </c>
      <c r="E1022" s="1" t="s">
        <v>466</v>
      </c>
      <c r="F1022" s="1" t="s">
        <v>124</v>
      </c>
      <c r="G1022" s="1" t="s">
        <v>22</v>
      </c>
      <c r="H1022" s="1">
        <v>20</v>
      </c>
      <c r="J1022" s="51">
        <v>45464</v>
      </c>
      <c r="L1022" s="51">
        <v>45413</v>
      </c>
      <c r="M1022" s="1" t="s">
        <v>135</v>
      </c>
      <c r="N1022" s="1">
        <v>2</v>
      </c>
      <c r="O1022" s="1">
        <v>17439</v>
      </c>
      <c r="P1022" s="1">
        <v>697560</v>
      </c>
      <c r="Q1022" s="1">
        <v>-4.4000000000000004</v>
      </c>
      <c r="R1022" s="1" t="s">
        <v>83</v>
      </c>
      <c r="T1022" s="50">
        <f>IF(ISNUMBER(VLOOKUP(U1022,Blotter!B:C,2,0)),VLOOKUP(U1022,Blotter!B:C,2,0),"")</f>
        <v>53</v>
      </c>
      <c r="U1022" s="49" t="str">
        <f t="shared" si="1016"/>
        <v>NQM4</v>
      </c>
      <c r="V1022" s="49">
        <f t="shared" si="1017"/>
        <v>2</v>
      </c>
      <c r="W1022" s="49">
        <f t="shared" si="1018"/>
        <v>17439</v>
      </c>
      <c r="X1022" s="49">
        <f t="shared" si="1019"/>
        <v>-4.4000000000000004</v>
      </c>
    </row>
    <row r="1023" spans="1:24" x14ac:dyDescent="0.4">
      <c r="A1023" s="1" t="s">
        <v>138</v>
      </c>
      <c r="B1023" s="1" t="s">
        <v>83</v>
      </c>
      <c r="C1023" s="1" t="s">
        <v>82</v>
      </c>
      <c r="D1023" s="1" t="s">
        <v>462</v>
      </c>
      <c r="E1023" s="1" t="s">
        <v>466</v>
      </c>
      <c r="F1023" s="1" t="s">
        <v>124</v>
      </c>
      <c r="G1023" s="1" t="s">
        <v>22</v>
      </c>
      <c r="H1023" s="1">
        <v>20</v>
      </c>
      <c r="J1023" s="51">
        <v>45464</v>
      </c>
      <c r="L1023" s="51">
        <v>45413</v>
      </c>
      <c r="M1023" s="1" t="s">
        <v>135</v>
      </c>
      <c r="N1023" s="1">
        <v>1</v>
      </c>
      <c r="O1023" s="1">
        <v>17435</v>
      </c>
      <c r="P1023" s="1">
        <v>348700</v>
      </c>
      <c r="Q1023" s="1">
        <v>-2.2000000000000002</v>
      </c>
      <c r="R1023" s="1" t="s">
        <v>83</v>
      </c>
      <c r="T1023" s="50">
        <f>IF(ISNUMBER(VLOOKUP(U1023,Blotter!B:C,2,0)),VLOOKUP(U1023,Blotter!B:C,2,0),"")</f>
        <v>53</v>
      </c>
      <c r="U1023" s="49" t="str">
        <f t="shared" si="1016"/>
        <v>NQM4</v>
      </c>
      <c r="V1023" s="49">
        <f t="shared" si="1017"/>
        <v>1</v>
      </c>
      <c r="W1023" s="49">
        <f t="shared" si="1018"/>
        <v>17435</v>
      </c>
      <c r="X1023" s="49">
        <f t="shared" si="1019"/>
        <v>-2.2000000000000002</v>
      </c>
    </row>
    <row r="1024" spans="1:24" x14ac:dyDescent="0.4">
      <c r="A1024" s="1" t="s">
        <v>138</v>
      </c>
      <c r="B1024" s="1" t="s">
        <v>83</v>
      </c>
      <c r="C1024" s="1" t="s">
        <v>82</v>
      </c>
      <c r="D1024" s="1" t="s">
        <v>462</v>
      </c>
      <c r="E1024" s="1" t="s">
        <v>466</v>
      </c>
      <c r="F1024" s="1" t="s">
        <v>124</v>
      </c>
      <c r="G1024" s="1" t="s">
        <v>22</v>
      </c>
      <c r="H1024" s="1">
        <v>20</v>
      </c>
      <c r="J1024" s="51">
        <v>45464</v>
      </c>
      <c r="L1024" s="51">
        <v>45413</v>
      </c>
      <c r="M1024" s="1" t="s">
        <v>135</v>
      </c>
      <c r="N1024" s="1">
        <v>4</v>
      </c>
      <c r="O1024" s="1">
        <v>17435</v>
      </c>
      <c r="P1024" s="1">
        <v>1394800</v>
      </c>
      <c r="Q1024" s="1">
        <v>-8.8000000000000007</v>
      </c>
      <c r="R1024" s="1" t="s">
        <v>83</v>
      </c>
      <c r="T1024" s="50">
        <f>IF(ISNUMBER(VLOOKUP(U1024,Blotter!B:C,2,0)),VLOOKUP(U1024,Blotter!B:C,2,0),"")</f>
        <v>53</v>
      </c>
      <c r="U1024" s="49" t="str">
        <f t="shared" si="1016"/>
        <v>NQM4</v>
      </c>
      <c r="V1024" s="49">
        <f t="shared" si="1017"/>
        <v>4</v>
      </c>
      <c r="W1024" s="49">
        <f t="shared" si="1018"/>
        <v>17435</v>
      </c>
      <c r="X1024" s="49">
        <f t="shared" si="1019"/>
        <v>-8.8000000000000007</v>
      </c>
    </row>
    <row r="1025" spans="1:24" x14ac:dyDescent="0.4">
      <c r="A1025" s="1" t="s">
        <v>138</v>
      </c>
      <c r="B1025" s="1" t="s">
        <v>83</v>
      </c>
      <c r="C1025" s="1" t="s">
        <v>82</v>
      </c>
      <c r="D1025" s="1" t="s">
        <v>462</v>
      </c>
      <c r="E1025" s="1" t="s">
        <v>466</v>
      </c>
      <c r="F1025" s="1" t="s">
        <v>124</v>
      </c>
      <c r="G1025" s="1" t="s">
        <v>22</v>
      </c>
      <c r="H1025" s="1">
        <v>20</v>
      </c>
      <c r="J1025" s="51">
        <v>45464</v>
      </c>
      <c r="L1025" s="51">
        <v>45413</v>
      </c>
      <c r="M1025" s="1" t="s">
        <v>139</v>
      </c>
      <c r="N1025" s="1">
        <v>-1</v>
      </c>
      <c r="O1025" s="1">
        <v>17515</v>
      </c>
      <c r="P1025" s="1">
        <v>-350300</v>
      </c>
      <c r="Q1025" s="1">
        <v>-2.2000000000000002</v>
      </c>
      <c r="R1025" s="1" t="s">
        <v>83</v>
      </c>
      <c r="T1025" s="50">
        <f>IF(ISNUMBER(VLOOKUP(U1025,Blotter!B:C,2,0)),VLOOKUP(U1025,Blotter!B:C,2,0),"")</f>
        <v>53</v>
      </c>
      <c r="U1025" s="49" t="str">
        <f t="shared" si="1016"/>
        <v>NQM4</v>
      </c>
      <c r="V1025" s="49">
        <f t="shared" si="1017"/>
        <v>-1</v>
      </c>
      <c r="W1025" s="49">
        <f t="shared" si="1018"/>
        <v>17515</v>
      </c>
      <c r="X1025" s="49">
        <f t="shared" si="1019"/>
        <v>-2.2000000000000002</v>
      </c>
    </row>
    <row r="1026" spans="1:24" x14ac:dyDescent="0.4">
      <c r="A1026" s="1" t="s">
        <v>138</v>
      </c>
      <c r="B1026" s="1" t="s">
        <v>83</v>
      </c>
      <c r="C1026" s="1" t="s">
        <v>82</v>
      </c>
      <c r="D1026" s="1" t="s">
        <v>462</v>
      </c>
      <c r="E1026" s="1" t="s">
        <v>466</v>
      </c>
      <c r="F1026" s="1" t="s">
        <v>124</v>
      </c>
      <c r="G1026" s="1" t="s">
        <v>22</v>
      </c>
      <c r="H1026" s="1">
        <v>20</v>
      </c>
      <c r="J1026" s="51">
        <v>45464</v>
      </c>
      <c r="L1026" s="51">
        <v>45413</v>
      </c>
      <c r="M1026" s="1" t="s">
        <v>139</v>
      </c>
      <c r="N1026" s="1">
        <v>-9</v>
      </c>
      <c r="O1026" s="1">
        <v>17515</v>
      </c>
      <c r="P1026" s="1">
        <v>-3152700</v>
      </c>
      <c r="Q1026" s="1">
        <v>-19.8</v>
      </c>
      <c r="R1026" s="1" t="s">
        <v>83</v>
      </c>
      <c r="T1026" s="50">
        <f>IF(ISNUMBER(VLOOKUP(U1026,Blotter!B:C,2,0)),VLOOKUP(U1026,Blotter!B:C,2,0),"")</f>
        <v>53</v>
      </c>
      <c r="U1026" s="49" t="str">
        <f t="shared" si="1016"/>
        <v>NQM4</v>
      </c>
      <c r="V1026" s="49">
        <f t="shared" si="1017"/>
        <v>-9</v>
      </c>
      <c r="W1026" s="49">
        <f t="shared" si="1018"/>
        <v>17515</v>
      </c>
      <c r="X1026" s="49">
        <f t="shared" si="1019"/>
        <v>-19.8</v>
      </c>
    </row>
    <row r="1027" spans="1:24" x14ac:dyDescent="0.4">
      <c r="A1027" s="1" t="s">
        <v>138</v>
      </c>
      <c r="B1027" s="1" t="s">
        <v>83</v>
      </c>
      <c r="C1027" s="1" t="s">
        <v>82</v>
      </c>
      <c r="D1027" s="1" t="s">
        <v>462</v>
      </c>
      <c r="E1027" s="1" t="s">
        <v>466</v>
      </c>
      <c r="F1027" s="1" t="s">
        <v>124</v>
      </c>
      <c r="G1027" s="1" t="s">
        <v>22</v>
      </c>
      <c r="H1027" s="1">
        <v>20</v>
      </c>
      <c r="J1027" s="51">
        <v>45464</v>
      </c>
      <c r="L1027" s="51">
        <v>45413</v>
      </c>
      <c r="M1027" s="1" t="s">
        <v>139</v>
      </c>
      <c r="N1027" s="1">
        <v>-1</v>
      </c>
      <c r="O1027" s="1">
        <v>17440</v>
      </c>
      <c r="P1027" s="1">
        <v>-348800</v>
      </c>
      <c r="Q1027" s="1">
        <v>-2.2000000000000002</v>
      </c>
      <c r="R1027" s="1" t="s">
        <v>83</v>
      </c>
      <c r="T1027" s="50">
        <f>IF(ISNUMBER(VLOOKUP(U1027,Blotter!B:C,2,0)),VLOOKUP(U1027,Blotter!B:C,2,0),"")</f>
        <v>53</v>
      </c>
      <c r="U1027" s="49" t="str">
        <f t="shared" si="1016"/>
        <v>NQM4</v>
      </c>
      <c r="V1027" s="49">
        <f t="shared" si="1017"/>
        <v>-1</v>
      </c>
      <c r="W1027" s="49">
        <f t="shared" si="1018"/>
        <v>17440</v>
      </c>
      <c r="X1027" s="49">
        <f t="shared" si="1019"/>
        <v>-2.2000000000000002</v>
      </c>
    </row>
    <row r="1028" spans="1:24" x14ac:dyDescent="0.4">
      <c r="A1028" s="1" t="s">
        <v>138</v>
      </c>
      <c r="B1028" s="1" t="s">
        <v>83</v>
      </c>
      <c r="C1028" s="1" t="s">
        <v>82</v>
      </c>
      <c r="D1028" s="1" t="s">
        <v>462</v>
      </c>
      <c r="E1028" s="1" t="s">
        <v>466</v>
      </c>
      <c r="F1028" s="1" t="s">
        <v>124</v>
      </c>
      <c r="G1028" s="1" t="s">
        <v>22</v>
      </c>
      <c r="H1028" s="1">
        <v>20</v>
      </c>
      <c r="J1028" s="51">
        <v>45464</v>
      </c>
      <c r="L1028" s="51">
        <v>45413</v>
      </c>
      <c r="M1028" s="1" t="s">
        <v>139</v>
      </c>
      <c r="N1028" s="1">
        <v>-5</v>
      </c>
      <c r="O1028" s="1">
        <v>17440</v>
      </c>
      <c r="P1028" s="1">
        <v>-1744000</v>
      </c>
      <c r="Q1028" s="1">
        <v>-11</v>
      </c>
      <c r="R1028" s="1" t="s">
        <v>83</v>
      </c>
      <c r="T1028" s="50">
        <f>IF(ISNUMBER(VLOOKUP(U1028,Blotter!B:C,2,0)),VLOOKUP(U1028,Blotter!B:C,2,0),"")</f>
        <v>53</v>
      </c>
      <c r="U1028" s="49" t="str">
        <f t="shared" si="1016"/>
        <v>NQM4</v>
      </c>
      <c r="V1028" s="49">
        <f t="shared" si="1017"/>
        <v>-5</v>
      </c>
      <c r="W1028" s="49">
        <f t="shared" si="1018"/>
        <v>17440</v>
      </c>
      <c r="X1028" s="49">
        <f t="shared" si="1019"/>
        <v>-11</v>
      </c>
    </row>
    <row r="1029" spans="1:24" x14ac:dyDescent="0.4">
      <c r="A1029" s="1" t="s">
        <v>138</v>
      </c>
      <c r="B1029" s="1" t="s">
        <v>83</v>
      </c>
      <c r="C1029" s="1" t="s">
        <v>82</v>
      </c>
      <c r="D1029" s="1" t="s">
        <v>462</v>
      </c>
      <c r="E1029" s="1" t="s">
        <v>466</v>
      </c>
      <c r="F1029" s="1" t="s">
        <v>124</v>
      </c>
      <c r="G1029" s="1" t="s">
        <v>22</v>
      </c>
      <c r="H1029" s="1">
        <v>20</v>
      </c>
      <c r="J1029" s="51">
        <v>45464</v>
      </c>
      <c r="L1029" s="51">
        <v>45413</v>
      </c>
      <c r="M1029" s="1" t="s">
        <v>139</v>
      </c>
      <c r="N1029" s="1">
        <v>-2</v>
      </c>
      <c r="O1029" s="1">
        <v>17440</v>
      </c>
      <c r="P1029" s="1">
        <v>-697600</v>
      </c>
      <c r="Q1029" s="1">
        <v>-4.4000000000000004</v>
      </c>
      <c r="R1029" s="1" t="s">
        <v>83</v>
      </c>
      <c r="T1029" s="50">
        <f>IF(ISNUMBER(VLOOKUP(U1029,Blotter!B:C,2,0)),VLOOKUP(U1029,Blotter!B:C,2,0),"")</f>
        <v>53</v>
      </c>
      <c r="U1029" s="49" t="str">
        <f t="shared" si="1016"/>
        <v>NQM4</v>
      </c>
      <c r="V1029" s="49">
        <f t="shared" si="1017"/>
        <v>-2</v>
      </c>
      <c r="W1029" s="49">
        <f t="shared" si="1018"/>
        <v>17440</v>
      </c>
      <c r="X1029" s="49">
        <f t="shared" si="1019"/>
        <v>-4.4000000000000004</v>
      </c>
    </row>
    <row r="1030" spans="1:24" x14ac:dyDescent="0.4">
      <c r="A1030" s="1" t="s">
        <v>138</v>
      </c>
      <c r="B1030" s="1" t="s">
        <v>83</v>
      </c>
      <c r="C1030" s="1" t="s">
        <v>82</v>
      </c>
      <c r="D1030" s="1" t="s">
        <v>462</v>
      </c>
      <c r="E1030" s="1" t="s">
        <v>466</v>
      </c>
      <c r="F1030" s="1" t="s">
        <v>124</v>
      </c>
      <c r="G1030" s="1" t="s">
        <v>22</v>
      </c>
      <c r="H1030" s="1">
        <v>20</v>
      </c>
      <c r="J1030" s="51">
        <v>45464</v>
      </c>
      <c r="L1030" s="51">
        <v>45413</v>
      </c>
      <c r="M1030" s="1" t="s">
        <v>139</v>
      </c>
      <c r="N1030" s="1">
        <v>-2</v>
      </c>
      <c r="O1030" s="1">
        <v>17440</v>
      </c>
      <c r="P1030" s="1">
        <v>-697600</v>
      </c>
      <c r="Q1030" s="1">
        <v>-4.4000000000000004</v>
      </c>
      <c r="R1030" s="1" t="s">
        <v>83</v>
      </c>
      <c r="T1030" s="50">
        <f>IF(ISNUMBER(VLOOKUP(U1030,Blotter!B:C,2,0)),VLOOKUP(U1030,Blotter!B:C,2,0),"")</f>
        <v>53</v>
      </c>
      <c r="U1030" s="49" t="str">
        <f t="shared" si="1016"/>
        <v>NQM4</v>
      </c>
      <c r="V1030" s="49">
        <f t="shared" si="1017"/>
        <v>-2</v>
      </c>
      <c r="W1030" s="49">
        <f t="shared" si="1018"/>
        <v>17440</v>
      </c>
      <c r="X1030" s="49">
        <f t="shared" si="1019"/>
        <v>-4.4000000000000004</v>
      </c>
    </row>
    <row r="1031" spans="1:24" x14ac:dyDescent="0.4">
      <c r="A1031" s="1" t="s">
        <v>138</v>
      </c>
      <c r="B1031" s="1" t="s">
        <v>83</v>
      </c>
      <c r="C1031" s="1" t="s">
        <v>82</v>
      </c>
      <c r="D1031" s="1" t="s">
        <v>474</v>
      </c>
      <c r="E1031" s="1" t="s">
        <v>475</v>
      </c>
      <c r="F1031" s="1" t="s">
        <v>100</v>
      </c>
      <c r="G1031" s="1" t="s">
        <v>34</v>
      </c>
      <c r="H1031" s="1">
        <v>10</v>
      </c>
      <c r="J1031" s="51">
        <v>45490</v>
      </c>
      <c r="L1031" s="51">
        <v>45414</v>
      </c>
      <c r="M1031" s="1" t="s">
        <v>135</v>
      </c>
      <c r="N1031" s="1">
        <v>5</v>
      </c>
      <c r="O1031" s="1">
        <v>7700</v>
      </c>
      <c r="P1031" s="1">
        <v>385000</v>
      </c>
      <c r="Q1031" s="1">
        <v>-14.85</v>
      </c>
      <c r="R1031" s="1" t="s">
        <v>83</v>
      </c>
      <c r="T1031" s="50">
        <f>IF(ISNUMBER(VLOOKUP(U1031,Blotter!B:C,2,0)),VLOOKUP(U1031,Blotter!B:C,2,0),"")</f>
        <v>56</v>
      </c>
      <c r="U1031" s="49" t="str">
        <f t="shared" si="1016"/>
        <v>CCN4</v>
      </c>
      <c r="V1031" s="49">
        <f t="shared" si="1017"/>
        <v>5</v>
      </c>
      <c r="W1031" s="49">
        <f t="shared" si="1018"/>
        <v>7700</v>
      </c>
      <c r="X1031" s="49">
        <f t="shared" si="1019"/>
        <v>-14.85</v>
      </c>
    </row>
    <row r="1032" spans="1:24" x14ac:dyDescent="0.4">
      <c r="A1032" s="1" t="s">
        <v>138</v>
      </c>
      <c r="B1032" s="1" t="s">
        <v>83</v>
      </c>
      <c r="C1032" s="1" t="s">
        <v>82</v>
      </c>
      <c r="D1032" s="1" t="s">
        <v>474</v>
      </c>
      <c r="E1032" s="1" t="s">
        <v>475</v>
      </c>
      <c r="F1032" s="1" t="s">
        <v>100</v>
      </c>
      <c r="G1032" s="1" t="s">
        <v>34</v>
      </c>
      <c r="H1032" s="1">
        <v>10</v>
      </c>
      <c r="J1032" s="51">
        <v>45490</v>
      </c>
      <c r="L1032" s="51">
        <v>45414</v>
      </c>
      <c r="M1032" s="1" t="s">
        <v>135</v>
      </c>
      <c r="N1032" s="1">
        <v>1</v>
      </c>
      <c r="O1032" s="1">
        <v>7650</v>
      </c>
      <c r="P1032" s="1">
        <v>76500</v>
      </c>
      <c r="Q1032" s="1">
        <v>-2.97</v>
      </c>
      <c r="R1032" s="1" t="s">
        <v>83</v>
      </c>
      <c r="T1032" s="50">
        <f>IF(ISNUMBER(VLOOKUP(U1032,Blotter!B:C,2,0)),VLOOKUP(U1032,Blotter!B:C,2,0),"")</f>
        <v>56</v>
      </c>
      <c r="U1032" s="49" t="str">
        <f t="shared" si="1016"/>
        <v>CCN4</v>
      </c>
      <c r="V1032" s="49">
        <f t="shared" si="1017"/>
        <v>1</v>
      </c>
      <c r="W1032" s="49">
        <f t="shared" si="1018"/>
        <v>7650</v>
      </c>
      <c r="X1032" s="49">
        <f t="shared" si="1019"/>
        <v>-2.97</v>
      </c>
    </row>
    <row r="1033" spans="1:24" x14ac:dyDescent="0.4">
      <c r="A1033" s="1" t="s">
        <v>138</v>
      </c>
      <c r="B1033" s="1" t="s">
        <v>83</v>
      </c>
      <c r="C1033" s="1" t="s">
        <v>82</v>
      </c>
      <c r="D1033" s="1" t="s">
        <v>474</v>
      </c>
      <c r="E1033" s="1" t="s">
        <v>475</v>
      </c>
      <c r="F1033" s="1" t="s">
        <v>100</v>
      </c>
      <c r="G1033" s="1" t="s">
        <v>34</v>
      </c>
      <c r="H1033" s="1">
        <v>10</v>
      </c>
      <c r="J1033" s="51">
        <v>45490</v>
      </c>
      <c r="L1033" s="51">
        <v>45414</v>
      </c>
      <c r="M1033" s="1" t="s">
        <v>135</v>
      </c>
      <c r="N1033" s="1">
        <v>3</v>
      </c>
      <c r="O1033" s="1">
        <v>7650</v>
      </c>
      <c r="P1033" s="1">
        <v>229500</v>
      </c>
      <c r="Q1033" s="1">
        <v>-8.91</v>
      </c>
      <c r="R1033" s="1" t="s">
        <v>83</v>
      </c>
      <c r="T1033" s="50">
        <f>IF(ISNUMBER(VLOOKUP(U1033,Blotter!B:C,2,0)),VLOOKUP(U1033,Blotter!B:C,2,0),"")</f>
        <v>56</v>
      </c>
      <c r="U1033" s="49" t="str">
        <f t="shared" si="1016"/>
        <v>CCN4</v>
      </c>
      <c r="V1033" s="49">
        <f t="shared" si="1017"/>
        <v>3</v>
      </c>
      <c r="W1033" s="49">
        <f t="shared" si="1018"/>
        <v>7650</v>
      </c>
      <c r="X1033" s="49">
        <f t="shared" si="1019"/>
        <v>-8.91</v>
      </c>
    </row>
    <row r="1034" spans="1:24" x14ac:dyDescent="0.4">
      <c r="A1034" s="1" t="s">
        <v>138</v>
      </c>
      <c r="B1034" s="1" t="s">
        <v>83</v>
      </c>
      <c r="C1034" s="1" t="s">
        <v>82</v>
      </c>
      <c r="D1034" s="1" t="s">
        <v>474</v>
      </c>
      <c r="E1034" s="1" t="s">
        <v>475</v>
      </c>
      <c r="F1034" s="1" t="s">
        <v>100</v>
      </c>
      <c r="G1034" s="1" t="s">
        <v>34</v>
      </c>
      <c r="H1034" s="1">
        <v>10</v>
      </c>
      <c r="J1034" s="51">
        <v>45490</v>
      </c>
      <c r="L1034" s="51">
        <v>45414</v>
      </c>
      <c r="M1034" s="1" t="s">
        <v>135</v>
      </c>
      <c r="N1034" s="1">
        <v>1</v>
      </c>
      <c r="O1034" s="1">
        <v>7650</v>
      </c>
      <c r="P1034" s="1">
        <v>76500</v>
      </c>
      <c r="Q1034" s="1">
        <v>-2.97</v>
      </c>
      <c r="R1034" s="1" t="s">
        <v>83</v>
      </c>
      <c r="T1034" s="50">
        <f>IF(ISNUMBER(VLOOKUP(U1034,Blotter!B:C,2,0)),VLOOKUP(U1034,Blotter!B:C,2,0),"")</f>
        <v>56</v>
      </c>
      <c r="U1034" s="49" t="str">
        <f t="shared" si="1016"/>
        <v>CCN4</v>
      </c>
      <c r="V1034" s="49">
        <f t="shared" si="1017"/>
        <v>1</v>
      </c>
      <c r="W1034" s="49">
        <f t="shared" si="1018"/>
        <v>7650</v>
      </c>
      <c r="X1034" s="49">
        <f t="shared" si="1019"/>
        <v>-2.97</v>
      </c>
    </row>
    <row r="1035" spans="1:24" x14ac:dyDescent="0.4">
      <c r="A1035" s="1" t="s">
        <v>138</v>
      </c>
      <c r="B1035" s="1" t="s">
        <v>83</v>
      </c>
      <c r="C1035" s="1" t="s">
        <v>82</v>
      </c>
      <c r="D1035" s="1" t="s">
        <v>474</v>
      </c>
      <c r="E1035" s="1" t="s">
        <v>475</v>
      </c>
      <c r="F1035" s="1" t="s">
        <v>100</v>
      </c>
      <c r="G1035" s="1" t="s">
        <v>34</v>
      </c>
      <c r="H1035" s="1">
        <v>10</v>
      </c>
      <c r="J1035" s="51">
        <v>45490</v>
      </c>
      <c r="L1035" s="51">
        <v>45414</v>
      </c>
      <c r="M1035" s="1" t="s">
        <v>135</v>
      </c>
      <c r="N1035" s="1">
        <v>4</v>
      </c>
      <c r="O1035" s="1">
        <v>7650</v>
      </c>
      <c r="P1035" s="1">
        <v>306000</v>
      </c>
      <c r="Q1035" s="1">
        <v>-11.88</v>
      </c>
      <c r="R1035" s="1" t="s">
        <v>83</v>
      </c>
      <c r="T1035" s="50">
        <f>IF(ISNUMBER(VLOOKUP(U1035,Blotter!B:C,2,0)),VLOOKUP(U1035,Blotter!B:C,2,0),"")</f>
        <v>56</v>
      </c>
      <c r="U1035" s="49" t="str">
        <f t="shared" si="1016"/>
        <v>CCN4</v>
      </c>
      <c r="V1035" s="49">
        <f t="shared" si="1017"/>
        <v>4</v>
      </c>
      <c r="W1035" s="49">
        <f t="shared" si="1018"/>
        <v>7650</v>
      </c>
      <c r="X1035" s="49">
        <f t="shared" si="1019"/>
        <v>-11.88</v>
      </c>
    </row>
    <row r="1036" spans="1:24" x14ac:dyDescent="0.4">
      <c r="A1036" s="1" t="s">
        <v>138</v>
      </c>
      <c r="B1036" s="1" t="s">
        <v>83</v>
      </c>
      <c r="C1036" s="1" t="s">
        <v>82</v>
      </c>
      <c r="D1036" s="1" t="s">
        <v>474</v>
      </c>
      <c r="E1036" s="1" t="s">
        <v>475</v>
      </c>
      <c r="F1036" s="1" t="s">
        <v>100</v>
      </c>
      <c r="G1036" s="1" t="s">
        <v>34</v>
      </c>
      <c r="H1036" s="1">
        <v>10</v>
      </c>
      <c r="J1036" s="51">
        <v>45490</v>
      </c>
      <c r="L1036" s="51">
        <v>45414</v>
      </c>
      <c r="M1036" s="1" t="s">
        <v>135</v>
      </c>
      <c r="N1036" s="1">
        <v>1</v>
      </c>
      <c r="O1036" s="1">
        <v>7650</v>
      </c>
      <c r="P1036" s="1">
        <v>76500</v>
      </c>
      <c r="Q1036" s="1">
        <v>-2.97</v>
      </c>
      <c r="R1036" s="1" t="s">
        <v>83</v>
      </c>
      <c r="T1036" s="50">
        <f>IF(ISNUMBER(VLOOKUP(U1036,Blotter!B:C,2,0)),VLOOKUP(U1036,Blotter!B:C,2,0),"")</f>
        <v>56</v>
      </c>
      <c r="U1036" s="49" t="str">
        <f t="shared" si="1016"/>
        <v>CCN4</v>
      </c>
      <c r="V1036" s="49">
        <f t="shared" si="1017"/>
        <v>1</v>
      </c>
      <c r="W1036" s="49">
        <f t="shared" si="1018"/>
        <v>7650</v>
      </c>
      <c r="X1036" s="49">
        <f t="shared" si="1019"/>
        <v>-2.97</v>
      </c>
    </row>
    <row r="1037" spans="1:24" x14ac:dyDescent="0.4">
      <c r="A1037" s="1" t="s">
        <v>138</v>
      </c>
      <c r="B1037" s="1" t="s">
        <v>83</v>
      </c>
      <c r="C1037" s="1" t="s">
        <v>82</v>
      </c>
      <c r="D1037" s="1" t="s">
        <v>474</v>
      </c>
      <c r="E1037" s="1" t="s">
        <v>475</v>
      </c>
      <c r="F1037" s="1" t="s">
        <v>100</v>
      </c>
      <c r="G1037" s="1" t="s">
        <v>34</v>
      </c>
      <c r="H1037" s="1">
        <v>10</v>
      </c>
      <c r="J1037" s="51">
        <v>45490</v>
      </c>
      <c r="L1037" s="51">
        <v>45414</v>
      </c>
      <c r="M1037" s="1" t="s">
        <v>139</v>
      </c>
      <c r="N1037" s="1">
        <v>-5</v>
      </c>
      <c r="O1037" s="1">
        <v>7705</v>
      </c>
      <c r="P1037" s="1">
        <v>-385250</v>
      </c>
      <c r="Q1037" s="1">
        <v>-14.85</v>
      </c>
      <c r="R1037" s="1" t="s">
        <v>83</v>
      </c>
      <c r="T1037" s="50">
        <f>IF(ISNUMBER(VLOOKUP(U1037,Blotter!B:C,2,0)),VLOOKUP(U1037,Blotter!B:C,2,0),"")</f>
        <v>56</v>
      </c>
      <c r="U1037" s="49" t="str">
        <f t="shared" si="1016"/>
        <v>CCN4</v>
      </c>
      <c r="V1037" s="49">
        <f t="shared" si="1017"/>
        <v>-5</v>
      </c>
      <c r="W1037" s="49">
        <f t="shared" si="1018"/>
        <v>7705</v>
      </c>
      <c r="X1037" s="49">
        <f t="shared" si="1019"/>
        <v>-14.85</v>
      </c>
    </row>
    <row r="1038" spans="1:24" x14ac:dyDescent="0.4">
      <c r="A1038" s="1" t="s">
        <v>138</v>
      </c>
      <c r="B1038" s="1" t="s">
        <v>83</v>
      </c>
      <c r="C1038" s="1" t="s">
        <v>82</v>
      </c>
      <c r="D1038" s="1" t="s">
        <v>474</v>
      </c>
      <c r="E1038" s="1" t="s">
        <v>475</v>
      </c>
      <c r="F1038" s="1" t="s">
        <v>100</v>
      </c>
      <c r="G1038" s="1" t="s">
        <v>34</v>
      </c>
      <c r="H1038" s="1">
        <v>10</v>
      </c>
      <c r="J1038" s="51">
        <v>45490</v>
      </c>
      <c r="L1038" s="51">
        <v>45414</v>
      </c>
      <c r="M1038" s="1" t="s">
        <v>139</v>
      </c>
      <c r="N1038" s="1">
        <v>-1</v>
      </c>
      <c r="O1038" s="1">
        <v>8100</v>
      </c>
      <c r="P1038" s="1">
        <v>-81000</v>
      </c>
      <c r="Q1038" s="1">
        <v>-2.97</v>
      </c>
      <c r="R1038" s="1" t="s">
        <v>83</v>
      </c>
      <c r="T1038" s="50">
        <f>IF(ISNUMBER(VLOOKUP(U1038,Blotter!B:C,2,0)),VLOOKUP(U1038,Blotter!B:C,2,0),"")</f>
        <v>56</v>
      </c>
      <c r="U1038" s="49" t="str">
        <f t="shared" si="1016"/>
        <v>CCN4</v>
      </c>
      <c r="V1038" s="49">
        <f t="shared" si="1017"/>
        <v>-1</v>
      </c>
      <c r="W1038" s="49">
        <f t="shared" si="1018"/>
        <v>8100</v>
      </c>
      <c r="X1038" s="49">
        <f t="shared" si="1019"/>
        <v>-2.97</v>
      </c>
    </row>
    <row r="1039" spans="1:24" x14ac:dyDescent="0.4">
      <c r="A1039" s="1" t="s">
        <v>138</v>
      </c>
      <c r="B1039" s="1" t="s">
        <v>83</v>
      </c>
      <c r="C1039" s="1" t="s">
        <v>82</v>
      </c>
      <c r="D1039" s="1" t="s">
        <v>474</v>
      </c>
      <c r="E1039" s="1" t="s">
        <v>475</v>
      </c>
      <c r="F1039" s="1" t="s">
        <v>100</v>
      </c>
      <c r="G1039" s="1" t="s">
        <v>34</v>
      </c>
      <c r="H1039" s="1">
        <v>10</v>
      </c>
      <c r="J1039" s="51">
        <v>45490</v>
      </c>
      <c r="L1039" s="51">
        <v>45414</v>
      </c>
      <c r="M1039" s="1" t="s">
        <v>139</v>
      </c>
      <c r="N1039" s="1">
        <v>-2</v>
      </c>
      <c r="O1039" s="1">
        <v>8100</v>
      </c>
      <c r="P1039" s="1">
        <v>-162000</v>
      </c>
      <c r="Q1039" s="1">
        <v>-5.94</v>
      </c>
      <c r="R1039" s="1" t="s">
        <v>83</v>
      </c>
      <c r="T1039" s="50">
        <f>IF(ISNUMBER(VLOOKUP(U1039,Blotter!B:C,2,0)),VLOOKUP(U1039,Blotter!B:C,2,0),"")</f>
        <v>56</v>
      </c>
      <c r="U1039" s="49" t="str">
        <f t="shared" si="1016"/>
        <v>CCN4</v>
      </c>
      <c r="V1039" s="49">
        <f t="shared" si="1017"/>
        <v>-2</v>
      </c>
      <c r="W1039" s="49">
        <f t="shared" si="1018"/>
        <v>8100</v>
      </c>
      <c r="X1039" s="49">
        <f t="shared" si="1019"/>
        <v>-5.94</v>
      </c>
    </row>
    <row r="1040" spans="1:24" x14ac:dyDescent="0.4">
      <c r="A1040" s="1" t="s">
        <v>138</v>
      </c>
      <c r="B1040" s="1" t="s">
        <v>83</v>
      </c>
      <c r="C1040" s="1" t="s">
        <v>82</v>
      </c>
      <c r="D1040" s="1" t="s">
        <v>474</v>
      </c>
      <c r="E1040" s="1" t="s">
        <v>475</v>
      </c>
      <c r="F1040" s="1" t="s">
        <v>100</v>
      </c>
      <c r="G1040" s="1" t="s">
        <v>34</v>
      </c>
      <c r="H1040" s="1">
        <v>10</v>
      </c>
      <c r="J1040" s="51">
        <v>45490</v>
      </c>
      <c r="L1040" s="51">
        <v>45414</v>
      </c>
      <c r="M1040" s="1" t="s">
        <v>139</v>
      </c>
      <c r="N1040" s="1">
        <v>-1</v>
      </c>
      <c r="O1040" s="1">
        <v>8100</v>
      </c>
      <c r="P1040" s="1">
        <v>-81000</v>
      </c>
      <c r="Q1040" s="1">
        <v>-2.97</v>
      </c>
      <c r="R1040" s="1" t="s">
        <v>83</v>
      </c>
      <c r="T1040" s="50">
        <f>IF(ISNUMBER(VLOOKUP(U1040,Blotter!B:C,2,0)),VLOOKUP(U1040,Blotter!B:C,2,0),"")</f>
        <v>56</v>
      </c>
      <c r="U1040" s="49" t="str">
        <f t="shared" si="1016"/>
        <v>CCN4</v>
      </c>
      <c r="V1040" s="49">
        <f t="shared" si="1017"/>
        <v>-1</v>
      </c>
      <c r="W1040" s="49">
        <f t="shared" si="1018"/>
        <v>8100</v>
      </c>
      <c r="X1040" s="49">
        <f t="shared" si="1019"/>
        <v>-2.97</v>
      </c>
    </row>
    <row r="1041" spans="1:24" x14ac:dyDescent="0.4">
      <c r="A1041" s="1" t="s">
        <v>138</v>
      </c>
      <c r="B1041" s="1" t="s">
        <v>83</v>
      </c>
      <c r="C1041" s="1" t="s">
        <v>82</v>
      </c>
      <c r="D1041" s="1" t="s">
        <v>474</v>
      </c>
      <c r="E1041" s="1" t="s">
        <v>475</v>
      </c>
      <c r="F1041" s="1" t="s">
        <v>100</v>
      </c>
      <c r="G1041" s="1" t="s">
        <v>34</v>
      </c>
      <c r="H1041" s="1">
        <v>10</v>
      </c>
      <c r="J1041" s="51">
        <v>45490</v>
      </c>
      <c r="L1041" s="51">
        <v>45414</v>
      </c>
      <c r="M1041" s="1" t="s">
        <v>139</v>
      </c>
      <c r="N1041" s="1">
        <v>-1</v>
      </c>
      <c r="O1041" s="1">
        <v>8100</v>
      </c>
      <c r="P1041" s="1">
        <v>-81000</v>
      </c>
      <c r="Q1041" s="1">
        <v>-2.97</v>
      </c>
      <c r="R1041" s="1" t="s">
        <v>83</v>
      </c>
      <c r="T1041" s="50">
        <f>IF(ISNUMBER(VLOOKUP(U1041,Blotter!B:C,2,0)),VLOOKUP(U1041,Blotter!B:C,2,0),"")</f>
        <v>56</v>
      </c>
      <c r="U1041" s="49" t="str">
        <f t="shared" si="1016"/>
        <v>CCN4</v>
      </c>
      <c r="V1041" s="49">
        <f t="shared" si="1017"/>
        <v>-1</v>
      </c>
      <c r="W1041" s="49">
        <f t="shared" si="1018"/>
        <v>8100</v>
      </c>
      <c r="X1041" s="49">
        <f t="shared" si="1019"/>
        <v>-2.97</v>
      </c>
    </row>
    <row r="1042" spans="1:24" x14ac:dyDescent="0.4">
      <c r="A1042" s="1" t="s">
        <v>138</v>
      </c>
      <c r="B1042" s="1" t="s">
        <v>83</v>
      </c>
      <c r="C1042" s="1" t="s">
        <v>82</v>
      </c>
      <c r="D1042" s="1" t="s">
        <v>471</v>
      </c>
      <c r="E1042" s="1" t="s">
        <v>472</v>
      </c>
      <c r="F1042" s="1" t="s">
        <v>100</v>
      </c>
      <c r="G1042" s="1" t="s">
        <v>101</v>
      </c>
      <c r="H1042" s="1">
        <v>50000</v>
      </c>
      <c r="J1042" s="51">
        <v>45489</v>
      </c>
      <c r="L1042" s="51">
        <v>45414</v>
      </c>
      <c r="M1042" s="1" t="s">
        <v>135</v>
      </c>
      <c r="N1042" s="1">
        <v>5</v>
      </c>
      <c r="O1042" s="59">
        <v>76.55</v>
      </c>
      <c r="P1042" s="1">
        <v>191375</v>
      </c>
      <c r="Q1042" s="1">
        <v>-14.85</v>
      </c>
      <c r="R1042" s="1" t="s">
        <v>83</v>
      </c>
      <c r="T1042" s="50">
        <f>IF(ISNUMBER(VLOOKUP(U1042,Blotter!B:C,2,0)),VLOOKUP(U1042,Blotter!B:C,2,0),"")</f>
        <v>46</v>
      </c>
      <c r="U1042" s="49" t="str">
        <f t="shared" si="1016"/>
        <v>CTN4</v>
      </c>
      <c r="V1042" s="49">
        <f t="shared" si="1017"/>
        <v>5</v>
      </c>
      <c r="W1042" s="49">
        <f t="shared" si="1018"/>
        <v>76.55</v>
      </c>
      <c r="X1042" s="49">
        <f t="shared" si="1019"/>
        <v>-14.85</v>
      </c>
    </row>
    <row r="1043" spans="1:24" x14ac:dyDescent="0.4">
      <c r="A1043" s="1" t="s">
        <v>138</v>
      </c>
      <c r="B1043" s="1" t="s">
        <v>83</v>
      </c>
      <c r="C1043" s="1" t="s">
        <v>82</v>
      </c>
      <c r="D1043" s="1" t="s">
        <v>462</v>
      </c>
      <c r="E1043" s="1" t="s">
        <v>466</v>
      </c>
      <c r="F1043" s="1" t="s">
        <v>124</v>
      </c>
      <c r="G1043" s="1" t="s">
        <v>22</v>
      </c>
      <c r="H1043" s="1">
        <v>20</v>
      </c>
      <c r="J1043" s="51">
        <v>45464</v>
      </c>
      <c r="L1043" s="51">
        <v>45414</v>
      </c>
      <c r="M1043" s="1" t="s">
        <v>135</v>
      </c>
      <c r="N1043" s="1">
        <v>5</v>
      </c>
      <c r="O1043" s="1">
        <v>17560</v>
      </c>
      <c r="P1043" s="1">
        <v>1756000</v>
      </c>
      <c r="Q1043" s="1">
        <v>-11</v>
      </c>
      <c r="R1043" s="1" t="s">
        <v>83</v>
      </c>
      <c r="T1043" s="50">
        <f>IF(ISNUMBER(VLOOKUP(U1043,Blotter!B:C,2,0)),VLOOKUP(U1043,Blotter!B:C,2,0),"")</f>
        <v>53</v>
      </c>
      <c r="U1043" s="49" t="str">
        <f t="shared" si="1016"/>
        <v>NQM4</v>
      </c>
      <c r="V1043" s="49">
        <f t="shared" si="1017"/>
        <v>5</v>
      </c>
      <c r="W1043" s="49">
        <f t="shared" si="1018"/>
        <v>17560</v>
      </c>
      <c r="X1043" s="49">
        <f t="shared" si="1019"/>
        <v>-11</v>
      </c>
    </row>
    <row r="1044" spans="1:24" x14ac:dyDescent="0.4">
      <c r="A1044" s="1" t="s">
        <v>138</v>
      </c>
      <c r="B1044" s="1" t="s">
        <v>83</v>
      </c>
      <c r="C1044" s="1" t="s">
        <v>82</v>
      </c>
      <c r="D1044" s="1" t="s">
        <v>462</v>
      </c>
      <c r="E1044" s="1" t="s">
        <v>466</v>
      </c>
      <c r="F1044" s="1" t="s">
        <v>124</v>
      </c>
      <c r="G1044" s="1" t="s">
        <v>22</v>
      </c>
      <c r="H1044" s="1">
        <v>20</v>
      </c>
      <c r="J1044" s="51">
        <v>45464</v>
      </c>
      <c r="L1044" s="51">
        <v>45414</v>
      </c>
      <c r="M1044" s="1" t="s">
        <v>139</v>
      </c>
      <c r="N1044" s="1">
        <v>-2</v>
      </c>
      <c r="O1044" s="1">
        <v>17720</v>
      </c>
      <c r="P1044" s="1">
        <v>-708800</v>
      </c>
      <c r="Q1044" s="1">
        <v>-4.4000000000000004</v>
      </c>
      <c r="R1044" s="1" t="s">
        <v>83</v>
      </c>
      <c r="T1044" s="50">
        <f>IF(ISNUMBER(VLOOKUP(U1044,Blotter!B:C,2,0)),VLOOKUP(U1044,Blotter!B:C,2,0),"")</f>
        <v>53</v>
      </c>
      <c r="U1044" s="49" t="str">
        <f t="shared" si="1016"/>
        <v>NQM4</v>
      </c>
      <c r="V1044" s="49">
        <f t="shared" si="1017"/>
        <v>-2</v>
      </c>
      <c r="W1044" s="49">
        <f t="shared" si="1018"/>
        <v>17720</v>
      </c>
      <c r="X1044" s="49">
        <f t="shared" si="1019"/>
        <v>-4.4000000000000004</v>
      </c>
    </row>
    <row r="1045" spans="1:24" x14ac:dyDescent="0.4">
      <c r="A1045" s="1" t="s">
        <v>138</v>
      </c>
      <c r="B1045" s="1" t="s">
        <v>83</v>
      </c>
      <c r="C1045" s="1" t="s">
        <v>117</v>
      </c>
      <c r="D1045" s="1" t="s">
        <v>407</v>
      </c>
      <c r="E1045" s="1" t="s">
        <v>409</v>
      </c>
      <c r="F1045" s="1" t="s">
        <v>408</v>
      </c>
      <c r="H1045" s="1">
        <v>1</v>
      </c>
      <c r="L1045" s="51">
        <v>45415</v>
      </c>
      <c r="M1045" s="1" t="s">
        <v>139</v>
      </c>
      <c r="N1045" s="1">
        <v>-618</v>
      </c>
      <c r="O1045" s="1">
        <v>66.099999999999994</v>
      </c>
      <c r="P1045" s="1">
        <v>-40849.800000000003</v>
      </c>
      <c r="Q1045" s="1">
        <v>-3.5193864000000001</v>
      </c>
      <c r="R1045" s="1" t="s">
        <v>83</v>
      </c>
      <c r="T1045" s="50">
        <f>IF(ISNUMBER(VLOOKUP(U1045,Blotter!B:C,2,0)),VLOOKUP(U1045,Blotter!B:C,2,0),"")</f>
        <v>40</v>
      </c>
      <c r="U1045" s="49" t="str">
        <f t="shared" ref="U1045" si="1020">D1045</f>
        <v>CYTK</v>
      </c>
      <c r="V1045" s="49">
        <f t="shared" ref="V1045" si="1021">N1045</f>
        <v>-618</v>
      </c>
      <c r="W1045" s="49">
        <f t="shared" ref="W1045" si="1022">O1045</f>
        <v>66.099999999999994</v>
      </c>
      <c r="X1045" s="49">
        <f t="shared" ref="X1045" si="1023">Q1045</f>
        <v>-3.5193864000000001</v>
      </c>
    </row>
    <row r="1046" spans="1:24" x14ac:dyDescent="0.4">
      <c r="A1046" s="1" t="s">
        <v>138</v>
      </c>
      <c r="B1046" s="1" t="s">
        <v>83</v>
      </c>
      <c r="C1046" s="1" t="s">
        <v>117</v>
      </c>
      <c r="D1046" s="1" t="s">
        <v>407</v>
      </c>
      <c r="E1046" s="1" t="s">
        <v>409</v>
      </c>
      <c r="F1046" s="1" t="s">
        <v>408</v>
      </c>
      <c r="H1046" s="1">
        <v>1</v>
      </c>
      <c r="L1046" s="51">
        <v>45415</v>
      </c>
      <c r="M1046" s="1" t="s">
        <v>139</v>
      </c>
      <c r="N1046" s="1">
        <v>-200</v>
      </c>
      <c r="O1046" s="1">
        <v>66.099999999999994</v>
      </c>
      <c r="P1046" s="1">
        <v>-13220</v>
      </c>
      <c r="Q1046" s="1">
        <v>-1.13896</v>
      </c>
      <c r="R1046" s="1" t="s">
        <v>83</v>
      </c>
      <c r="T1046" s="50">
        <f>IF(ISNUMBER(VLOOKUP(U1046,Blotter!B:C,2,0)),VLOOKUP(U1046,Blotter!B:C,2,0),"")</f>
        <v>40</v>
      </c>
      <c r="U1046" s="49" t="str">
        <f t="shared" ref="U1046" si="1024">D1046</f>
        <v>CYTK</v>
      </c>
      <c r="V1046" s="49">
        <f t="shared" ref="V1046" si="1025">N1046</f>
        <v>-200</v>
      </c>
      <c r="W1046" s="49">
        <f t="shared" ref="W1046" si="1026">O1046</f>
        <v>66.099999999999994</v>
      </c>
      <c r="X1046" s="49">
        <f t="shared" ref="X1046" si="1027">Q1046</f>
        <v>-1.13896</v>
      </c>
    </row>
    <row r="1047" spans="1:24" x14ac:dyDescent="0.4">
      <c r="A1047" s="1" t="s">
        <v>138</v>
      </c>
      <c r="B1047" s="1" t="s">
        <v>83</v>
      </c>
      <c r="C1047" s="1" t="s">
        <v>117</v>
      </c>
      <c r="D1047" s="1" t="s">
        <v>407</v>
      </c>
      <c r="E1047" s="1" t="s">
        <v>409</v>
      </c>
      <c r="F1047" s="1" t="s">
        <v>408</v>
      </c>
      <c r="H1047" s="1">
        <v>1</v>
      </c>
      <c r="L1047" s="51">
        <v>45415</v>
      </c>
      <c r="M1047" s="1" t="s">
        <v>139</v>
      </c>
      <c r="N1047" s="1">
        <v>-182</v>
      </c>
      <c r="O1047" s="1">
        <v>66.099999999999994</v>
      </c>
      <c r="P1047" s="1">
        <v>-12030.2</v>
      </c>
      <c r="Q1047" s="1">
        <v>-1.0364536</v>
      </c>
      <c r="R1047" s="1" t="s">
        <v>83</v>
      </c>
      <c r="T1047" s="50">
        <f>IF(ISNUMBER(VLOOKUP(U1047,Blotter!B:C,2,0)),VLOOKUP(U1047,Blotter!B:C,2,0),"")</f>
        <v>40</v>
      </c>
      <c r="U1047" s="49" t="str">
        <f t="shared" ref="U1047" si="1028">D1047</f>
        <v>CYTK</v>
      </c>
      <c r="V1047" s="49">
        <f t="shared" ref="V1047" si="1029">N1047</f>
        <v>-182</v>
      </c>
      <c r="W1047" s="49">
        <f t="shared" ref="W1047" si="1030">O1047</f>
        <v>66.099999999999994</v>
      </c>
      <c r="X1047" s="49">
        <f t="shared" ref="X1047" si="1031">Q1047</f>
        <v>-1.0364536</v>
      </c>
    </row>
    <row r="1048" spans="1:24" x14ac:dyDescent="0.4">
      <c r="A1048" s="1" t="s">
        <v>138</v>
      </c>
      <c r="B1048" s="1" t="s">
        <v>83</v>
      </c>
      <c r="C1048" s="1" t="s">
        <v>82</v>
      </c>
      <c r="D1048" s="1" t="s">
        <v>474</v>
      </c>
      <c r="E1048" s="1" t="s">
        <v>475</v>
      </c>
      <c r="F1048" s="1" t="s">
        <v>100</v>
      </c>
      <c r="G1048" s="1" t="s">
        <v>34</v>
      </c>
      <c r="H1048" s="1">
        <v>10</v>
      </c>
      <c r="J1048" s="51">
        <v>45490</v>
      </c>
      <c r="L1048" s="51">
        <v>45415</v>
      </c>
      <c r="M1048" s="1" t="s">
        <v>139</v>
      </c>
      <c r="N1048" s="1">
        <v>-1</v>
      </c>
      <c r="O1048" s="1">
        <v>7700</v>
      </c>
      <c r="P1048" s="1">
        <v>-77000</v>
      </c>
      <c r="Q1048" s="1">
        <v>-2.97</v>
      </c>
      <c r="R1048" s="1" t="s">
        <v>83</v>
      </c>
      <c r="T1048" s="50">
        <f>IF(ISNUMBER(VLOOKUP(U1048,Blotter!B:C,2,0)),VLOOKUP(U1048,Blotter!B:C,2,0),"")</f>
        <v>56</v>
      </c>
      <c r="U1048" s="49" t="str">
        <f t="shared" ref="U1048" si="1032">D1048</f>
        <v>CCN4</v>
      </c>
      <c r="V1048" s="49">
        <f t="shared" ref="V1048" si="1033">N1048</f>
        <v>-1</v>
      </c>
      <c r="W1048" s="49">
        <f t="shared" ref="W1048" si="1034">O1048</f>
        <v>7700</v>
      </c>
      <c r="X1048" s="49">
        <f t="shared" ref="X1048" si="1035">Q1048</f>
        <v>-2.97</v>
      </c>
    </row>
    <row r="1049" spans="1:24" x14ac:dyDescent="0.4">
      <c r="A1049" s="1" t="s">
        <v>138</v>
      </c>
      <c r="B1049" s="1" t="s">
        <v>83</v>
      </c>
      <c r="C1049" s="1" t="s">
        <v>82</v>
      </c>
      <c r="D1049" s="1" t="s">
        <v>474</v>
      </c>
      <c r="E1049" s="1" t="s">
        <v>475</v>
      </c>
      <c r="F1049" s="1" t="s">
        <v>100</v>
      </c>
      <c r="G1049" s="1" t="s">
        <v>34</v>
      </c>
      <c r="H1049" s="1">
        <v>10</v>
      </c>
      <c r="J1049" s="51">
        <v>45490</v>
      </c>
      <c r="L1049" s="51">
        <v>45415</v>
      </c>
      <c r="M1049" s="1" t="s">
        <v>139</v>
      </c>
      <c r="N1049" s="1">
        <v>-4</v>
      </c>
      <c r="O1049" s="1">
        <v>7700</v>
      </c>
      <c r="P1049" s="1">
        <v>-308000</v>
      </c>
      <c r="Q1049" s="1">
        <v>-11.88</v>
      </c>
      <c r="R1049" s="1" t="s">
        <v>83</v>
      </c>
      <c r="T1049" s="50">
        <f>IF(ISNUMBER(VLOOKUP(U1049,Blotter!B:C,2,0)),VLOOKUP(U1049,Blotter!B:C,2,0),"")</f>
        <v>56</v>
      </c>
      <c r="U1049" s="49" t="str">
        <f t="shared" ref="U1049:U1052" si="1036">D1049</f>
        <v>CCN4</v>
      </c>
      <c r="V1049" s="49">
        <f t="shared" ref="V1049:V1052" si="1037">N1049</f>
        <v>-4</v>
      </c>
      <c r="W1049" s="49">
        <f t="shared" ref="W1049:W1052" si="1038">O1049</f>
        <v>7700</v>
      </c>
      <c r="X1049" s="49">
        <f t="shared" ref="X1049:X1052" si="1039">Q1049</f>
        <v>-11.88</v>
      </c>
    </row>
    <row r="1050" spans="1:24" x14ac:dyDescent="0.4">
      <c r="A1050" s="1" t="s">
        <v>138</v>
      </c>
      <c r="B1050" s="1" t="s">
        <v>83</v>
      </c>
      <c r="C1050" s="1" t="s">
        <v>82</v>
      </c>
      <c r="D1050" s="1" t="s">
        <v>471</v>
      </c>
      <c r="E1050" s="1" t="s">
        <v>472</v>
      </c>
      <c r="F1050" s="1" t="s">
        <v>100</v>
      </c>
      <c r="G1050" s="1" t="s">
        <v>101</v>
      </c>
      <c r="H1050" s="1">
        <v>50000</v>
      </c>
      <c r="J1050" s="51">
        <v>45489</v>
      </c>
      <c r="L1050" s="51">
        <v>45415</v>
      </c>
      <c r="M1050" s="1" t="s">
        <v>139</v>
      </c>
      <c r="N1050" s="1">
        <v>-5</v>
      </c>
      <c r="O1050" s="59">
        <v>78.62</v>
      </c>
      <c r="P1050" s="1">
        <v>-196550</v>
      </c>
      <c r="Q1050" s="1">
        <v>-14.85</v>
      </c>
      <c r="R1050" s="1" t="s">
        <v>83</v>
      </c>
      <c r="T1050" s="50">
        <f>IF(ISNUMBER(VLOOKUP(U1050,Blotter!B:C,2,0)),VLOOKUP(U1050,Blotter!B:C,2,0),"")</f>
        <v>46</v>
      </c>
      <c r="U1050" s="49" t="str">
        <f t="shared" si="1036"/>
        <v>CTN4</v>
      </c>
      <c r="V1050" s="49">
        <f t="shared" si="1037"/>
        <v>-5</v>
      </c>
      <c r="W1050" s="49">
        <f t="shared" si="1038"/>
        <v>78.62</v>
      </c>
      <c r="X1050" s="49">
        <f t="shared" si="1039"/>
        <v>-14.85</v>
      </c>
    </row>
    <row r="1051" spans="1:24" x14ac:dyDescent="0.4">
      <c r="A1051" s="1" t="s">
        <v>138</v>
      </c>
      <c r="B1051" s="1" t="s">
        <v>83</v>
      </c>
      <c r="C1051" s="1" t="s">
        <v>82</v>
      </c>
      <c r="D1051" s="1" t="s">
        <v>471</v>
      </c>
      <c r="E1051" s="1" t="s">
        <v>472</v>
      </c>
      <c r="F1051" s="1" t="s">
        <v>100</v>
      </c>
      <c r="G1051" s="1" t="s">
        <v>101</v>
      </c>
      <c r="H1051" s="1">
        <v>50000</v>
      </c>
      <c r="J1051" s="51">
        <v>45489</v>
      </c>
      <c r="L1051" s="51">
        <v>45415</v>
      </c>
      <c r="M1051" s="1" t="s">
        <v>139</v>
      </c>
      <c r="N1051" s="1">
        <v>-5</v>
      </c>
      <c r="O1051" s="59">
        <v>78.62</v>
      </c>
      <c r="P1051" s="1">
        <v>-196550</v>
      </c>
      <c r="Q1051" s="1">
        <v>-14.85</v>
      </c>
      <c r="R1051" s="1" t="s">
        <v>83</v>
      </c>
      <c r="T1051" s="50">
        <f>IF(ISNUMBER(VLOOKUP(U1051,Blotter!B:C,2,0)),VLOOKUP(U1051,Blotter!B:C,2,0),"")</f>
        <v>46</v>
      </c>
      <c r="U1051" s="49" t="str">
        <f t="shared" si="1036"/>
        <v>CTN4</v>
      </c>
      <c r="V1051" s="49">
        <f t="shared" si="1037"/>
        <v>-5</v>
      </c>
      <c r="W1051" s="49">
        <f t="shared" si="1038"/>
        <v>78.62</v>
      </c>
      <c r="X1051" s="49">
        <f t="shared" si="1039"/>
        <v>-14.85</v>
      </c>
    </row>
    <row r="1052" spans="1:24" x14ac:dyDescent="0.4">
      <c r="A1052" s="1" t="s">
        <v>138</v>
      </c>
      <c r="B1052" s="1" t="s">
        <v>83</v>
      </c>
      <c r="C1052" s="1" t="s">
        <v>82</v>
      </c>
      <c r="D1052" s="1" t="s">
        <v>462</v>
      </c>
      <c r="E1052" s="1" t="s">
        <v>466</v>
      </c>
      <c r="F1052" s="1" t="s">
        <v>124</v>
      </c>
      <c r="G1052" s="1" t="s">
        <v>22</v>
      </c>
      <c r="H1052" s="1">
        <v>20</v>
      </c>
      <c r="J1052" s="51">
        <v>45464</v>
      </c>
      <c r="L1052" s="51">
        <v>45415</v>
      </c>
      <c r="M1052" s="1" t="s">
        <v>139</v>
      </c>
      <c r="N1052" s="1">
        <v>-3</v>
      </c>
      <c r="O1052" s="1">
        <v>17800</v>
      </c>
      <c r="P1052" s="1">
        <v>-1068000</v>
      </c>
      <c r="Q1052" s="1">
        <v>-6.6</v>
      </c>
      <c r="R1052" s="1" t="s">
        <v>83</v>
      </c>
      <c r="T1052" s="50">
        <f>IF(ISNUMBER(VLOOKUP(U1052,Blotter!B:C,2,0)),VLOOKUP(U1052,Blotter!B:C,2,0),"")</f>
        <v>53</v>
      </c>
      <c r="U1052" s="49" t="str">
        <f t="shared" si="1036"/>
        <v>NQM4</v>
      </c>
      <c r="V1052" s="49">
        <f t="shared" si="1037"/>
        <v>-3</v>
      </c>
      <c r="W1052" s="49">
        <f t="shared" si="1038"/>
        <v>17800</v>
      </c>
      <c r="X1052" s="49">
        <f t="shared" si="1039"/>
        <v>-6.6</v>
      </c>
    </row>
    <row r="1053" spans="1:24" x14ac:dyDescent="0.4">
      <c r="A1053" s="1" t="s">
        <v>138</v>
      </c>
      <c r="B1053" s="1" t="s">
        <v>83</v>
      </c>
      <c r="C1053" s="1" t="s">
        <v>82</v>
      </c>
      <c r="D1053" s="1" t="s">
        <v>474</v>
      </c>
      <c r="E1053" s="1" t="s">
        <v>475</v>
      </c>
      <c r="F1053" s="1" t="s">
        <v>100</v>
      </c>
      <c r="G1053" s="1" t="s">
        <v>34</v>
      </c>
      <c r="H1053" s="1">
        <v>10</v>
      </c>
      <c r="J1053" s="51">
        <v>45490</v>
      </c>
      <c r="L1053" s="51">
        <v>45418</v>
      </c>
      <c r="M1053" s="1" t="s">
        <v>135</v>
      </c>
      <c r="N1053" s="1">
        <v>2</v>
      </c>
      <c r="O1053" s="1">
        <v>7600</v>
      </c>
      <c r="P1053" s="1">
        <v>152000</v>
      </c>
      <c r="Q1053" s="1">
        <v>-5.94</v>
      </c>
      <c r="R1053" s="1" t="s">
        <v>83</v>
      </c>
      <c r="T1053" s="50">
        <f>IF(ISNUMBER(VLOOKUP(U1053,Blotter!B:C,2,0)),VLOOKUP(U1053,Blotter!B:C,2,0),"")</f>
        <v>56</v>
      </c>
      <c r="U1053" s="49" t="str">
        <f t="shared" ref="U1053:U1054" si="1040">D1053</f>
        <v>CCN4</v>
      </c>
      <c r="V1053" s="49">
        <f t="shared" ref="V1053:V1054" si="1041">N1053</f>
        <v>2</v>
      </c>
      <c r="W1053" s="49">
        <f t="shared" ref="W1053:W1054" si="1042">O1053</f>
        <v>7600</v>
      </c>
      <c r="X1053" s="49">
        <f t="shared" ref="X1053:X1054" si="1043">Q1053</f>
        <v>-5.94</v>
      </c>
    </row>
    <row r="1054" spans="1:24" x14ac:dyDescent="0.4">
      <c r="A1054" s="1" t="s">
        <v>138</v>
      </c>
      <c r="B1054" s="1" t="s">
        <v>83</v>
      </c>
      <c r="C1054" s="1" t="s">
        <v>82</v>
      </c>
      <c r="D1054" s="1" t="s">
        <v>474</v>
      </c>
      <c r="E1054" s="1" t="s">
        <v>475</v>
      </c>
      <c r="F1054" s="1" t="s">
        <v>100</v>
      </c>
      <c r="G1054" s="1" t="s">
        <v>34</v>
      </c>
      <c r="H1054" s="1">
        <v>10</v>
      </c>
      <c r="J1054" s="51">
        <v>45490</v>
      </c>
      <c r="L1054" s="51">
        <v>45418</v>
      </c>
      <c r="M1054" s="1" t="s">
        <v>135</v>
      </c>
      <c r="N1054" s="1">
        <v>1</v>
      </c>
      <c r="O1054" s="1">
        <v>7600</v>
      </c>
      <c r="P1054" s="1">
        <v>76000</v>
      </c>
      <c r="Q1054" s="1">
        <v>-2.97</v>
      </c>
      <c r="R1054" s="1" t="s">
        <v>83</v>
      </c>
      <c r="T1054" s="50">
        <f>IF(ISNUMBER(VLOOKUP(U1054,Blotter!B:C,2,0)),VLOOKUP(U1054,Blotter!B:C,2,0),"")</f>
        <v>56</v>
      </c>
      <c r="U1054" s="49" t="str">
        <f t="shared" si="1040"/>
        <v>CCN4</v>
      </c>
      <c r="V1054" s="49">
        <f t="shared" si="1041"/>
        <v>1</v>
      </c>
      <c r="W1054" s="49">
        <f t="shared" si="1042"/>
        <v>7600</v>
      </c>
      <c r="X1054" s="49">
        <f t="shared" si="1043"/>
        <v>-2.97</v>
      </c>
    </row>
    <row r="1055" spans="1:24" x14ac:dyDescent="0.4">
      <c r="A1055" s="1" t="s">
        <v>138</v>
      </c>
      <c r="B1055" s="1" t="s">
        <v>83</v>
      </c>
      <c r="C1055" s="1" t="s">
        <v>82</v>
      </c>
      <c r="D1055" s="1" t="s">
        <v>474</v>
      </c>
      <c r="E1055" s="1" t="s">
        <v>475</v>
      </c>
      <c r="F1055" s="1" t="s">
        <v>100</v>
      </c>
      <c r="G1055" s="1" t="s">
        <v>34</v>
      </c>
      <c r="H1055" s="1">
        <v>10</v>
      </c>
      <c r="J1055" s="51">
        <v>45490</v>
      </c>
      <c r="L1055" s="51">
        <v>45418</v>
      </c>
      <c r="M1055" s="1" t="s">
        <v>135</v>
      </c>
      <c r="N1055" s="1">
        <v>1</v>
      </c>
      <c r="O1055" s="1">
        <v>7600</v>
      </c>
      <c r="P1055" s="1">
        <v>76000</v>
      </c>
      <c r="Q1055" s="1">
        <v>-2.97</v>
      </c>
      <c r="R1055" s="1" t="s">
        <v>83</v>
      </c>
      <c r="T1055" s="50">
        <f>IF(ISNUMBER(VLOOKUP(U1055,Blotter!B:C,2,0)),VLOOKUP(U1055,Blotter!B:C,2,0),"")</f>
        <v>56</v>
      </c>
      <c r="U1055" s="49" t="str">
        <f t="shared" ref="U1055:U1066" si="1044">D1055</f>
        <v>CCN4</v>
      </c>
      <c r="V1055" s="49">
        <f t="shared" ref="V1055:V1066" si="1045">N1055</f>
        <v>1</v>
      </c>
      <c r="W1055" s="49">
        <f t="shared" ref="W1055:W1066" si="1046">O1055</f>
        <v>7600</v>
      </c>
      <c r="X1055" s="49">
        <f t="shared" ref="X1055:X1066" si="1047">Q1055</f>
        <v>-2.97</v>
      </c>
    </row>
    <row r="1056" spans="1:24" x14ac:dyDescent="0.4">
      <c r="A1056" s="1" t="s">
        <v>138</v>
      </c>
      <c r="B1056" s="1" t="s">
        <v>83</v>
      </c>
      <c r="C1056" s="1" t="s">
        <v>82</v>
      </c>
      <c r="D1056" s="1" t="s">
        <v>474</v>
      </c>
      <c r="E1056" s="1" t="s">
        <v>475</v>
      </c>
      <c r="F1056" s="1" t="s">
        <v>100</v>
      </c>
      <c r="G1056" s="1" t="s">
        <v>34</v>
      </c>
      <c r="H1056" s="1">
        <v>10</v>
      </c>
      <c r="J1056" s="51">
        <v>45490</v>
      </c>
      <c r="L1056" s="51">
        <v>45418</v>
      </c>
      <c r="M1056" s="1" t="s">
        <v>135</v>
      </c>
      <c r="N1056" s="1">
        <v>1</v>
      </c>
      <c r="O1056" s="1">
        <v>7600</v>
      </c>
      <c r="P1056" s="1">
        <v>76000</v>
      </c>
      <c r="Q1056" s="1">
        <v>-2.97</v>
      </c>
      <c r="R1056" s="1" t="s">
        <v>83</v>
      </c>
      <c r="T1056" s="50">
        <f>IF(ISNUMBER(VLOOKUP(U1056,Blotter!B:C,2,0)),VLOOKUP(U1056,Blotter!B:C,2,0),"")</f>
        <v>56</v>
      </c>
      <c r="U1056" s="49" t="str">
        <f t="shared" si="1044"/>
        <v>CCN4</v>
      </c>
      <c r="V1056" s="49">
        <f t="shared" si="1045"/>
        <v>1</v>
      </c>
      <c r="W1056" s="49">
        <f t="shared" si="1046"/>
        <v>7600</v>
      </c>
      <c r="X1056" s="49">
        <f t="shared" si="1047"/>
        <v>-2.97</v>
      </c>
    </row>
    <row r="1057" spans="1:24" x14ac:dyDescent="0.4">
      <c r="A1057" s="1" t="s">
        <v>138</v>
      </c>
      <c r="B1057" s="1" t="s">
        <v>83</v>
      </c>
      <c r="C1057" s="1" t="s">
        <v>82</v>
      </c>
      <c r="D1057" s="1" t="s">
        <v>474</v>
      </c>
      <c r="E1057" s="1" t="s">
        <v>475</v>
      </c>
      <c r="F1057" s="1" t="s">
        <v>100</v>
      </c>
      <c r="G1057" s="1" t="s">
        <v>34</v>
      </c>
      <c r="H1057" s="1">
        <v>10</v>
      </c>
      <c r="J1057" s="51">
        <v>45490</v>
      </c>
      <c r="L1057" s="51">
        <v>45418</v>
      </c>
      <c r="M1057" s="1" t="s">
        <v>139</v>
      </c>
      <c r="N1057" s="1">
        <v>-1</v>
      </c>
      <c r="O1057" s="1">
        <v>7610</v>
      </c>
      <c r="P1057" s="1">
        <v>-76100</v>
      </c>
      <c r="Q1057" s="1">
        <v>-2.97</v>
      </c>
      <c r="R1057" s="1" t="s">
        <v>83</v>
      </c>
      <c r="T1057" s="50">
        <f>IF(ISNUMBER(VLOOKUP(U1057,Blotter!B:C,2,0)),VLOOKUP(U1057,Blotter!B:C,2,0),"")</f>
        <v>56</v>
      </c>
      <c r="U1057" s="49" t="str">
        <f t="shared" si="1044"/>
        <v>CCN4</v>
      </c>
      <c r="V1057" s="49">
        <f t="shared" si="1045"/>
        <v>-1</v>
      </c>
      <c r="W1057" s="49">
        <f t="shared" si="1046"/>
        <v>7610</v>
      </c>
      <c r="X1057" s="49">
        <f t="shared" si="1047"/>
        <v>-2.97</v>
      </c>
    </row>
    <row r="1058" spans="1:24" x14ac:dyDescent="0.4">
      <c r="A1058" s="1" t="s">
        <v>138</v>
      </c>
      <c r="B1058" s="1" t="s">
        <v>83</v>
      </c>
      <c r="C1058" s="1" t="s">
        <v>82</v>
      </c>
      <c r="D1058" s="1" t="s">
        <v>474</v>
      </c>
      <c r="E1058" s="1" t="s">
        <v>475</v>
      </c>
      <c r="F1058" s="1" t="s">
        <v>100</v>
      </c>
      <c r="G1058" s="1" t="s">
        <v>34</v>
      </c>
      <c r="H1058" s="1">
        <v>10</v>
      </c>
      <c r="J1058" s="51">
        <v>45490</v>
      </c>
      <c r="L1058" s="51">
        <v>45418</v>
      </c>
      <c r="M1058" s="1" t="s">
        <v>139</v>
      </c>
      <c r="N1058" s="1">
        <v>-2</v>
      </c>
      <c r="O1058" s="1">
        <v>7610</v>
      </c>
      <c r="P1058" s="1">
        <v>-152200</v>
      </c>
      <c r="Q1058" s="1">
        <v>-5.94</v>
      </c>
      <c r="R1058" s="1" t="s">
        <v>83</v>
      </c>
      <c r="T1058" s="50">
        <f>IF(ISNUMBER(VLOOKUP(U1058,Blotter!B:C,2,0)),VLOOKUP(U1058,Blotter!B:C,2,0),"")</f>
        <v>56</v>
      </c>
      <c r="U1058" s="49" t="str">
        <f t="shared" si="1044"/>
        <v>CCN4</v>
      </c>
      <c r="V1058" s="49">
        <f t="shared" si="1045"/>
        <v>-2</v>
      </c>
      <c r="W1058" s="49">
        <f t="shared" si="1046"/>
        <v>7610</v>
      </c>
      <c r="X1058" s="49">
        <f t="shared" si="1047"/>
        <v>-5.94</v>
      </c>
    </row>
    <row r="1059" spans="1:24" x14ac:dyDescent="0.4">
      <c r="A1059" s="1" t="s">
        <v>138</v>
      </c>
      <c r="B1059" s="1" t="s">
        <v>83</v>
      </c>
      <c r="C1059" s="1" t="s">
        <v>82</v>
      </c>
      <c r="D1059" s="1" t="s">
        <v>474</v>
      </c>
      <c r="E1059" s="1" t="s">
        <v>475</v>
      </c>
      <c r="F1059" s="1" t="s">
        <v>100</v>
      </c>
      <c r="G1059" s="1" t="s">
        <v>34</v>
      </c>
      <c r="H1059" s="1">
        <v>10</v>
      </c>
      <c r="J1059" s="51">
        <v>45490</v>
      </c>
      <c r="L1059" s="51">
        <v>45418</v>
      </c>
      <c r="M1059" s="1" t="s">
        <v>139</v>
      </c>
      <c r="N1059" s="1">
        <v>-1</v>
      </c>
      <c r="O1059" s="1">
        <v>7610</v>
      </c>
      <c r="P1059" s="1">
        <v>-76100</v>
      </c>
      <c r="Q1059" s="1">
        <v>-2.97</v>
      </c>
      <c r="R1059" s="1" t="s">
        <v>83</v>
      </c>
      <c r="T1059" s="50">
        <f>IF(ISNUMBER(VLOOKUP(U1059,Blotter!B:C,2,0)),VLOOKUP(U1059,Blotter!B:C,2,0),"")</f>
        <v>56</v>
      </c>
      <c r="U1059" s="49" t="str">
        <f t="shared" si="1044"/>
        <v>CCN4</v>
      </c>
      <c r="V1059" s="49">
        <f t="shared" si="1045"/>
        <v>-1</v>
      </c>
      <c r="W1059" s="49">
        <f t="shared" si="1046"/>
        <v>7610</v>
      </c>
      <c r="X1059" s="49">
        <f t="shared" si="1047"/>
        <v>-2.97</v>
      </c>
    </row>
    <row r="1060" spans="1:24" x14ac:dyDescent="0.4">
      <c r="A1060" s="1" t="s">
        <v>138</v>
      </c>
      <c r="B1060" s="1" t="s">
        <v>83</v>
      </c>
      <c r="C1060" s="1" t="s">
        <v>82</v>
      </c>
      <c r="D1060" s="1" t="s">
        <v>474</v>
      </c>
      <c r="E1060" s="1" t="s">
        <v>475</v>
      </c>
      <c r="F1060" s="1" t="s">
        <v>100</v>
      </c>
      <c r="G1060" s="1" t="s">
        <v>34</v>
      </c>
      <c r="H1060" s="1">
        <v>10</v>
      </c>
      <c r="J1060" s="51">
        <v>45490</v>
      </c>
      <c r="L1060" s="51">
        <v>45418</v>
      </c>
      <c r="M1060" s="1" t="s">
        <v>139</v>
      </c>
      <c r="N1060" s="1">
        <v>-1</v>
      </c>
      <c r="O1060" s="1">
        <v>7610</v>
      </c>
      <c r="P1060" s="1">
        <v>-76100</v>
      </c>
      <c r="Q1060" s="1">
        <v>-2.97</v>
      </c>
      <c r="R1060" s="1" t="s">
        <v>83</v>
      </c>
      <c r="T1060" s="50">
        <f>IF(ISNUMBER(VLOOKUP(U1060,Blotter!B:C,2,0)),VLOOKUP(U1060,Blotter!B:C,2,0),"")</f>
        <v>56</v>
      </c>
      <c r="U1060" s="49" t="str">
        <f t="shared" si="1044"/>
        <v>CCN4</v>
      </c>
      <c r="V1060" s="49">
        <f t="shared" si="1045"/>
        <v>-1</v>
      </c>
      <c r="W1060" s="49">
        <f t="shared" si="1046"/>
        <v>7610</v>
      </c>
      <c r="X1060" s="49">
        <f t="shared" si="1047"/>
        <v>-2.97</v>
      </c>
    </row>
    <row r="1061" spans="1:24" x14ac:dyDescent="0.4">
      <c r="A1061" s="1" t="s">
        <v>138</v>
      </c>
      <c r="B1061" s="1" t="s">
        <v>83</v>
      </c>
      <c r="C1061" s="1" t="s">
        <v>82</v>
      </c>
      <c r="D1061" s="1" t="s">
        <v>474</v>
      </c>
      <c r="E1061" s="1" t="s">
        <v>475</v>
      </c>
      <c r="F1061" s="1" t="s">
        <v>100</v>
      </c>
      <c r="G1061" s="1" t="s">
        <v>34</v>
      </c>
      <c r="H1061" s="1">
        <v>10</v>
      </c>
      <c r="J1061" s="51">
        <v>45490</v>
      </c>
      <c r="L1061" s="51">
        <v>45420</v>
      </c>
      <c r="M1061" s="1" t="s">
        <v>135</v>
      </c>
      <c r="N1061" s="1">
        <v>5</v>
      </c>
      <c r="O1061" s="1">
        <v>8800</v>
      </c>
      <c r="P1061" s="1">
        <v>440000</v>
      </c>
      <c r="Q1061" s="1">
        <v>-14.85</v>
      </c>
      <c r="R1061" s="1" t="s">
        <v>83</v>
      </c>
      <c r="T1061" s="50">
        <f>IF(ISNUMBER(VLOOKUP(U1061,Blotter!B:C,2,0)),VLOOKUP(U1061,Blotter!B:C,2,0),"")</f>
        <v>56</v>
      </c>
      <c r="U1061" s="49" t="str">
        <f t="shared" si="1044"/>
        <v>CCN4</v>
      </c>
      <c r="V1061" s="49">
        <f t="shared" si="1045"/>
        <v>5</v>
      </c>
      <c r="W1061" s="49">
        <f t="shared" si="1046"/>
        <v>8800</v>
      </c>
      <c r="X1061" s="49">
        <f t="shared" si="1047"/>
        <v>-14.85</v>
      </c>
    </row>
    <row r="1062" spans="1:24" x14ac:dyDescent="0.4">
      <c r="A1062" s="1" t="s">
        <v>138</v>
      </c>
      <c r="B1062" s="1" t="s">
        <v>83</v>
      </c>
      <c r="C1062" s="1" t="s">
        <v>82</v>
      </c>
      <c r="D1062" s="1" t="s">
        <v>471</v>
      </c>
      <c r="E1062" s="1" t="s">
        <v>472</v>
      </c>
      <c r="F1062" s="1" t="s">
        <v>100</v>
      </c>
      <c r="G1062" s="1" t="s">
        <v>101</v>
      </c>
      <c r="H1062" s="1">
        <v>50000</v>
      </c>
      <c r="J1062" s="51">
        <v>45489</v>
      </c>
      <c r="L1062" s="51">
        <v>45420</v>
      </c>
      <c r="M1062" s="1" t="s">
        <v>135</v>
      </c>
      <c r="N1062" s="1">
        <v>5</v>
      </c>
      <c r="O1062" s="59">
        <v>78.8</v>
      </c>
      <c r="P1062" s="1">
        <v>197000</v>
      </c>
      <c r="Q1062" s="1">
        <v>-14.85</v>
      </c>
      <c r="R1062" s="1" t="s">
        <v>83</v>
      </c>
      <c r="T1062" s="50">
        <f>IF(ISNUMBER(VLOOKUP(U1062,Blotter!B:C,2,0)),VLOOKUP(U1062,Blotter!B:C,2,0),"")</f>
        <v>46</v>
      </c>
      <c r="U1062" s="49" t="str">
        <f t="shared" si="1044"/>
        <v>CTN4</v>
      </c>
      <c r="V1062" s="49">
        <f t="shared" si="1045"/>
        <v>5</v>
      </c>
      <c r="W1062" s="49">
        <f t="shared" si="1046"/>
        <v>78.8</v>
      </c>
      <c r="X1062" s="49">
        <f t="shared" si="1047"/>
        <v>-14.85</v>
      </c>
    </row>
    <row r="1063" spans="1:24" x14ac:dyDescent="0.4">
      <c r="A1063" s="1" t="s">
        <v>138</v>
      </c>
      <c r="B1063" s="1" t="s">
        <v>83</v>
      </c>
      <c r="C1063" s="1" t="s">
        <v>82</v>
      </c>
      <c r="D1063" s="1" t="s">
        <v>474</v>
      </c>
      <c r="E1063" s="1" t="s">
        <v>475</v>
      </c>
      <c r="F1063" s="1" t="s">
        <v>100</v>
      </c>
      <c r="G1063" s="1" t="s">
        <v>34</v>
      </c>
      <c r="H1063" s="1">
        <v>10</v>
      </c>
      <c r="J1063" s="51">
        <v>45490</v>
      </c>
      <c r="L1063" s="51">
        <v>45421</v>
      </c>
      <c r="M1063" s="1" t="s">
        <v>135</v>
      </c>
      <c r="N1063" s="1">
        <v>1</v>
      </c>
      <c r="O1063" s="1">
        <v>8575</v>
      </c>
      <c r="P1063" s="1">
        <v>85750</v>
      </c>
      <c r="Q1063" s="1">
        <v>-2.97</v>
      </c>
      <c r="R1063" s="1" t="s">
        <v>83</v>
      </c>
      <c r="T1063" s="50">
        <f>IF(ISNUMBER(VLOOKUP(U1063,Blotter!B:C,2,0)),VLOOKUP(U1063,Blotter!B:C,2,0),"")</f>
        <v>56</v>
      </c>
      <c r="U1063" s="49" t="str">
        <f t="shared" si="1044"/>
        <v>CCN4</v>
      </c>
      <c r="V1063" s="49">
        <f t="shared" si="1045"/>
        <v>1</v>
      </c>
      <c r="W1063" s="49">
        <f t="shared" si="1046"/>
        <v>8575</v>
      </c>
      <c r="X1063" s="49">
        <f t="shared" si="1047"/>
        <v>-2.97</v>
      </c>
    </row>
    <row r="1064" spans="1:24" x14ac:dyDescent="0.4">
      <c r="A1064" s="1" t="s">
        <v>138</v>
      </c>
      <c r="B1064" s="1" t="s">
        <v>83</v>
      </c>
      <c r="C1064" s="1" t="s">
        <v>82</v>
      </c>
      <c r="D1064" s="1" t="s">
        <v>474</v>
      </c>
      <c r="E1064" s="1" t="s">
        <v>475</v>
      </c>
      <c r="F1064" s="1" t="s">
        <v>100</v>
      </c>
      <c r="G1064" s="1" t="s">
        <v>34</v>
      </c>
      <c r="H1064" s="1">
        <v>10</v>
      </c>
      <c r="J1064" s="51">
        <v>45490</v>
      </c>
      <c r="L1064" s="51">
        <v>45421</v>
      </c>
      <c r="M1064" s="1" t="s">
        <v>135</v>
      </c>
      <c r="N1064" s="1">
        <v>1</v>
      </c>
      <c r="O1064" s="1">
        <v>8575</v>
      </c>
      <c r="P1064" s="1">
        <v>85750</v>
      </c>
      <c r="Q1064" s="1">
        <v>-2.97</v>
      </c>
      <c r="R1064" s="1" t="s">
        <v>83</v>
      </c>
      <c r="T1064" s="50">
        <f>IF(ISNUMBER(VLOOKUP(U1064,Blotter!B:C,2,0)),VLOOKUP(U1064,Blotter!B:C,2,0),"")</f>
        <v>56</v>
      </c>
      <c r="U1064" s="49" t="str">
        <f t="shared" si="1044"/>
        <v>CCN4</v>
      </c>
      <c r="V1064" s="49">
        <f t="shared" si="1045"/>
        <v>1</v>
      </c>
      <c r="W1064" s="49">
        <f t="shared" si="1046"/>
        <v>8575</v>
      </c>
      <c r="X1064" s="49">
        <f t="shared" si="1047"/>
        <v>-2.97</v>
      </c>
    </row>
    <row r="1065" spans="1:24" x14ac:dyDescent="0.4">
      <c r="A1065" s="1" t="s">
        <v>138</v>
      </c>
      <c r="B1065" s="1" t="s">
        <v>83</v>
      </c>
      <c r="C1065" s="1" t="s">
        <v>82</v>
      </c>
      <c r="D1065" s="1" t="s">
        <v>474</v>
      </c>
      <c r="E1065" s="1" t="s">
        <v>475</v>
      </c>
      <c r="F1065" s="1" t="s">
        <v>100</v>
      </c>
      <c r="G1065" s="1" t="s">
        <v>34</v>
      </c>
      <c r="H1065" s="1">
        <v>10</v>
      </c>
      <c r="J1065" s="51">
        <v>45490</v>
      </c>
      <c r="L1065" s="51">
        <v>45421</v>
      </c>
      <c r="M1065" s="1" t="s">
        <v>135</v>
      </c>
      <c r="N1065" s="1">
        <v>1</v>
      </c>
      <c r="O1065" s="1">
        <v>8575</v>
      </c>
      <c r="P1065" s="1">
        <v>85750</v>
      </c>
      <c r="Q1065" s="1">
        <v>-2.97</v>
      </c>
      <c r="R1065" s="1" t="s">
        <v>83</v>
      </c>
      <c r="T1065" s="50">
        <f>IF(ISNUMBER(VLOOKUP(U1065,Blotter!B:C,2,0)),VLOOKUP(U1065,Blotter!B:C,2,0),"")</f>
        <v>56</v>
      </c>
      <c r="U1065" s="49" t="str">
        <f t="shared" si="1044"/>
        <v>CCN4</v>
      </c>
      <c r="V1065" s="49">
        <f t="shared" si="1045"/>
        <v>1</v>
      </c>
      <c r="W1065" s="49">
        <f t="shared" si="1046"/>
        <v>8575</v>
      </c>
      <c r="X1065" s="49">
        <f t="shared" si="1047"/>
        <v>-2.97</v>
      </c>
    </row>
    <row r="1066" spans="1:24" x14ac:dyDescent="0.4">
      <c r="A1066" s="1" t="s">
        <v>138</v>
      </c>
      <c r="B1066" s="1" t="s">
        <v>83</v>
      </c>
      <c r="C1066" s="1" t="s">
        <v>82</v>
      </c>
      <c r="D1066" s="1" t="s">
        <v>474</v>
      </c>
      <c r="E1066" s="1" t="s">
        <v>475</v>
      </c>
      <c r="F1066" s="1" t="s">
        <v>100</v>
      </c>
      <c r="G1066" s="1" t="s">
        <v>34</v>
      </c>
      <c r="H1066" s="1">
        <v>10</v>
      </c>
      <c r="J1066" s="51">
        <v>45490</v>
      </c>
      <c r="L1066" s="51">
        <v>45421</v>
      </c>
      <c r="M1066" s="1" t="s">
        <v>135</v>
      </c>
      <c r="N1066" s="1">
        <v>1</v>
      </c>
      <c r="O1066" s="1">
        <v>8575</v>
      </c>
      <c r="P1066" s="1">
        <v>85750</v>
      </c>
      <c r="Q1066" s="1">
        <v>-2.97</v>
      </c>
      <c r="R1066" s="1" t="s">
        <v>83</v>
      </c>
      <c r="T1066" s="50">
        <f>IF(ISNUMBER(VLOOKUP(U1066,Blotter!B:C,2,0)),VLOOKUP(U1066,Blotter!B:C,2,0),"")</f>
        <v>56</v>
      </c>
      <c r="U1066" s="49" t="str">
        <f t="shared" si="1044"/>
        <v>CCN4</v>
      </c>
      <c r="V1066" s="49">
        <f t="shared" si="1045"/>
        <v>1</v>
      </c>
      <c r="W1066" s="49">
        <f t="shared" si="1046"/>
        <v>8575</v>
      </c>
      <c r="X1066" s="49">
        <f t="shared" si="1047"/>
        <v>-2.97</v>
      </c>
    </row>
    <row r="1067" spans="1:24" x14ac:dyDescent="0.4">
      <c r="A1067" s="1" t="s">
        <v>138</v>
      </c>
      <c r="B1067" s="1" t="s">
        <v>83</v>
      </c>
      <c r="C1067" s="1" t="s">
        <v>82</v>
      </c>
      <c r="D1067" s="1" t="s">
        <v>474</v>
      </c>
      <c r="E1067" s="1" t="s">
        <v>475</v>
      </c>
      <c r="F1067" s="1" t="s">
        <v>100</v>
      </c>
      <c r="G1067" s="1" t="s">
        <v>34</v>
      </c>
      <c r="H1067" s="1">
        <v>10</v>
      </c>
      <c r="J1067" s="51">
        <v>45490</v>
      </c>
      <c r="L1067" s="51">
        <v>45421</v>
      </c>
      <c r="M1067" s="1" t="s">
        <v>135</v>
      </c>
      <c r="N1067" s="1">
        <v>1</v>
      </c>
      <c r="O1067" s="1">
        <v>8575</v>
      </c>
      <c r="P1067" s="1">
        <v>85750</v>
      </c>
      <c r="Q1067" s="1">
        <v>-2.97</v>
      </c>
      <c r="R1067" s="1" t="s">
        <v>83</v>
      </c>
      <c r="T1067" s="50">
        <f>IF(ISNUMBER(VLOOKUP(U1067,Blotter!B:C,2,0)),VLOOKUP(U1067,Blotter!B:C,2,0),"")</f>
        <v>56</v>
      </c>
      <c r="U1067" s="49" t="str">
        <f t="shared" ref="U1067:U1074" si="1048">D1067</f>
        <v>CCN4</v>
      </c>
      <c r="V1067" s="49">
        <f t="shared" ref="V1067:V1074" si="1049">N1067</f>
        <v>1</v>
      </c>
      <c r="W1067" s="49">
        <f t="shared" ref="W1067:W1074" si="1050">O1067</f>
        <v>8575</v>
      </c>
      <c r="X1067" s="49">
        <f t="shared" ref="X1067:X1074" si="1051">Q1067</f>
        <v>-2.97</v>
      </c>
    </row>
    <row r="1068" spans="1:24" x14ac:dyDescent="0.4">
      <c r="A1068" s="1" t="s">
        <v>138</v>
      </c>
      <c r="B1068" s="1" t="s">
        <v>83</v>
      </c>
      <c r="C1068" s="1" t="s">
        <v>82</v>
      </c>
      <c r="D1068" s="1" t="s">
        <v>474</v>
      </c>
      <c r="E1068" s="1" t="s">
        <v>475</v>
      </c>
      <c r="F1068" s="1" t="s">
        <v>100</v>
      </c>
      <c r="G1068" s="1" t="s">
        <v>34</v>
      </c>
      <c r="H1068" s="1">
        <v>10</v>
      </c>
      <c r="J1068" s="51">
        <v>45490</v>
      </c>
      <c r="L1068" s="51">
        <v>45421</v>
      </c>
      <c r="M1068" s="1" t="s">
        <v>139</v>
      </c>
      <c r="N1068" s="1">
        <v>-1</v>
      </c>
      <c r="O1068" s="1">
        <v>8830</v>
      </c>
      <c r="P1068" s="1">
        <v>-88300</v>
      </c>
      <c r="Q1068" s="1">
        <v>-2.97</v>
      </c>
      <c r="R1068" s="1" t="s">
        <v>83</v>
      </c>
      <c r="T1068" s="50">
        <f>IF(ISNUMBER(VLOOKUP(U1068,Blotter!B:C,2,0)),VLOOKUP(U1068,Blotter!B:C,2,0),"")</f>
        <v>56</v>
      </c>
      <c r="U1068" s="49" t="str">
        <f t="shared" si="1048"/>
        <v>CCN4</v>
      </c>
      <c r="V1068" s="49">
        <f t="shared" si="1049"/>
        <v>-1</v>
      </c>
      <c r="W1068" s="49">
        <f t="shared" si="1050"/>
        <v>8830</v>
      </c>
      <c r="X1068" s="49">
        <f t="shared" si="1051"/>
        <v>-2.97</v>
      </c>
    </row>
    <row r="1069" spans="1:24" x14ac:dyDescent="0.4">
      <c r="A1069" s="1" t="s">
        <v>138</v>
      </c>
      <c r="B1069" s="1" t="s">
        <v>83</v>
      </c>
      <c r="C1069" s="1" t="s">
        <v>82</v>
      </c>
      <c r="D1069" s="1" t="s">
        <v>474</v>
      </c>
      <c r="E1069" s="1" t="s">
        <v>475</v>
      </c>
      <c r="F1069" s="1" t="s">
        <v>100</v>
      </c>
      <c r="G1069" s="1" t="s">
        <v>34</v>
      </c>
      <c r="H1069" s="1">
        <v>10</v>
      </c>
      <c r="J1069" s="51">
        <v>45490</v>
      </c>
      <c r="L1069" s="51">
        <v>45421</v>
      </c>
      <c r="M1069" s="1" t="s">
        <v>139</v>
      </c>
      <c r="N1069" s="1">
        <v>-2</v>
      </c>
      <c r="O1069" s="1">
        <v>8830</v>
      </c>
      <c r="P1069" s="1">
        <v>-176600</v>
      </c>
      <c r="Q1069" s="1">
        <v>-5.94</v>
      </c>
      <c r="R1069" s="1" t="s">
        <v>83</v>
      </c>
      <c r="T1069" s="50">
        <f>IF(ISNUMBER(VLOOKUP(U1069,Blotter!B:C,2,0)),VLOOKUP(U1069,Blotter!B:C,2,0),"")</f>
        <v>56</v>
      </c>
      <c r="U1069" s="49" t="str">
        <f t="shared" si="1048"/>
        <v>CCN4</v>
      </c>
      <c r="V1069" s="49">
        <f t="shared" si="1049"/>
        <v>-2</v>
      </c>
      <c r="W1069" s="49">
        <f t="shared" si="1050"/>
        <v>8830</v>
      </c>
      <c r="X1069" s="49">
        <f t="shared" si="1051"/>
        <v>-5.94</v>
      </c>
    </row>
    <row r="1070" spans="1:24" x14ac:dyDescent="0.4">
      <c r="A1070" s="1" t="s">
        <v>138</v>
      </c>
      <c r="B1070" s="1" t="s">
        <v>83</v>
      </c>
      <c r="C1070" s="1" t="s">
        <v>82</v>
      </c>
      <c r="D1070" s="1" t="s">
        <v>474</v>
      </c>
      <c r="E1070" s="1" t="s">
        <v>475</v>
      </c>
      <c r="F1070" s="1" t="s">
        <v>100</v>
      </c>
      <c r="G1070" s="1" t="s">
        <v>34</v>
      </c>
      <c r="H1070" s="1">
        <v>10</v>
      </c>
      <c r="J1070" s="51">
        <v>45490</v>
      </c>
      <c r="L1070" s="51">
        <v>45421</v>
      </c>
      <c r="M1070" s="1" t="s">
        <v>139</v>
      </c>
      <c r="N1070" s="1">
        <v>-1</v>
      </c>
      <c r="O1070" s="1">
        <v>8830</v>
      </c>
      <c r="P1070" s="1">
        <v>-88300</v>
      </c>
      <c r="Q1070" s="1">
        <v>-2.97</v>
      </c>
      <c r="R1070" s="1" t="s">
        <v>83</v>
      </c>
      <c r="T1070" s="50">
        <f>IF(ISNUMBER(VLOOKUP(U1070,Blotter!B:C,2,0)),VLOOKUP(U1070,Blotter!B:C,2,0),"")</f>
        <v>56</v>
      </c>
      <c r="U1070" s="49" t="str">
        <f t="shared" si="1048"/>
        <v>CCN4</v>
      </c>
      <c r="V1070" s="49">
        <f t="shared" si="1049"/>
        <v>-1</v>
      </c>
      <c r="W1070" s="49">
        <f t="shared" si="1050"/>
        <v>8830</v>
      </c>
      <c r="X1070" s="49">
        <f t="shared" si="1051"/>
        <v>-2.97</v>
      </c>
    </row>
    <row r="1071" spans="1:24" x14ac:dyDescent="0.4">
      <c r="A1071" s="1" t="s">
        <v>138</v>
      </c>
      <c r="B1071" s="1" t="s">
        <v>83</v>
      </c>
      <c r="C1071" s="1" t="s">
        <v>82</v>
      </c>
      <c r="D1071" s="1" t="s">
        <v>474</v>
      </c>
      <c r="E1071" s="1" t="s">
        <v>475</v>
      </c>
      <c r="F1071" s="1" t="s">
        <v>100</v>
      </c>
      <c r="G1071" s="1" t="s">
        <v>34</v>
      </c>
      <c r="H1071" s="1">
        <v>10</v>
      </c>
      <c r="J1071" s="51">
        <v>45490</v>
      </c>
      <c r="L1071" s="51">
        <v>45421</v>
      </c>
      <c r="M1071" s="1" t="s">
        <v>139</v>
      </c>
      <c r="N1071" s="1">
        <v>-1</v>
      </c>
      <c r="O1071" s="1">
        <v>8830</v>
      </c>
      <c r="P1071" s="1">
        <v>-88300</v>
      </c>
      <c r="Q1071" s="1">
        <v>-2.97</v>
      </c>
      <c r="R1071" s="1" t="s">
        <v>83</v>
      </c>
      <c r="T1071" s="50">
        <f>IF(ISNUMBER(VLOOKUP(U1071,Blotter!B:C,2,0)),VLOOKUP(U1071,Blotter!B:C,2,0),"")</f>
        <v>56</v>
      </c>
      <c r="U1071" s="49" t="str">
        <f t="shared" si="1048"/>
        <v>CCN4</v>
      </c>
      <c r="V1071" s="49">
        <f t="shared" si="1049"/>
        <v>-1</v>
      </c>
      <c r="W1071" s="49">
        <f t="shared" si="1050"/>
        <v>8830</v>
      </c>
      <c r="X1071" s="49">
        <f t="shared" si="1051"/>
        <v>-2.97</v>
      </c>
    </row>
    <row r="1072" spans="1:24" x14ac:dyDescent="0.4">
      <c r="A1072" s="1" t="s">
        <v>138</v>
      </c>
      <c r="B1072" s="1" t="s">
        <v>83</v>
      </c>
      <c r="C1072" s="1" t="s">
        <v>82</v>
      </c>
      <c r="D1072" s="1" t="s">
        <v>474</v>
      </c>
      <c r="E1072" s="1" t="s">
        <v>475</v>
      </c>
      <c r="F1072" s="1" t="s">
        <v>100</v>
      </c>
      <c r="G1072" s="1" t="s">
        <v>34</v>
      </c>
      <c r="H1072" s="1">
        <v>10</v>
      </c>
      <c r="J1072" s="51">
        <v>45490</v>
      </c>
      <c r="L1072" s="51">
        <v>45421</v>
      </c>
      <c r="M1072" s="1" t="s">
        <v>139</v>
      </c>
      <c r="N1072" s="1">
        <v>-5</v>
      </c>
      <c r="O1072" s="1">
        <v>8580</v>
      </c>
      <c r="P1072" s="1">
        <v>-429000</v>
      </c>
      <c r="Q1072" s="1">
        <v>-14.85</v>
      </c>
      <c r="R1072" s="1" t="s">
        <v>83</v>
      </c>
      <c r="T1072" s="50">
        <f>IF(ISNUMBER(VLOOKUP(U1072,Blotter!B:C,2,0)),VLOOKUP(U1072,Blotter!B:C,2,0),"")</f>
        <v>56</v>
      </c>
      <c r="U1072" s="49" t="str">
        <f t="shared" si="1048"/>
        <v>CCN4</v>
      </c>
      <c r="V1072" s="49">
        <f t="shared" si="1049"/>
        <v>-5</v>
      </c>
      <c r="W1072" s="49">
        <f t="shared" si="1050"/>
        <v>8580</v>
      </c>
      <c r="X1072" s="49">
        <f t="shared" si="1051"/>
        <v>-14.85</v>
      </c>
    </row>
    <row r="1073" spans="1:24" x14ac:dyDescent="0.4">
      <c r="A1073" s="1" t="s">
        <v>138</v>
      </c>
      <c r="B1073" s="1" t="s">
        <v>83</v>
      </c>
      <c r="C1073" s="1" t="s">
        <v>82</v>
      </c>
      <c r="D1073" s="1" t="s">
        <v>471</v>
      </c>
      <c r="E1073" s="1" t="s">
        <v>472</v>
      </c>
      <c r="F1073" s="1" t="s">
        <v>100</v>
      </c>
      <c r="G1073" s="1" t="s">
        <v>101</v>
      </c>
      <c r="H1073" s="1">
        <v>50000</v>
      </c>
      <c r="J1073" s="51">
        <v>45489</v>
      </c>
      <c r="L1073" s="51">
        <v>45421</v>
      </c>
      <c r="M1073" s="1" t="s">
        <v>135</v>
      </c>
      <c r="N1073" s="1">
        <v>5</v>
      </c>
      <c r="O1073" s="59">
        <v>77.8</v>
      </c>
      <c r="P1073" s="1">
        <v>194500</v>
      </c>
      <c r="Q1073" s="1">
        <v>-14.85</v>
      </c>
      <c r="R1073" s="1" t="s">
        <v>83</v>
      </c>
      <c r="T1073" s="50">
        <f>IF(ISNUMBER(VLOOKUP(U1073,Blotter!B:C,2,0)),VLOOKUP(U1073,Blotter!B:C,2,0),"")</f>
        <v>46</v>
      </c>
      <c r="U1073" s="49" t="str">
        <f t="shared" si="1048"/>
        <v>CTN4</v>
      </c>
      <c r="V1073" s="49">
        <f t="shared" si="1049"/>
        <v>5</v>
      </c>
      <c r="W1073" s="49">
        <f t="shared" si="1050"/>
        <v>77.8</v>
      </c>
      <c r="X1073" s="49">
        <f t="shared" si="1051"/>
        <v>-14.85</v>
      </c>
    </row>
    <row r="1074" spans="1:24" x14ac:dyDescent="0.4">
      <c r="A1074" s="1" t="s">
        <v>138</v>
      </c>
      <c r="B1074" s="1" t="s">
        <v>83</v>
      </c>
      <c r="C1074" s="1" t="s">
        <v>82</v>
      </c>
      <c r="D1074" s="1" t="s">
        <v>471</v>
      </c>
      <c r="E1074" s="1" t="s">
        <v>472</v>
      </c>
      <c r="F1074" s="1" t="s">
        <v>100</v>
      </c>
      <c r="G1074" s="1" t="s">
        <v>101</v>
      </c>
      <c r="H1074" s="1">
        <v>50000</v>
      </c>
      <c r="J1074" s="51">
        <v>45489</v>
      </c>
      <c r="L1074" s="51">
        <v>45421</v>
      </c>
      <c r="M1074" s="1" t="s">
        <v>139</v>
      </c>
      <c r="N1074" s="1">
        <v>-5</v>
      </c>
      <c r="O1074" s="59">
        <v>79</v>
      </c>
      <c r="P1074" s="1">
        <v>-197500</v>
      </c>
      <c r="Q1074" s="1">
        <v>-14.85</v>
      </c>
      <c r="R1074" s="1" t="s">
        <v>83</v>
      </c>
      <c r="T1074" s="50">
        <f>IF(ISNUMBER(VLOOKUP(U1074,Blotter!B:C,2,0)),VLOOKUP(U1074,Blotter!B:C,2,0),"")</f>
        <v>46</v>
      </c>
      <c r="U1074" s="49" t="str">
        <f t="shared" si="1048"/>
        <v>CTN4</v>
      </c>
      <c r="V1074" s="49">
        <f t="shared" si="1049"/>
        <v>-5</v>
      </c>
      <c r="W1074" s="49">
        <f t="shared" si="1050"/>
        <v>79</v>
      </c>
      <c r="X1074" s="49">
        <f t="shared" si="1051"/>
        <v>-14.85</v>
      </c>
    </row>
    <row r="1075" spans="1:24" x14ac:dyDescent="0.4">
      <c r="A1075" s="1" t="s">
        <v>138</v>
      </c>
      <c r="B1075" s="1" t="s">
        <v>83</v>
      </c>
      <c r="C1075" s="1" t="s">
        <v>82</v>
      </c>
      <c r="D1075" s="1" t="s">
        <v>474</v>
      </c>
      <c r="E1075" s="1" t="s">
        <v>475</v>
      </c>
      <c r="F1075" s="1" t="s">
        <v>100</v>
      </c>
      <c r="G1075" s="1" t="s">
        <v>34</v>
      </c>
      <c r="H1075" s="1">
        <v>10</v>
      </c>
      <c r="J1075" s="51">
        <v>45490</v>
      </c>
      <c r="L1075" s="51">
        <v>45425</v>
      </c>
      <c r="M1075" s="1" t="s">
        <v>135</v>
      </c>
      <c r="N1075" s="1">
        <v>5</v>
      </c>
      <c r="O1075" s="1">
        <v>8615</v>
      </c>
      <c r="P1075" s="1">
        <v>430750</v>
      </c>
      <c r="Q1075" s="1">
        <v>-14.85</v>
      </c>
      <c r="R1075" s="1" t="s">
        <v>83</v>
      </c>
      <c r="T1075" s="50">
        <f>IF(ISNUMBER(VLOOKUP(U1075,Blotter!B:C,2,0)),VLOOKUP(U1075,Blotter!B:C,2,0),"")</f>
        <v>56</v>
      </c>
      <c r="U1075" s="49" t="str">
        <f t="shared" ref="U1075:U1076" si="1052">D1075</f>
        <v>CCN4</v>
      </c>
      <c r="V1075" s="49">
        <f t="shared" ref="V1075:V1076" si="1053">N1075</f>
        <v>5</v>
      </c>
      <c r="W1075" s="49">
        <f t="shared" ref="W1075:W1076" si="1054">O1075</f>
        <v>8615</v>
      </c>
      <c r="X1075" s="49">
        <f t="shared" ref="X1075:X1076" si="1055">Q1075</f>
        <v>-14.85</v>
      </c>
    </row>
    <row r="1076" spans="1:24" x14ac:dyDescent="0.4">
      <c r="A1076" s="1" t="s">
        <v>138</v>
      </c>
      <c r="B1076" s="1" t="s">
        <v>83</v>
      </c>
      <c r="C1076" s="1" t="s">
        <v>82</v>
      </c>
      <c r="D1076" s="1" t="s">
        <v>474</v>
      </c>
      <c r="E1076" s="1" t="s">
        <v>475</v>
      </c>
      <c r="F1076" s="1" t="s">
        <v>100</v>
      </c>
      <c r="G1076" s="1" t="s">
        <v>34</v>
      </c>
      <c r="H1076" s="1">
        <v>10</v>
      </c>
      <c r="J1076" s="51">
        <v>45490</v>
      </c>
      <c r="L1076" s="51">
        <v>45425</v>
      </c>
      <c r="M1076" s="1" t="s">
        <v>139</v>
      </c>
      <c r="N1076" s="1">
        <v>-5</v>
      </c>
      <c r="O1076" s="1">
        <v>7200</v>
      </c>
      <c r="P1076" s="1">
        <v>-360000</v>
      </c>
      <c r="Q1076" s="1">
        <v>-14.85</v>
      </c>
      <c r="R1076" s="1" t="s">
        <v>83</v>
      </c>
      <c r="T1076" s="50">
        <f>IF(ISNUMBER(VLOOKUP(U1076,Blotter!B:C,2,0)),VLOOKUP(U1076,Blotter!B:C,2,0),"")</f>
        <v>56</v>
      </c>
      <c r="U1076" s="49" t="str">
        <f t="shared" si="1052"/>
        <v>CCN4</v>
      </c>
      <c r="V1076" s="49">
        <f t="shared" si="1053"/>
        <v>-5</v>
      </c>
      <c r="W1076" s="49">
        <f t="shared" si="1054"/>
        <v>7200</v>
      </c>
      <c r="X1076" s="49">
        <f t="shared" si="1055"/>
        <v>-14.85</v>
      </c>
    </row>
    <row r="1077" spans="1:24" x14ac:dyDescent="0.4">
      <c r="A1077" s="1" t="s">
        <v>138</v>
      </c>
      <c r="B1077" s="1" t="s">
        <v>83</v>
      </c>
      <c r="C1077" s="1" t="s">
        <v>82</v>
      </c>
      <c r="D1077" s="1" t="s">
        <v>471</v>
      </c>
      <c r="E1077" s="1" t="s">
        <v>472</v>
      </c>
      <c r="F1077" s="1" t="s">
        <v>100</v>
      </c>
      <c r="G1077" s="1" t="s">
        <v>101</v>
      </c>
      <c r="H1077" s="1">
        <v>50000</v>
      </c>
      <c r="J1077" s="51">
        <v>45489</v>
      </c>
      <c r="L1077" s="51">
        <v>45435</v>
      </c>
      <c r="M1077" s="1" t="s">
        <v>139</v>
      </c>
      <c r="N1077" s="1">
        <v>-1</v>
      </c>
      <c r="O1077" s="59">
        <v>81.2</v>
      </c>
      <c r="P1077" s="1">
        <v>-40600</v>
      </c>
      <c r="Q1077" s="1">
        <v>-2.97</v>
      </c>
      <c r="R1077" s="1" t="s">
        <v>83</v>
      </c>
      <c r="T1077" s="50">
        <f>IF(ISNUMBER(VLOOKUP(U1077,Blotter!B:C,2,0)),VLOOKUP(U1077,Blotter!B:C,2,0),"")</f>
        <v>46</v>
      </c>
      <c r="U1077" s="49" t="str">
        <f t="shared" ref="U1077:U1079" si="1056">D1077</f>
        <v>CTN4</v>
      </c>
      <c r="V1077" s="49">
        <f t="shared" ref="V1077:V1079" si="1057">N1077</f>
        <v>-1</v>
      </c>
      <c r="W1077" s="49">
        <f t="shared" ref="W1077:W1079" si="1058">O1077</f>
        <v>81.2</v>
      </c>
      <c r="X1077" s="49">
        <f t="shared" ref="X1077:X1079" si="1059">Q1077</f>
        <v>-2.97</v>
      </c>
    </row>
    <row r="1078" spans="1:24" x14ac:dyDescent="0.4">
      <c r="A1078" s="1" t="s">
        <v>138</v>
      </c>
      <c r="B1078" s="1" t="s">
        <v>83</v>
      </c>
      <c r="C1078" s="1" t="s">
        <v>82</v>
      </c>
      <c r="D1078" s="1" t="s">
        <v>471</v>
      </c>
      <c r="E1078" s="1" t="s">
        <v>472</v>
      </c>
      <c r="F1078" s="1" t="s">
        <v>100</v>
      </c>
      <c r="G1078" s="1" t="s">
        <v>101</v>
      </c>
      <c r="H1078" s="1">
        <v>50000</v>
      </c>
      <c r="J1078" s="51">
        <v>45489</v>
      </c>
      <c r="L1078" s="51">
        <v>45435</v>
      </c>
      <c r="M1078" s="1" t="s">
        <v>139</v>
      </c>
      <c r="N1078" s="1">
        <v>-2</v>
      </c>
      <c r="O1078" s="59">
        <v>81.2</v>
      </c>
      <c r="P1078" s="1">
        <v>-81200</v>
      </c>
      <c r="Q1078" s="1">
        <v>-5.94</v>
      </c>
      <c r="R1078" s="1" t="s">
        <v>83</v>
      </c>
      <c r="T1078" s="50">
        <f>IF(ISNUMBER(VLOOKUP(U1078,Blotter!B:C,2,0)),VLOOKUP(U1078,Blotter!B:C,2,0),"")</f>
        <v>46</v>
      </c>
      <c r="U1078" s="49" t="str">
        <f t="shared" si="1056"/>
        <v>CTN4</v>
      </c>
      <c r="V1078" s="49">
        <f t="shared" si="1057"/>
        <v>-2</v>
      </c>
      <c r="W1078" s="49">
        <f t="shared" si="1058"/>
        <v>81.2</v>
      </c>
      <c r="X1078" s="49">
        <f t="shared" si="1059"/>
        <v>-5.94</v>
      </c>
    </row>
    <row r="1079" spans="1:24" x14ac:dyDescent="0.4">
      <c r="A1079" s="1" t="s">
        <v>138</v>
      </c>
      <c r="B1079" s="1" t="s">
        <v>83</v>
      </c>
      <c r="C1079" s="1" t="s">
        <v>82</v>
      </c>
      <c r="D1079" s="1" t="s">
        <v>471</v>
      </c>
      <c r="E1079" s="1" t="s">
        <v>472</v>
      </c>
      <c r="F1079" s="1" t="s">
        <v>100</v>
      </c>
      <c r="G1079" s="1" t="s">
        <v>101</v>
      </c>
      <c r="H1079" s="1">
        <v>50000</v>
      </c>
      <c r="J1079" s="51">
        <v>45489</v>
      </c>
      <c r="L1079" s="51">
        <v>45435</v>
      </c>
      <c r="M1079" s="1" t="s">
        <v>139</v>
      </c>
      <c r="N1079" s="1">
        <v>-1</v>
      </c>
      <c r="O1079" s="59">
        <v>81.2</v>
      </c>
      <c r="P1079" s="1">
        <v>-40600</v>
      </c>
      <c r="Q1079" s="1">
        <v>-2.97</v>
      </c>
      <c r="R1079" s="1" t="s">
        <v>83</v>
      </c>
      <c r="T1079" s="50">
        <f>IF(ISNUMBER(VLOOKUP(U1079,Blotter!B:C,2,0)),VLOOKUP(U1079,Blotter!B:C,2,0),"")</f>
        <v>46</v>
      </c>
      <c r="U1079" s="49" t="str">
        <f t="shared" si="1056"/>
        <v>CTN4</v>
      </c>
      <c r="V1079" s="49">
        <f t="shared" si="1057"/>
        <v>-1</v>
      </c>
      <c r="W1079" s="49">
        <f t="shared" si="1058"/>
        <v>81.2</v>
      </c>
      <c r="X1079" s="49">
        <f t="shared" si="1059"/>
        <v>-2.97</v>
      </c>
    </row>
    <row r="1080" spans="1:24" x14ac:dyDescent="0.4">
      <c r="A1080" s="1" t="s">
        <v>138</v>
      </c>
      <c r="B1080" s="1" t="s">
        <v>83</v>
      </c>
      <c r="C1080" s="1" t="s">
        <v>82</v>
      </c>
      <c r="D1080" s="1" t="s">
        <v>471</v>
      </c>
      <c r="E1080" s="1" t="s">
        <v>472</v>
      </c>
      <c r="F1080" s="1" t="s">
        <v>100</v>
      </c>
      <c r="G1080" s="1" t="s">
        <v>101</v>
      </c>
      <c r="H1080" s="1">
        <v>50000</v>
      </c>
      <c r="J1080" s="51">
        <v>45489</v>
      </c>
      <c r="L1080" s="51">
        <v>45435</v>
      </c>
      <c r="M1080" s="1" t="s">
        <v>139</v>
      </c>
      <c r="N1080" s="1">
        <v>-1</v>
      </c>
      <c r="O1080" s="59">
        <v>81.2</v>
      </c>
      <c r="P1080" s="1">
        <v>-40600</v>
      </c>
      <c r="Q1080" s="1">
        <v>-2.97</v>
      </c>
      <c r="R1080" s="1" t="s">
        <v>83</v>
      </c>
      <c r="T1080" s="50">
        <f>IF(ISNUMBER(VLOOKUP(U1080,Blotter!B:C,2,0)),VLOOKUP(U1080,Blotter!B:C,2,0),"")</f>
        <v>46</v>
      </c>
      <c r="U1080" s="49" t="str">
        <f t="shared" ref="U1080:U1084" si="1060">D1080</f>
        <v>CTN4</v>
      </c>
      <c r="V1080" s="49">
        <f t="shared" ref="V1080:V1084" si="1061">N1080</f>
        <v>-1</v>
      </c>
      <c r="W1080" s="49">
        <f t="shared" ref="W1080:W1084" si="1062">O1080</f>
        <v>81.2</v>
      </c>
      <c r="X1080" s="49">
        <f t="shared" ref="X1080:X1084" si="1063">Q1080</f>
        <v>-2.97</v>
      </c>
    </row>
    <row r="1081" spans="1:24" x14ac:dyDescent="0.4">
      <c r="A1081" s="1" t="s">
        <v>138</v>
      </c>
      <c r="B1081" s="1" t="s">
        <v>83</v>
      </c>
      <c r="C1081" s="1" t="s">
        <v>117</v>
      </c>
      <c r="D1081" s="1" t="s">
        <v>407</v>
      </c>
      <c r="E1081" s="1" t="s">
        <v>409</v>
      </c>
      <c r="F1081" s="1" t="s">
        <v>408</v>
      </c>
      <c r="H1081" s="1">
        <v>1</v>
      </c>
      <c r="L1081" s="51">
        <v>45435</v>
      </c>
      <c r="M1081" s="1" t="s">
        <v>135</v>
      </c>
      <c r="N1081" s="1">
        <v>90</v>
      </c>
      <c r="O1081" s="1">
        <v>50</v>
      </c>
      <c r="P1081" s="1">
        <v>4500</v>
      </c>
      <c r="Q1081" s="1">
        <v>-1</v>
      </c>
      <c r="R1081" s="1" t="s">
        <v>83</v>
      </c>
      <c r="T1081" s="50">
        <f>IF(ISNUMBER(VLOOKUP(U1081,Blotter!B:C,2,0)),VLOOKUP(U1081,Blotter!B:C,2,0),"")</f>
        <v>40</v>
      </c>
      <c r="U1081" s="49" t="str">
        <f t="shared" si="1060"/>
        <v>CYTK</v>
      </c>
      <c r="V1081" s="49">
        <f t="shared" si="1061"/>
        <v>90</v>
      </c>
      <c r="W1081" s="49">
        <f t="shared" si="1062"/>
        <v>50</v>
      </c>
      <c r="X1081" s="49">
        <f t="shared" si="1063"/>
        <v>-1</v>
      </c>
    </row>
    <row r="1082" spans="1:24" x14ac:dyDescent="0.4">
      <c r="A1082" s="1" t="s">
        <v>138</v>
      </c>
      <c r="B1082" s="1" t="s">
        <v>83</v>
      </c>
      <c r="C1082" s="1" t="s">
        <v>117</v>
      </c>
      <c r="D1082" s="1" t="s">
        <v>407</v>
      </c>
      <c r="E1082" s="1" t="s">
        <v>409</v>
      </c>
      <c r="F1082" s="1" t="s">
        <v>408</v>
      </c>
      <c r="H1082" s="1">
        <v>1</v>
      </c>
      <c r="L1082" s="51">
        <v>45435</v>
      </c>
      <c r="M1082" s="1" t="s">
        <v>135</v>
      </c>
      <c r="N1082" s="1">
        <v>100</v>
      </c>
      <c r="O1082" s="1">
        <v>50</v>
      </c>
      <c r="P1082" s="1">
        <v>5000</v>
      </c>
      <c r="Q1082" s="1">
        <v>0</v>
      </c>
      <c r="R1082" s="1" t="s">
        <v>83</v>
      </c>
      <c r="T1082" s="50">
        <f>IF(ISNUMBER(VLOOKUP(U1082,Blotter!B:C,2,0)),VLOOKUP(U1082,Blotter!B:C,2,0),"")</f>
        <v>40</v>
      </c>
      <c r="U1082" s="49" t="str">
        <f t="shared" si="1060"/>
        <v>CYTK</v>
      </c>
      <c r="V1082" s="49">
        <f t="shared" si="1061"/>
        <v>100</v>
      </c>
      <c r="W1082" s="49">
        <f t="shared" si="1062"/>
        <v>50</v>
      </c>
      <c r="X1082" s="49">
        <f t="shared" si="1063"/>
        <v>0</v>
      </c>
    </row>
    <row r="1083" spans="1:24" x14ac:dyDescent="0.4">
      <c r="A1083" s="1" t="s">
        <v>138</v>
      </c>
      <c r="B1083" s="1" t="s">
        <v>83</v>
      </c>
      <c r="C1083" s="1" t="s">
        <v>117</v>
      </c>
      <c r="D1083" s="1" t="s">
        <v>407</v>
      </c>
      <c r="E1083" s="1" t="s">
        <v>409</v>
      </c>
      <c r="F1083" s="1" t="s">
        <v>408</v>
      </c>
      <c r="H1083" s="1">
        <v>1</v>
      </c>
      <c r="L1083" s="51">
        <v>45435</v>
      </c>
      <c r="M1083" s="1" t="s">
        <v>135</v>
      </c>
      <c r="N1083" s="1">
        <v>100</v>
      </c>
      <c r="O1083" s="1">
        <v>50</v>
      </c>
      <c r="P1083" s="1">
        <v>5000</v>
      </c>
      <c r="Q1083" s="1">
        <v>-0.45</v>
      </c>
      <c r="R1083" s="1" t="s">
        <v>83</v>
      </c>
      <c r="T1083" s="50">
        <f>IF(ISNUMBER(VLOOKUP(U1083,Blotter!B:C,2,0)),VLOOKUP(U1083,Blotter!B:C,2,0),"")</f>
        <v>40</v>
      </c>
      <c r="U1083" s="49" t="str">
        <f t="shared" si="1060"/>
        <v>CYTK</v>
      </c>
      <c r="V1083" s="49">
        <f t="shared" si="1061"/>
        <v>100</v>
      </c>
      <c r="W1083" s="49">
        <f t="shared" si="1062"/>
        <v>50</v>
      </c>
      <c r="X1083" s="49">
        <f t="shared" si="1063"/>
        <v>-0.45</v>
      </c>
    </row>
    <row r="1084" spans="1:24" x14ac:dyDescent="0.4">
      <c r="A1084" s="1" t="s">
        <v>138</v>
      </c>
      <c r="B1084" s="1" t="s">
        <v>83</v>
      </c>
      <c r="C1084" s="1" t="s">
        <v>117</v>
      </c>
      <c r="D1084" s="1" t="s">
        <v>407</v>
      </c>
      <c r="E1084" s="1" t="s">
        <v>409</v>
      </c>
      <c r="F1084" s="1" t="s">
        <v>408</v>
      </c>
      <c r="H1084" s="1">
        <v>1</v>
      </c>
      <c r="L1084" s="51">
        <v>45435</v>
      </c>
      <c r="M1084" s="1" t="s">
        <v>135</v>
      </c>
      <c r="N1084" s="1">
        <v>710</v>
      </c>
      <c r="O1084" s="1">
        <v>50</v>
      </c>
      <c r="P1084" s="1">
        <v>35500</v>
      </c>
      <c r="Q1084" s="1">
        <v>-3.55</v>
      </c>
      <c r="R1084" s="1" t="s">
        <v>83</v>
      </c>
      <c r="T1084" s="50">
        <f>IF(ISNUMBER(VLOOKUP(U1084,Blotter!B:C,2,0)),VLOOKUP(U1084,Blotter!B:C,2,0),"")</f>
        <v>40</v>
      </c>
      <c r="U1084" s="49" t="str">
        <f t="shared" si="1060"/>
        <v>CYTK</v>
      </c>
      <c r="V1084" s="49">
        <f t="shared" si="1061"/>
        <v>710</v>
      </c>
      <c r="W1084" s="49">
        <f t="shared" si="1062"/>
        <v>50</v>
      </c>
      <c r="X1084" s="49">
        <f t="shared" si="1063"/>
        <v>-3.55</v>
      </c>
    </row>
  </sheetData>
  <autoFilter ref="A1:X1066" xr:uid="{B97404DB-8B78-48A9-9909-F04369C18D94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2302-EC9D-489A-8684-B03D9238DA23}">
  <sheetPr>
    <pageSetUpPr autoPageBreaks="0"/>
  </sheetPr>
  <dimension ref="A2:V90"/>
  <sheetViews>
    <sheetView showGridLines="0" topLeftCell="A30" zoomScale="90" zoomScaleNormal="90" workbookViewId="0">
      <selection activeCell="G43" sqref="G43"/>
    </sheetView>
  </sheetViews>
  <sheetFormatPr defaultRowHeight="14.25" x14ac:dyDescent="0.45"/>
  <cols>
    <col min="1" max="1" width="4.33203125" style="1" customWidth="1"/>
    <col min="2" max="2" width="19.9296875" style="1" bestFit="1" customWidth="1"/>
    <col min="3" max="3" width="25.796875" style="1" bestFit="1" customWidth="1"/>
    <col min="4" max="4" width="10.796875" style="1" bestFit="1" customWidth="1"/>
    <col min="5" max="5" width="8.1328125" style="1" bestFit="1" customWidth="1"/>
    <col min="6" max="6" width="7.3984375" style="1" bestFit="1" customWidth="1"/>
    <col min="7" max="7" width="9.265625" style="1" bestFit="1" customWidth="1"/>
    <col min="8" max="8" width="5.3984375" style="1" bestFit="1" customWidth="1"/>
    <col min="9" max="9" width="7.1328125" style="1" bestFit="1" customWidth="1"/>
    <col min="10" max="10" width="9.1328125" style="1" bestFit="1" customWidth="1"/>
    <col min="11" max="11" width="14.06640625" style="1" bestFit="1" customWidth="1"/>
    <col min="12" max="12" width="10.46484375" style="1" bestFit="1" customWidth="1"/>
    <col min="13" max="13" width="19.46484375" style="1" bestFit="1" customWidth="1"/>
    <col min="14" max="15" width="9.33203125" style="1" bestFit="1" customWidth="1"/>
    <col min="16" max="16" width="8" style="1" bestFit="1" customWidth="1"/>
    <col min="17" max="19" width="9.33203125" style="1" bestFit="1" customWidth="1"/>
    <col min="22" max="22" width="9.06640625" style="1"/>
  </cols>
  <sheetData>
    <row r="2" spans="1:21" x14ac:dyDescent="0.45"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13</v>
      </c>
      <c r="K2" s="2" t="s">
        <v>66</v>
      </c>
      <c r="L2" s="2" t="s">
        <v>238</v>
      </c>
      <c r="M2" s="2" t="s">
        <v>67</v>
      </c>
      <c r="N2" s="4" t="s">
        <v>68</v>
      </c>
      <c r="O2" s="4" t="s">
        <v>69</v>
      </c>
      <c r="P2" s="4" t="s">
        <v>70</v>
      </c>
      <c r="Q2" s="4" t="s">
        <v>71</v>
      </c>
      <c r="R2" s="4" t="s">
        <v>72</v>
      </c>
      <c r="S2" s="4" t="s">
        <v>73</v>
      </c>
    </row>
    <row r="3" spans="1:21" x14ac:dyDescent="0.45">
      <c r="B3" s="31" t="s">
        <v>74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>
        <v>1</v>
      </c>
      <c r="O3" s="33">
        <v>1</v>
      </c>
      <c r="P3" s="12"/>
      <c r="Q3" s="12"/>
      <c r="R3" s="12"/>
      <c r="S3" s="12"/>
    </row>
    <row r="4" spans="1:21" x14ac:dyDescent="0.45">
      <c r="A4" s="31"/>
      <c r="B4" s="31" t="s">
        <v>75</v>
      </c>
      <c r="C4" s="31" t="s">
        <v>75</v>
      </c>
      <c r="D4" s="31" t="s">
        <v>76</v>
      </c>
      <c r="E4" s="31" t="s">
        <v>77</v>
      </c>
      <c r="F4" s="31"/>
      <c r="G4" s="31"/>
      <c r="H4" s="31"/>
      <c r="I4" s="31"/>
      <c r="J4" s="31"/>
      <c r="K4" s="31"/>
      <c r="L4" s="31"/>
      <c r="M4" s="34" t="str">
        <f>[1]!HoadleyIBQuotes($C4,M$2,$D4,$E4,$F4,$G4,$H4,$I4,$J4,$K4)</f>
        <v/>
      </c>
      <c r="N4" s="33">
        <f>[1]!HoadleyIBQuotes($C4,N$2,$D4,$E4,$F4,$G4,$H4,$I4,$J4,$K4)</f>
        <v>0</v>
      </c>
      <c r="O4" s="33">
        <f>IF([1]!HoadleyIBQuotes($C4,O$2,$D4,$E4,$F4,$G4,$H4,$I4,$J4,$K4)&gt;0,[1]!HoadleyIBQuotes($C4,O$2,$D4,$E4,$F4,$G4,$H4,$I4,$J4,$K4),N4)</f>
        <v>0</v>
      </c>
      <c r="P4" s="35" t="str">
        <f>IF(OR(O4=0,N4=0),"",O4/N4-1)</f>
        <v/>
      </c>
      <c r="Q4" s="33">
        <f>[1]!HoadleyIBQuotes($C4,Q$2,$D4,$E4,$F4,$G4,$H4,$I4,$J4,$K4)</f>
        <v>0</v>
      </c>
      <c r="R4" s="33">
        <f>[1]!HoadleyIBQuotes($C4,R$2,$D4,$E4,$F4,$G4,$H4,$I4,$J4,$K4)</f>
        <v>0</v>
      </c>
      <c r="S4" s="33">
        <f>(R4+Q4)/2</f>
        <v>0</v>
      </c>
    </row>
    <row r="5" spans="1:21" x14ac:dyDescent="0.45">
      <c r="A5" s="31"/>
      <c r="B5" s="31" t="s">
        <v>78</v>
      </c>
      <c r="C5" s="31" t="s">
        <v>78</v>
      </c>
      <c r="D5" s="31" t="s">
        <v>76</v>
      </c>
      <c r="E5" s="31" t="s">
        <v>77</v>
      </c>
      <c r="F5" s="31"/>
      <c r="G5" s="31"/>
      <c r="H5" s="31"/>
      <c r="I5" s="31"/>
      <c r="J5" s="31"/>
      <c r="K5" s="31"/>
      <c r="L5" s="31"/>
      <c r="M5" s="34" t="str">
        <f>[1]!HoadleyIBQuotes($C5,M$2,$D5,$E5,$F5,$G5,$H5,$I5,$J5,$K5)</f>
        <v/>
      </c>
      <c r="N5" s="33">
        <f>[1]!HoadleyIBQuotes($C5,N$2,$D5,$E5,$F5,$G5,$H5,$I5,$J5,$K5)</f>
        <v>0</v>
      </c>
      <c r="O5" s="33">
        <f>IF([1]!HoadleyIBQuotes($C5,O$2,$D5,$E5,$F5,$G5,$H5,$I5,$J5,$K5)&gt;0,[1]!HoadleyIBQuotes($C5,O$2,$D5,$E5,$F5,$G5,$H5,$I5,$J5,$K5),N5)</f>
        <v>0</v>
      </c>
      <c r="P5" s="35" t="str">
        <f t="shared" ref="P5:P20" si="0">IF(OR(O5=0,N5=0),"",O5/N5-1)</f>
        <v/>
      </c>
      <c r="Q5" s="33">
        <f>[1]!HoadleyIBQuotes($C5,Q$2,$D5,$E5,$F5,$G5,$H5,$I5,$J5,$K5)</f>
        <v>0</v>
      </c>
      <c r="R5" s="33">
        <f>[1]!HoadleyIBQuotes($C5,R$2,$D5,$E5,$F5,$G5,$H5,$I5,$J5,$K5)</f>
        <v>0</v>
      </c>
      <c r="S5" s="33">
        <f t="shared" ref="S5:S20" si="1">(R5+Q5)/2</f>
        <v>0</v>
      </c>
    </row>
    <row r="6" spans="1:21" x14ac:dyDescent="0.45">
      <c r="A6" s="31"/>
      <c r="B6" s="31" t="s">
        <v>79</v>
      </c>
      <c r="C6" s="31" t="s">
        <v>79</v>
      </c>
      <c r="D6" s="31" t="s">
        <v>76</v>
      </c>
      <c r="E6" s="31" t="s">
        <v>77</v>
      </c>
      <c r="F6" s="31"/>
      <c r="G6" s="31"/>
      <c r="H6" s="31"/>
      <c r="I6" s="31"/>
      <c r="J6" s="31"/>
      <c r="K6" s="31"/>
      <c r="L6" s="31"/>
      <c r="M6" s="34" t="str">
        <f>[1]!HoadleyIBQuotes($C6,M$2,$D6,$E6,$F6,$G6,$H6,$I6,$J6,$K6)</f>
        <v/>
      </c>
      <c r="N6" s="33">
        <f>[1]!HoadleyIBQuotes($C6,N$2,$D6,$E6,$F6,$G6,$H6,$I6,$J6,$K6)</f>
        <v>0</v>
      </c>
      <c r="O6" s="33">
        <f>IF([1]!HoadleyIBQuotes($C6,O$2,$D6,$E6,$F6,$G6,$H6,$I6,$J6,$K6)&gt;0,[1]!HoadleyIBQuotes($C6,O$2,$D6,$E6,$F6,$G6,$H6,$I6,$J6,$K6),N6)</f>
        <v>0</v>
      </c>
      <c r="P6" s="35" t="str">
        <f t="shared" si="0"/>
        <v/>
      </c>
      <c r="Q6" s="33">
        <f>[1]!HoadleyIBQuotes($C6,Q$2,$D6,$E6,$F6,$G6,$H6,$I6,$J6,$K6)</f>
        <v>0</v>
      </c>
      <c r="R6" s="33">
        <f>[1]!HoadleyIBQuotes($C6,R$2,$D6,$E6,$F6,$G6,$H6,$I6,$J6,$K6)</f>
        <v>0</v>
      </c>
      <c r="S6" s="33">
        <f t="shared" si="1"/>
        <v>0</v>
      </c>
    </row>
    <row r="7" spans="1:21" x14ac:dyDescent="0.45">
      <c r="A7" s="31"/>
      <c r="B7" s="31" t="s">
        <v>80</v>
      </c>
      <c r="C7" s="31" t="s">
        <v>81</v>
      </c>
      <c r="D7" s="31" t="s">
        <v>76</v>
      </c>
      <c r="E7" s="31" t="s">
        <v>77</v>
      </c>
      <c r="F7" s="31"/>
      <c r="G7" s="31"/>
      <c r="H7" s="31"/>
      <c r="I7" s="31"/>
      <c r="J7" s="31"/>
      <c r="K7" s="31"/>
      <c r="L7" s="31"/>
      <c r="M7" s="34" t="str">
        <f>[1]!HoadleyIBQuotes($C7,M$2,$D7,$E7,$F7,$G7,$H7,$I7,$J7,$K7)</f>
        <v/>
      </c>
      <c r="N7" s="36">
        <f>[1]!HoadleyIBQuotes($C7,N$2,$D7,$E7,$F7,$G7,$H7,$I7,$J7,$K7)</f>
        <v>0</v>
      </c>
      <c r="O7" s="36">
        <f>IF([1]!HoadleyIBQuotes($C7,O$2,$D7,$E7,$F7,$G7,$H7,$I7,$J7,$K7)&gt;0,[1]!HoadleyIBQuotes($C7,O$2,$D7,$E7,$F7,$G7,$H7,$I7,$J7,$K7),N7)</f>
        <v>0</v>
      </c>
      <c r="P7" s="35" t="str">
        <f t="shared" si="0"/>
        <v/>
      </c>
      <c r="Q7" s="36">
        <f>[1]!HoadleyIBQuotes($C7,Q$2,$D7,$E7,$F7,$G7,$H7,$I7,$J7,$K7)</f>
        <v>0</v>
      </c>
      <c r="R7" s="36">
        <f>[1]!HoadleyIBQuotes($C7,R$2,$D7,$E7,$F7,$G7,$H7,$I7,$J7,$K7)</f>
        <v>0</v>
      </c>
      <c r="S7" s="36">
        <f t="shared" si="1"/>
        <v>0</v>
      </c>
    </row>
    <row r="8" spans="1:21" x14ac:dyDescent="0.45">
      <c r="A8" s="31"/>
      <c r="B8" s="31"/>
      <c r="C8" s="31" t="s">
        <v>74</v>
      </c>
      <c r="D8" s="31" t="s">
        <v>82</v>
      </c>
      <c r="E8" s="31" t="s">
        <v>124</v>
      </c>
      <c r="F8" s="31" t="s">
        <v>83</v>
      </c>
      <c r="G8" s="31">
        <v>202306</v>
      </c>
      <c r="H8" s="31"/>
      <c r="I8" s="31"/>
      <c r="J8" s="31">
        <v>125000</v>
      </c>
      <c r="K8" s="31"/>
      <c r="L8" s="31"/>
      <c r="M8" s="34" t="str">
        <f>[1]!HoadleyIBQuotes($C8,M$2,$D8,$E8,$F8,$G8,$H8,$I8,$J8,$K8)</f>
        <v/>
      </c>
      <c r="N8" s="33">
        <f>[1]!HoadleyIBQuotes($C8,N$2,$D8,$E8,$F8,$G8,$H8,$I8,$J8,$K8)</f>
        <v>0</v>
      </c>
      <c r="O8" s="33">
        <f>IF([1]!HoadleyIBQuotes($C8,O$2,$D8,$E8,$F8,$G8,$H8,$I8,$J8,$K8)&gt;0,[1]!HoadleyIBQuotes($C8,O$2,$D8,$E8,$F8,$G8,$H8,$I8,$J8,$K8),N8)</f>
        <v>0</v>
      </c>
      <c r="P8" s="35" t="str">
        <f t="shared" si="0"/>
        <v/>
      </c>
      <c r="Q8" s="33">
        <f>[1]!HoadleyIBQuotes($C8,Q$2,$D8,$E8,$F8,$G8,$H8,$I8,$J8,$K8)</f>
        <v>0</v>
      </c>
      <c r="R8" s="33">
        <f>[1]!HoadleyIBQuotes($C8,R$2,$D8,$E8,$F8,$G8,$H8,$I8,$J8,$K8)</f>
        <v>0</v>
      </c>
      <c r="S8" s="33">
        <f t="shared" si="1"/>
        <v>0</v>
      </c>
    </row>
    <row r="9" spans="1:21" x14ac:dyDescent="0.45">
      <c r="B9" s="31" t="s">
        <v>84</v>
      </c>
      <c r="C9" s="31" t="s">
        <v>80</v>
      </c>
      <c r="D9" s="31" t="s">
        <v>82</v>
      </c>
      <c r="E9" s="31" t="s">
        <v>124</v>
      </c>
      <c r="F9" s="31" t="s">
        <v>83</v>
      </c>
      <c r="G9" s="31">
        <v>202306</v>
      </c>
      <c r="H9" s="31"/>
      <c r="I9" s="31"/>
      <c r="J9" s="31">
        <v>12500000</v>
      </c>
      <c r="K9" s="31"/>
      <c r="L9" s="31"/>
      <c r="M9" s="34" t="str">
        <f>[1]!HoadleyIBQuotes($C9,M$2,$D9,$E9,$F9,$G9,$H9,$I9,$J9,$K9)</f>
        <v/>
      </c>
      <c r="N9" s="33">
        <f>[1]!HoadleyIBQuotes($C9,N$2,$D9,$E9,$F9,$G9,$H9,$I9,$J9,$K9)</f>
        <v>0</v>
      </c>
      <c r="O9" s="33">
        <f>IF([1]!HoadleyIBQuotes($C9,O$2,$D9,$E9,$F9,$G9,$H9,$I9,$J9,$K9)&gt;0,[1]!HoadleyIBQuotes($C9,O$2,$D9,$E9,$F9,$G9,$H9,$I9,$J9,$K9),N9)</f>
        <v>0</v>
      </c>
      <c r="P9" s="35" t="str">
        <f t="shared" si="0"/>
        <v/>
      </c>
      <c r="Q9" s="33">
        <f>[1]!HoadleyIBQuotes($C9,Q$2,$D9,$E9,$F9,$G9,$H9,$I9,$J9,$K9)</f>
        <v>0</v>
      </c>
      <c r="R9" s="33">
        <f>[1]!HoadleyIBQuotes($C9,R$2,$D9,$E9,$F9,$G9,$H9,$I9,$J9,$K9)</f>
        <v>0</v>
      </c>
      <c r="S9" s="33">
        <f t="shared" si="1"/>
        <v>0</v>
      </c>
    </row>
    <row r="10" spans="1:21" ht="13.9" customHeight="1" x14ac:dyDescent="0.45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4"/>
      <c r="N10" s="33"/>
      <c r="O10" s="33"/>
      <c r="P10" s="35"/>
      <c r="Q10" s="33"/>
      <c r="R10" s="33"/>
      <c r="S10" s="33"/>
    </row>
    <row r="11" spans="1:21" ht="13.9" customHeight="1" x14ac:dyDescent="0.45">
      <c r="B11" s="31" t="s">
        <v>249</v>
      </c>
      <c r="C11" s="31" t="s">
        <v>388</v>
      </c>
      <c r="D11" s="31" t="s">
        <v>137</v>
      </c>
      <c r="E11" s="31" t="s">
        <v>88</v>
      </c>
      <c r="F11" s="31" t="s">
        <v>83</v>
      </c>
      <c r="G11" s="31"/>
      <c r="H11" s="31"/>
      <c r="I11" s="31"/>
      <c r="J11" s="31"/>
      <c r="K11" s="31"/>
      <c r="L11" s="31"/>
      <c r="M11" s="34" t="str">
        <f>[1]!HoadleyIBQuotes($C11,M$2,$D11,$E11,$F11,$G11,$H11,$I11,$J11,$K11)</f>
        <v/>
      </c>
      <c r="N11" s="33">
        <f>[1]!HoadleyIBQuotes($C11,N$2,$D11,$E11,$F11,$G11,$H11,$I11,$J11,$K11)</f>
        <v>0</v>
      </c>
      <c r="O11" s="33">
        <f>IF([1]!HoadleyIBQuotes($C11,O$2,$D11,$E11,$F11,$G11,$H11,$I11,$J11,$K11)&gt;0,[1]!HoadleyIBQuotes($C11,O$2,$D11,$E11,$F11,$G11,$H11,$I11,$J11,$K11),N11)</f>
        <v>0</v>
      </c>
      <c r="P11" s="35" t="str">
        <f t="shared" ref="P11" si="2">IF(OR(O11=0,N11=0),"",O11/N11-1)</f>
        <v/>
      </c>
      <c r="Q11" s="33">
        <f>[1]!HoadleyIBQuotes($C11,Q$2,$D11,$E11,$F11,$G11,$H11,$I11,$J11,$K11)</f>
        <v>0</v>
      </c>
      <c r="R11" s="33">
        <f>[1]!HoadleyIBQuotes($C11,R$2,$D11,$E11,$F11,$G11,$H11,$I11,$J11,$K11)</f>
        <v>0</v>
      </c>
      <c r="S11" s="33">
        <f t="shared" ref="S11" si="3">(R11+Q11)/2</f>
        <v>0</v>
      </c>
      <c r="U11" s="31" t="s">
        <v>248</v>
      </c>
    </row>
    <row r="12" spans="1:21" ht="13.9" customHeight="1" x14ac:dyDescent="0.45">
      <c r="B12" s="31" t="s">
        <v>325</v>
      </c>
      <c r="C12" s="31" t="s">
        <v>389</v>
      </c>
      <c r="D12" s="31" t="s">
        <v>137</v>
      </c>
      <c r="E12" s="31" t="s">
        <v>88</v>
      </c>
      <c r="F12" s="31" t="s">
        <v>83</v>
      </c>
      <c r="G12" s="31"/>
      <c r="H12" s="31"/>
      <c r="I12" s="31"/>
      <c r="J12" s="31"/>
      <c r="K12" s="31"/>
      <c r="L12" s="31"/>
      <c r="M12" s="34" t="str">
        <f>[1]!HoadleyIBQuotes($C12,M$2,$D12,$E12,$F12,$G12,$H12,$I12,$J12,$K12)</f>
        <v/>
      </c>
      <c r="N12" s="33">
        <f>[1]!HoadleyIBQuotes($C12,N$2,$D12,$E12,$F12,$G12,$H12,$I12,$J12,$K12)</f>
        <v>0</v>
      </c>
      <c r="O12" s="33">
        <f>IF([1]!HoadleyIBQuotes($C12,O$2,$D12,$E12,$F12,$G12,$H12,$I12,$J12,$K12)&gt;0,[1]!HoadleyIBQuotes($C12,O$2,$D12,$E12,$F12,$G12,$H12,$I12,$J12,$K12),N12)</f>
        <v>0</v>
      </c>
      <c r="P12" s="35" t="str">
        <f t="shared" ref="P12" si="4">IF(OR(O12=0,N12=0),"",O12/N12-1)</f>
        <v/>
      </c>
      <c r="Q12" s="33">
        <f>[1]!HoadleyIBQuotes($C12,Q$2,$D12,$E12,$F12,$G12,$H12,$I12,$J12,$K12)</f>
        <v>0</v>
      </c>
      <c r="R12" s="33">
        <f>[1]!HoadleyIBQuotes($C12,R$2,$D12,$E12,$F12,$G12,$H12,$I12,$J12,$K12)</f>
        <v>0</v>
      </c>
      <c r="S12" s="33">
        <f t="shared" ref="S12" si="5">(R12+Q12)/2</f>
        <v>0</v>
      </c>
      <c r="U12" s="31" t="s">
        <v>326</v>
      </c>
    </row>
    <row r="13" spans="1:21" ht="13.9" customHeight="1" x14ac:dyDescent="0.45">
      <c r="B13" s="31" t="s">
        <v>347</v>
      </c>
      <c r="C13" s="31" t="s">
        <v>390</v>
      </c>
      <c r="D13" s="31" t="s">
        <v>137</v>
      </c>
      <c r="E13" s="31" t="s">
        <v>88</v>
      </c>
      <c r="F13" s="31" t="s">
        <v>83</v>
      </c>
      <c r="G13" s="31"/>
      <c r="H13" s="31"/>
      <c r="I13" s="31"/>
      <c r="J13" s="31"/>
      <c r="K13" s="31"/>
      <c r="L13" s="31"/>
      <c r="M13" s="34" t="str">
        <f>[1]!HoadleyIBQuotes($C13,M$2,$D13,$E13,$F13,$G13,$H13,$I13,$J13,$K13)</f>
        <v/>
      </c>
      <c r="N13" s="33">
        <f>[1]!HoadleyIBQuotes($C13,N$2,$D13,$E13,$F13,$G13,$H13,$I13,$J13,$K13)</f>
        <v>0</v>
      </c>
      <c r="O13" s="33">
        <f>IF([1]!HoadleyIBQuotes($C13,O$2,$D13,$E13,$F13,$G13,$H13,$I13,$J13,$K13)&gt;0,[1]!HoadleyIBQuotes($C13,O$2,$D13,$E13,$F13,$G13,$H13,$I13,$J13,$K13),N13)</f>
        <v>0</v>
      </c>
      <c r="P13" s="35" t="str">
        <f t="shared" ref="P13" si="6">IF(OR(O13=0,N13=0),"",O13/N13-1)</f>
        <v/>
      </c>
      <c r="Q13" s="33">
        <f>[1]!HoadleyIBQuotes($C13,Q$2,$D13,$E13,$F13,$G13,$H13,$I13,$J13,$K13)</f>
        <v>0</v>
      </c>
      <c r="R13" s="33">
        <f>[1]!HoadleyIBQuotes($C13,R$2,$D13,$E13,$F13,$G13,$H13,$I13,$J13,$K13)</f>
        <v>0</v>
      </c>
      <c r="S13" s="33">
        <f t="shared" ref="S13" si="7">(R13+Q13)/2</f>
        <v>0</v>
      </c>
      <c r="U13" s="31" t="s">
        <v>349</v>
      </c>
    </row>
    <row r="14" spans="1:21" ht="13.9" customHeight="1" x14ac:dyDescent="0.45">
      <c r="B14" s="31" t="s">
        <v>467</v>
      </c>
      <c r="C14" s="31" t="s">
        <v>469</v>
      </c>
      <c r="D14" s="31" t="s">
        <v>137</v>
      </c>
      <c r="E14" s="31" t="s">
        <v>88</v>
      </c>
      <c r="F14" s="31" t="s">
        <v>83</v>
      </c>
      <c r="G14" s="31"/>
      <c r="H14" s="31"/>
      <c r="I14" s="31"/>
      <c r="J14" s="31"/>
      <c r="K14" s="31"/>
      <c r="L14" s="31"/>
      <c r="M14" s="34" t="str">
        <f>[1]!HoadleyIBQuotes($C14,M$2,$D14,$E14,$F14,$G14,$H14,$I14,$J14,$K14)</f>
        <v/>
      </c>
      <c r="N14" s="33">
        <f>[1]!HoadleyIBQuotes($C14,N$2,$D14,$E14,$F14,$G14,$H14,$I14,$J14,$K14)</f>
        <v>0</v>
      </c>
      <c r="O14" s="33">
        <f>IF([1]!HoadleyIBQuotes($C14,O$2,$D14,$E14,$F14,$G14,$H14,$I14,$J14,$K14)&gt;0,[1]!HoadleyIBQuotes($C14,O$2,$D14,$E14,$F14,$G14,$H14,$I14,$J14,$K14),N14)</f>
        <v>0</v>
      </c>
      <c r="P14" s="35" t="str">
        <f t="shared" ref="P14" si="8">IF(OR(O14=0,N14=0),"",O14/N14-1)</f>
        <v/>
      </c>
      <c r="Q14" s="33">
        <f>[1]!HoadleyIBQuotes($C14,Q$2,$D14,$E14,$F14,$G14,$H14,$I14,$J14,$K14)</f>
        <v>0</v>
      </c>
      <c r="R14" s="33">
        <f>[1]!HoadleyIBQuotes($C14,R$2,$D14,$E14,$F14,$G14,$H14,$I14,$J14,$K14)</f>
        <v>0</v>
      </c>
      <c r="S14" s="33">
        <f t="shared" ref="S14" si="9">(R14+Q14)/2</f>
        <v>0</v>
      </c>
    </row>
    <row r="15" spans="1:21" ht="13.9" customHeight="1" x14ac:dyDescent="0.45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4"/>
      <c r="N15" s="33"/>
      <c r="O15" s="33"/>
      <c r="P15" s="35"/>
      <c r="Q15" s="33"/>
      <c r="R15" s="33"/>
      <c r="S15" s="33"/>
    </row>
    <row r="16" spans="1:21" ht="13.9" customHeight="1" x14ac:dyDescent="0.45">
      <c r="B16" s="31" t="s">
        <v>312</v>
      </c>
      <c r="C16" s="31" t="s">
        <v>21</v>
      </c>
      <c r="D16" s="31" t="s">
        <v>86</v>
      </c>
      <c r="E16" s="31" t="s">
        <v>124</v>
      </c>
      <c r="F16" s="31" t="s">
        <v>83</v>
      </c>
      <c r="G16" s="31">
        <v>20231130</v>
      </c>
      <c r="H16" s="31">
        <v>4400</v>
      </c>
      <c r="I16" s="31" t="s">
        <v>57</v>
      </c>
      <c r="J16" s="31">
        <v>50</v>
      </c>
      <c r="K16" s="31"/>
      <c r="L16" s="31" t="s">
        <v>310</v>
      </c>
      <c r="M16" s="34" t="str">
        <f>[1]!HoadleyIBQuotes($C16,M$2,$D16,$E16,$F16,$G16,$H16,$I16,$J16,$K16)</f>
        <v/>
      </c>
      <c r="N16" s="36">
        <f>[1]!HoadleyIBQuotes($C16,N$2,$D16,$E16,$F16,$G16,$H16,$I16,$J16,$K16)</f>
        <v>0</v>
      </c>
      <c r="O16" s="36">
        <f>IF([1]!HoadleyIBQuotes($C16,O$2,$D16,$E16,$F16,$G16,$H16,$I16,$J16,$K16)&gt;0,[1]!HoadleyIBQuotes($C16,O$2,$D16,$E16,$F16,$G16,$H16,$I16,$J16,$K16),N16)</f>
        <v>0</v>
      </c>
      <c r="P16" s="35" t="str">
        <f t="shared" ref="P16" si="10">IF(OR(O16=0,N16=0),"",O16/N16-1)</f>
        <v/>
      </c>
      <c r="Q16" s="36">
        <f>[1]!HoadleyIBQuotes($C16,Q$2,$D16,$E16,$F16,$G16,$H16,$I16,$J16,$K16)</f>
        <v>0</v>
      </c>
      <c r="R16" s="36">
        <f>[1]!HoadleyIBQuotes($C16,R$2,$D16,$E16,$F16,$G16,$H16,$I16,$J16,$K16)</f>
        <v>0</v>
      </c>
      <c r="S16" s="36">
        <f t="shared" ref="S16" si="11">(R16+Q16)/2</f>
        <v>0</v>
      </c>
    </row>
    <row r="17" spans="2:22" ht="13.9" customHeight="1" x14ac:dyDescent="0.45">
      <c r="B17" s="31" t="s">
        <v>311</v>
      </c>
      <c r="C17" s="31" t="s">
        <v>21</v>
      </c>
      <c r="D17" s="31" t="s">
        <v>86</v>
      </c>
      <c r="E17" s="31" t="s">
        <v>124</v>
      </c>
      <c r="F17" s="31" t="s">
        <v>83</v>
      </c>
      <c r="G17" s="31">
        <v>20231130</v>
      </c>
      <c r="H17" s="31">
        <v>4200</v>
      </c>
      <c r="I17" s="31" t="s">
        <v>89</v>
      </c>
      <c r="J17" s="31">
        <v>50</v>
      </c>
      <c r="K17" s="31"/>
      <c r="L17" s="31" t="s">
        <v>310</v>
      </c>
      <c r="M17" s="34" t="str">
        <f>[1]!HoadleyIBQuotes($C17,M$2,$D17,$E17,$F17,$G17,$H17,$I17,$J17,$K17)</f>
        <v/>
      </c>
      <c r="N17" s="36">
        <f>[1]!HoadleyIBQuotes($C17,N$2,$D17,$E17,$F17,$G17,$H17,$I17,$J17,$K17)</f>
        <v>0</v>
      </c>
      <c r="O17" s="36">
        <f>IF([1]!HoadleyIBQuotes($C17,O$2,$D17,$E17,$F17,$G17,$H17,$I17,$J17,$K17)&gt;0,[1]!HoadleyIBQuotes($C17,O$2,$D17,$E17,$F17,$G17,$H17,$I17,$J17,$K17),N17)</f>
        <v>0</v>
      </c>
      <c r="P17" s="35" t="str">
        <f t="shared" ref="P17" si="12">IF(OR(O17=0,N17=0),"",O17/N17-1)</f>
        <v/>
      </c>
      <c r="Q17" s="36">
        <f>[1]!HoadleyIBQuotes($C17,Q$2,$D17,$E17,$F17,$G17,$H17,$I17,$J17,$K17)</f>
        <v>0</v>
      </c>
      <c r="R17" s="36">
        <f>[1]!HoadleyIBQuotes($C17,R$2,$D17,$E17,$F17,$G17,$H17,$I17,$J17,$K17)</f>
        <v>0</v>
      </c>
      <c r="S17" s="36">
        <f t="shared" ref="S17" si="13">(R17+Q17)/2</f>
        <v>0</v>
      </c>
    </row>
    <row r="18" spans="2:22" ht="13.9" customHeight="1" x14ac:dyDescent="0.45">
      <c r="B18" s="31" t="s">
        <v>442</v>
      </c>
      <c r="C18" s="31" t="s">
        <v>21</v>
      </c>
      <c r="D18" s="31" t="s">
        <v>86</v>
      </c>
      <c r="E18" s="31" t="s">
        <v>124</v>
      </c>
      <c r="F18" s="31" t="s">
        <v>83</v>
      </c>
      <c r="G18" s="31">
        <v>20240430</v>
      </c>
      <c r="H18" s="31">
        <v>4920</v>
      </c>
      <c r="I18" s="31" t="s">
        <v>89</v>
      </c>
      <c r="J18" s="31">
        <v>50</v>
      </c>
      <c r="K18" s="31" t="s">
        <v>124</v>
      </c>
      <c r="L18" s="31" t="s">
        <v>310</v>
      </c>
      <c r="M18" s="34" t="str">
        <f>[1]!HoadleyIBQuotes($C18,M$2,$D18,$E18,$F18,$G18,$H18,$I18,$J18,$K18)</f>
        <v/>
      </c>
      <c r="N18" s="36">
        <f>[1]!HoadleyIBQuotes($C18,N$2,$D18,$E18,$F18,$G18,$H18,$I18,$J18,$K18)</f>
        <v>0</v>
      </c>
      <c r="O18" s="36">
        <f>IF([1]!HoadleyIBQuotes($C18,O$2,$D18,$E18,$F18,$G18,$H18,$I18,$J18,$K18)&gt;0,[1]!HoadleyIBQuotes($C18,O$2,$D18,$E18,$F18,$G18,$H18,$I18,$J18,$K18),N18)</f>
        <v>0</v>
      </c>
      <c r="P18" s="35" t="str">
        <f t="shared" ref="P18:P19" si="14">IF(OR(O18=0,N18=0),"",O18/N18-1)</f>
        <v/>
      </c>
      <c r="Q18" s="36">
        <f>[1]!HoadleyIBQuotes($C18,Q$2,$D18,$E18,$F18,$G18,$H18,$I18,$J18,$K18)</f>
        <v>0</v>
      </c>
      <c r="R18" s="36">
        <f>[1]!HoadleyIBQuotes($C18,R$2,$D18,$E18,$F18,$G18,$H18,$I18,$J18,$K18)</f>
        <v>0</v>
      </c>
      <c r="S18" s="36">
        <f t="shared" ref="S18:S19" si="15">(R18+Q18)/2</f>
        <v>0</v>
      </c>
    </row>
    <row r="19" spans="2:22" ht="13.9" customHeight="1" x14ac:dyDescent="0.45">
      <c r="B19" s="31" t="s">
        <v>445</v>
      </c>
      <c r="C19" s="31" t="s">
        <v>21</v>
      </c>
      <c r="D19" s="31" t="s">
        <v>86</v>
      </c>
      <c r="E19" s="31" t="s">
        <v>124</v>
      </c>
      <c r="F19" s="31" t="s">
        <v>83</v>
      </c>
      <c r="G19" s="31">
        <v>20240430</v>
      </c>
      <c r="H19" s="31">
        <v>5020</v>
      </c>
      <c r="I19" s="31" t="s">
        <v>89</v>
      </c>
      <c r="J19" s="31">
        <v>50</v>
      </c>
      <c r="K19" s="31" t="s">
        <v>124</v>
      </c>
      <c r="L19" s="31" t="s">
        <v>310</v>
      </c>
      <c r="M19" s="34" t="str">
        <f>[1]!HoadleyIBQuotes($C19,M$2,$D19,$E19,$F19,$G19,$H19,$I19,$J19,$K19)</f>
        <v/>
      </c>
      <c r="N19" s="36">
        <f>[1]!HoadleyIBQuotes($C19,N$2,$D19,$E19,$F19,$G19,$H19,$I19,$J19,$K19)</f>
        <v>0</v>
      </c>
      <c r="O19" s="36">
        <f>IF([1]!HoadleyIBQuotes($C19,O$2,$D19,$E19,$F19,$G19,$H19,$I19,$J19,$K19)&gt;0,[1]!HoadleyIBQuotes($C19,O$2,$D19,$E19,$F19,$G19,$H19,$I19,$J19,$K19),N19)</f>
        <v>0</v>
      </c>
      <c r="P19" s="35" t="str">
        <f t="shared" si="14"/>
        <v/>
      </c>
      <c r="Q19" s="36">
        <f>[1]!HoadleyIBQuotes($C19,Q$2,$D19,$E19,$F19,$G19,$H19,$I19,$J19,$K19)</f>
        <v>0</v>
      </c>
      <c r="R19" s="36">
        <f>[1]!HoadleyIBQuotes($C19,R$2,$D19,$E19,$F19,$G19,$H19,$I19,$J19,$K19)</f>
        <v>0</v>
      </c>
      <c r="S19" s="36">
        <f t="shared" si="15"/>
        <v>0</v>
      </c>
    </row>
    <row r="20" spans="2:22" x14ac:dyDescent="0.45">
      <c r="B20" s="31" t="s">
        <v>142</v>
      </c>
      <c r="C20" s="31" t="s">
        <v>22</v>
      </c>
      <c r="D20" s="31" t="s">
        <v>86</v>
      </c>
      <c r="E20" s="31" t="s">
        <v>124</v>
      </c>
      <c r="F20" s="31" t="s">
        <v>83</v>
      </c>
      <c r="G20" s="31">
        <v>20230630</v>
      </c>
      <c r="H20" s="31">
        <v>13800</v>
      </c>
      <c r="I20" s="31" t="s">
        <v>57</v>
      </c>
      <c r="J20" s="31">
        <v>20</v>
      </c>
      <c r="K20" s="31"/>
      <c r="L20" s="31"/>
      <c r="M20" s="34" t="str">
        <f>[1]!HoadleyIBQuotes($C20,M$2,$D20,$E20,$F20,$G20,$H20,$I20,$J20,$K20)</f>
        <v/>
      </c>
      <c r="N20" s="36">
        <f>[1]!HoadleyIBQuotes($C20,N$2,$D20,$E20,$F20,$G20,$H20,$I20,$J20,$K20)</f>
        <v>0</v>
      </c>
      <c r="O20" s="36">
        <f>IF([1]!HoadleyIBQuotes($C20,O$2,$D20,$E20,$F20,$G20,$H20,$I20,$J20,$K20)&gt;0,[1]!HoadleyIBQuotes($C20,O$2,$D20,$E20,$F20,$G20,$H20,$I20,$J20,$K20),N20)</f>
        <v>0</v>
      </c>
      <c r="P20" s="35" t="str">
        <f t="shared" si="0"/>
        <v/>
      </c>
      <c r="Q20" s="36">
        <f>[1]!HoadleyIBQuotes($C20,Q$2,$D20,$E20,$F20,$G20,$H20,$I20,$J20,$K20)</f>
        <v>0</v>
      </c>
      <c r="R20" s="36">
        <f>[1]!HoadleyIBQuotes($C20,R$2,$D20,$E20,$F20,$G20,$H20,$I20,$J20,$K20)</f>
        <v>0</v>
      </c>
      <c r="S20" s="36">
        <f t="shared" si="1"/>
        <v>0</v>
      </c>
    </row>
    <row r="21" spans="2:22" x14ac:dyDescent="0.45">
      <c r="B21" s="31" t="s">
        <v>243</v>
      </c>
      <c r="C21" s="31" t="s">
        <v>28</v>
      </c>
      <c r="D21" s="31" t="s">
        <v>86</v>
      </c>
      <c r="E21" s="31" t="s">
        <v>127</v>
      </c>
      <c r="F21" s="31" t="s">
        <v>83</v>
      </c>
      <c r="G21" s="31">
        <v>20231124</v>
      </c>
      <c r="H21" s="31">
        <v>600</v>
      </c>
      <c r="I21" s="31" t="s">
        <v>57</v>
      </c>
      <c r="J21" s="31">
        <v>5000</v>
      </c>
      <c r="K21" s="31"/>
      <c r="L21" s="31" t="s">
        <v>237</v>
      </c>
      <c r="M21" s="34" t="str">
        <f>[1]!HoadleyIBQuotes($C21,M$2,$D21,$E21,$F21,$G21,$H21,$I21,$J21,$K21)</f>
        <v/>
      </c>
      <c r="N21" s="36">
        <f>[1]!HoadleyIBQuotes($C21,N$2,$D21,$E21,$F21,$G21,$H21,$I21,$J21,$K21,$L21)</f>
        <v>0</v>
      </c>
      <c r="O21" s="36">
        <f>IF([1]!HoadleyIBQuotes($C21,O$2,$D21,$E21,$F21,$G21,$H21,$I21,$J21,$K21)&gt;0,[1]!HoadleyIBQuotes($C21,O$2,$D21,$E21,$F21,$G21,$H21,$I21,$J21,$K21),N21)</f>
        <v>0</v>
      </c>
      <c r="P21" s="35" t="str">
        <f t="shared" ref="P21" si="16">IF(OR(O21=0,N21=0),"",O21/N21-1)</f>
        <v/>
      </c>
      <c r="Q21" s="36">
        <f>[1]!HoadleyIBQuotes($C21,Q$2,$D21,$E21,$F21,$G21,$H21,$I21,$J21,$K21,$L21)</f>
        <v>0</v>
      </c>
      <c r="R21" s="36">
        <f>[1]!HoadleyIBQuotes($C21,R$2,$D21,$E21,$F21,$G21,$H21,$I21,$J21,$K21,$L21)</f>
        <v>0</v>
      </c>
      <c r="S21" s="36">
        <f t="shared" ref="S21" si="17">(R21+Q21)/2</f>
        <v>0</v>
      </c>
      <c r="U21" s="57"/>
      <c r="V21" s="58"/>
    </row>
    <row r="22" spans="2:22" x14ac:dyDescent="0.45">
      <c r="B22" s="31" t="s">
        <v>202</v>
      </c>
      <c r="C22" s="31" t="s">
        <v>4</v>
      </c>
      <c r="D22" s="31" t="s">
        <v>87</v>
      </c>
      <c r="E22" s="31" t="s">
        <v>88</v>
      </c>
      <c r="F22" s="31" t="s">
        <v>83</v>
      </c>
      <c r="G22" s="31">
        <v>20230622</v>
      </c>
      <c r="H22" s="31">
        <v>4340</v>
      </c>
      <c r="I22" s="31" t="s">
        <v>89</v>
      </c>
      <c r="J22" s="31">
        <v>100</v>
      </c>
      <c r="K22" s="31"/>
      <c r="L22" s="31"/>
      <c r="M22" s="34" t="str">
        <f>[1]!HoadleyIBQuotes($C22,M$2,$D22,$E22,$F22,$G22,$H22,$I22,$J22,$K22)</f>
        <v/>
      </c>
      <c r="N22" s="36">
        <f>[1]!HoadleyIBQuotes($C22,N$2,$D22,$E22,$F22,$G22,$H22,$I22,$J22,$K22,$L22)</f>
        <v>0</v>
      </c>
      <c r="O22" s="36">
        <f>IF([1]!HoadleyIBQuotes($C22,O$2,$D22,$E22,$F22,$G22,$H22,$I22,$J22,$K22)&gt;0,[1]!HoadleyIBQuotes($C22,O$2,$D22,$E22,$F22,$G22,$H22,$I22,$J22,$K22),N22)</f>
        <v>0</v>
      </c>
      <c r="P22" s="35" t="str">
        <f t="shared" ref="P22:P36" si="18">IF(OR(O22=0,N22=0),"",O22/N22-1)</f>
        <v/>
      </c>
      <c r="Q22" s="36">
        <f>[1]!HoadleyIBQuotes($C22,Q$2,$D22,$E22,$F22,$G22,$H22,$I22,$J22,$K22,$L22)</f>
        <v>0</v>
      </c>
      <c r="R22" s="36">
        <f>[1]!HoadleyIBQuotes($C22,R$2,$D22,$E22,$F22,$G22,$H22,$I22,$J22,$K22,$L22)</f>
        <v>0</v>
      </c>
      <c r="S22" s="36">
        <f t="shared" ref="S22:S36" si="19">(R22+Q22)/2</f>
        <v>0</v>
      </c>
    </row>
    <row r="23" spans="2:22" x14ac:dyDescent="0.45">
      <c r="B23" s="31" t="s">
        <v>270</v>
      </c>
      <c r="C23" s="31" t="s">
        <v>4</v>
      </c>
      <c r="D23" s="31" t="s">
        <v>87</v>
      </c>
      <c r="E23" s="31" t="s">
        <v>88</v>
      </c>
      <c r="F23" s="31" t="s">
        <v>83</v>
      </c>
      <c r="G23" s="31">
        <v>20231019</v>
      </c>
      <c r="H23" s="31">
        <v>4390</v>
      </c>
      <c r="I23" s="31" t="s">
        <v>89</v>
      </c>
      <c r="J23" s="31">
        <v>100</v>
      </c>
      <c r="K23" s="31"/>
      <c r="L23" s="31"/>
      <c r="M23" s="34" t="str">
        <f>[1]!HoadleyIBQuotes($C23,M$2,$D23,$E23,$F23,$G23,$H23,$I23,$J23,$K23)</f>
        <v/>
      </c>
      <c r="N23" s="36">
        <f>[1]!HoadleyIBQuotes($C23,N$2,$D23,$E23,$F23,$G23,$H23,$I23,$J23,$K23,$L23)</f>
        <v>0</v>
      </c>
      <c r="O23" s="36">
        <f>IF([1]!HoadleyIBQuotes($C23,O$2,$D23,$E23,$F23,$G23,$H23,$I23,$J23,$K23)&gt;0,[1]!HoadleyIBQuotes($C23,O$2,$D23,$E23,$F23,$G23,$H23,$I23,$J23,$K23),N23)</f>
        <v>0</v>
      </c>
      <c r="P23" s="35" t="str">
        <f t="shared" si="18"/>
        <v/>
      </c>
      <c r="Q23" s="36">
        <f>[1]!HoadleyIBQuotes($C23,Q$2,$D23,$E23,$F23,$G23,$H23,$I23,$J23,$K23,$L23)</f>
        <v>0</v>
      </c>
      <c r="R23" s="36">
        <f>[1]!HoadleyIBQuotes($C23,R$2,$D23,$E23,$F23,$G23,$H23,$I23,$J23,$K23,$L23)</f>
        <v>0</v>
      </c>
      <c r="S23" s="36">
        <f t="shared" si="19"/>
        <v>0</v>
      </c>
    </row>
    <row r="24" spans="2:22" x14ac:dyDescent="0.45">
      <c r="B24" s="31" t="s">
        <v>272</v>
      </c>
      <c r="C24" s="31" t="s">
        <v>4</v>
      </c>
      <c r="D24" s="31" t="s">
        <v>87</v>
      </c>
      <c r="E24" s="31" t="s">
        <v>88</v>
      </c>
      <c r="F24" s="31" t="s">
        <v>83</v>
      </c>
      <c r="G24" s="31">
        <v>20231019</v>
      </c>
      <c r="H24" s="31">
        <v>4300</v>
      </c>
      <c r="I24" s="31" t="s">
        <v>89</v>
      </c>
      <c r="J24" s="31">
        <v>100</v>
      </c>
      <c r="K24" s="31"/>
      <c r="L24" s="31"/>
      <c r="M24" s="34" t="str">
        <f>[1]!HoadleyIBQuotes($C24,M$2,$D24,$E24,$F24,$G24,$H24,$I24,$J24,$K24)</f>
        <v/>
      </c>
      <c r="N24" s="36">
        <f>[1]!HoadleyIBQuotes($C24,N$2,$D24,$E24,$F24,$G24,$H24,$I24,$J24,$K24,$L24)</f>
        <v>0</v>
      </c>
      <c r="O24" s="36">
        <f>IF([1]!HoadleyIBQuotes($C24,O$2,$D24,$E24,$F24,$G24,$H24,$I24,$J24,$K24)&gt;0,[1]!HoadleyIBQuotes($C24,O$2,$D24,$E24,$F24,$G24,$H24,$I24,$J24,$K24),N24)</f>
        <v>0</v>
      </c>
      <c r="P24" s="35" t="str">
        <f t="shared" si="18"/>
        <v/>
      </c>
      <c r="Q24" s="36">
        <f>[1]!HoadleyIBQuotes($C24,Q$2,$D24,$E24,$F24,$G24,$H24,$I24,$J24,$K24,$L24)</f>
        <v>0</v>
      </c>
      <c r="R24" s="36">
        <f>[1]!HoadleyIBQuotes($C24,R$2,$D24,$E24,$F24,$G24,$H24,$I24,$J24,$K24,$L24)</f>
        <v>0</v>
      </c>
      <c r="S24" s="36">
        <f t="shared" si="19"/>
        <v>0</v>
      </c>
    </row>
    <row r="25" spans="2:22" x14ac:dyDescent="0.45">
      <c r="B25" s="31" t="s">
        <v>299</v>
      </c>
      <c r="C25" s="31" t="s">
        <v>24</v>
      </c>
      <c r="D25" s="31" t="s">
        <v>86</v>
      </c>
      <c r="E25" s="31" t="s">
        <v>93</v>
      </c>
      <c r="F25" s="31" t="s">
        <v>83</v>
      </c>
      <c r="G25" s="31">
        <v>20231115</v>
      </c>
      <c r="H25" s="31">
        <v>90</v>
      </c>
      <c r="I25" s="31" t="s">
        <v>57</v>
      </c>
      <c r="J25" s="31">
        <v>1000</v>
      </c>
      <c r="K25" s="31"/>
      <c r="L25" s="31" t="s">
        <v>305</v>
      </c>
      <c r="M25" s="34" t="str">
        <f>[1]!HoadleyIBQuotes($C25,M$2,$D25,$E25,$F25,$G25,$H25,$I25,$J25,$K25)</f>
        <v/>
      </c>
      <c r="N25" s="36">
        <f>[1]!HoadleyIBQuotes($C25,N$2,$D25,$E25,$F25,$G25,$H25,$I25,$J25,$K25,$L25)</f>
        <v>0</v>
      </c>
      <c r="O25" s="36">
        <f>IF([1]!HoadleyIBQuotes($C25,O$2,$D25,$E25,$F25,$G25,$H25,$I25,$J25,$K25)&gt;0,[1]!HoadleyIBQuotes($C25,O$2,$D25,$E25,$F25,$G25,$H25,$I25,$J25,$K25),N25)</f>
        <v>0</v>
      </c>
      <c r="P25" s="35" t="str">
        <f t="shared" si="18"/>
        <v/>
      </c>
      <c r="Q25" s="36">
        <f>[1]!HoadleyIBQuotes($C25,Q$2,$D25,$E25,$F25,$G25,$H25,$I25,$J25,$K25,$L25)</f>
        <v>0</v>
      </c>
      <c r="R25" s="36">
        <f>[1]!HoadleyIBQuotes($C25,R$2,$D25,$E25,$F25,$G25,$H25,$I25,$J25,$K25,$L25)</f>
        <v>0</v>
      </c>
      <c r="S25" s="36">
        <f t="shared" si="19"/>
        <v>0</v>
      </c>
    </row>
    <row r="26" spans="2:22" x14ac:dyDescent="0.45">
      <c r="B26" s="31" t="s">
        <v>302</v>
      </c>
      <c r="C26" s="31" t="s">
        <v>24</v>
      </c>
      <c r="D26" s="31" t="s">
        <v>86</v>
      </c>
      <c r="E26" s="31" t="s">
        <v>93</v>
      </c>
      <c r="F26" s="31" t="s">
        <v>83</v>
      </c>
      <c r="G26" s="31">
        <v>20231115</v>
      </c>
      <c r="H26" s="31">
        <v>95</v>
      </c>
      <c r="I26" s="31" t="s">
        <v>57</v>
      </c>
      <c r="J26" s="31">
        <v>1000</v>
      </c>
      <c r="K26" s="31"/>
      <c r="L26" s="31" t="s">
        <v>305</v>
      </c>
      <c r="M26" s="34" t="str">
        <f>[1]!HoadleyIBQuotes($C26,M$2,$D26,$E26,$F26,$G26,$H26,$I26,$J26,$K26)</f>
        <v/>
      </c>
      <c r="N26" s="36">
        <f>[1]!HoadleyIBQuotes($C26,N$2,$D26,$E26,$F26,$G26,$H26,$I26,$J26,$K26,$L26)</f>
        <v>0</v>
      </c>
      <c r="O26" s="36">
        <f>IF([1]!HoadleyIBQuotes($C26,O$2,$D26,$E26,$F26,$G26,$H26,$I26,$J26,$K26)&gt;0,[1]!HoadleyIBQuotes($C26,O$2,$D26,$E26,$F26,$G26,$H26,$I26,$J26,$K26),N26)</f>
        <v>0</v>
      </c>
      <c r="P26" s="35" t="str">
        <f t="shared" si="18"/>
        <v/>
      </c>
      <c r="Q26" s="36">
        <f>[1]!HoadleyIBQuotes($C26,Q$2,$D26,$E26,$F26,$G26,$H26,$I26,$J26,$K26,$L26)</f>
        <v>0</v>
      </c>
      <c r="R26" s="36">
        <f>[1]!HoadleyIBQuotes($C26,R$2,$D26,$E26,$F26,$G26,$H26,$I26,$J26,$K26,$L26)</f>
        <v>0</v>
      </c>
      <c r="S26" s="36">
        <f t="shared" si="19"/>
        <v>0</v>
      </c>
    </row>
    <row r="27" spans="2:22" x14ac:dyDescent="0.45">
      <c r="B27" s="31" t="s">
        <v>295</v>
      </c>
      <c r="C27" s="31" t="s">
        <v>27</v>
      </c>
      <c r="D27" s="31" t="s">
        <v>86</v>
      </c>
      <c r="E27" s="31" t="s">
        <v>126</v>
      </c>
      <c r="F27" s="31" t="s">
        <v>83</v>
      </c>
      <c r="G27" s="31">
        <v>20231127</v>
      </c>
      <c r="H27" s="31">
        <v>20</v>
      </c>
      <c r="I27" s="31" t="s">
        <v>89</v>
      </c>
      <c r="J27" s="31">
        <v>5000</v>
      </c>
      <c r="K27" s="31"/>
      <c r="L27" s="31" t="s">
        <v>304</v>
      </c>
      <c r="M27" s="34" t="str">
        <f>[1]!HoadleyIBQuotes($C27,M$2,$D27,$E27,$F27,$G27,$H27,$I27,$J27,$K27)</f>
        <v/>
      </c>
      <c r="N27" s="36">
        <f>[1]!HoadleyIBQuotes($C27,N$2,$D27,$E27,$F27,$G27,$H27,$I27,$J27,$K27,$L27)</f>
        <v>0</v>
      </c>
      <c r="O27" s="36">
        <f>IF([1]!HoadleyIBQuotes($C27,O$2,$D27,$E27,$F27,$G27,$H27,$I27,$J27,$K27)&gt;0,[1]!HoadleyIBQuotes($C27,O$2,$D27,$E27,$F27,$G27,$H27,$I27,$J27,$K27),N27)</f>
        <v>0</v>
      </c>
      <c r="P27" s="35" t="str">
        <f t="shared" si="18"/>
        <v/>
      </c>
      <c r="Q27" s="36">
        <f>[1]!HoadleyIBQuotes($C27,Q$2,$D27,$E27,$F27,$G27,$H27,$I27,$J27,$K27,$L27)</f>
        <v>0</v>
      </c>
      <c r="R27" s="36">
        <f>[1]!HoadleyIBQuotes($C27,R$2,$D27,$E27,$F27,$G27,$H27,$I27,$J27,$K27,$L27)</f>
        <v>0</v>
      </c>
      <c r="S27" s="36">
        <f t="shared" si="19"/>
        <v>0</v>
      </c>
    </row>
    <row r="28" spans="2:22" x14ac:dyDescent="0.45">
      <c r="B28" s="31" t="s">
        <v>293</v>
      </c>
      <c r="C28" s="31" t="s">
        <v>27</v>
      </c>
      <c r="D28" s="31" t="s">
        <v>86</v>
      </c>
      <c r="E28" s="31" t="s">
        <v>126</v>
      </c>
      <c r="F28" s="31" t="s">
        <v>83</v>
      </c>
      <c r="G28" s="31">
        <v>20231127</v>
      </c>
      <c r="H28" s="31">
        <v>22.2</v>
      </c>
      <c r="I28" s="31" t="s">
        <v>57</v>
      </c>
      <c r="J28" s="31">
        <v>5000</v>
      </c>
      <c r="K28" s="31"/>
      <c r="L28" s="31" t="s">
        <v>304</v>
      </c>
      <c r="M28" s="34" t="str">
        <f>[1]!HoadleyIBQuotes($C28,M$2,$D28,$E28,$F28,$G28,$H28,$I28,$J28,$K28)</f>
        <v/>
      </c>
      <c r="N28" s="36">
        <f>[1]!HoadleyIBQuotes($C28,N$2,$D28,$E28,$F28,$G28,$H28,$I28,$J28,$K28,$L28)</f>
        <v>0</v>
      </c>
      <c r="O28" s="36">
        <f>IF([1]!HoadleyIBQuotes($C28,O$2,$D28,$E28,$F28,$G28,$H28,$I28,$J28,$K28)&gt;0,[1]!HoadleyIBQuotes($C28,O$2,$D28,$E28,$F28,$G28,$H28,$I28,$J28,$K28),N28)</f>
        <v>0</v>
      </c>
      <c r="P28" s="35" t="str">
        <f t="shared" si="18"/>
        <v/>
      </c>
      <c r="Q28" s="36">
        <f>[1]!HoadleyIBQuotes($C28,Q$2,$D28,$E28,$F28,$G28,$H28,$I28,$J28,$K28,$L28)</f>
        <v>0</v>
      </c>
      <c r="R28" s="36">
        <f>[1]!HoadleyIBQuotes($C28,R$2,$D28,$E28,$F28,$G28,$H28,$I28,$J28,$K28,$L28)</f>
        <v>0</v>
      </c>
      <c r="S28" s="36">
        <f t="shared" si="19"/>
        <v>0</v>
      </c>
    </row>
    <row r="29" spans="2:22" x14ac:dyDescent="0.45">
      <c r="B29" s="31" t="s">
        <v>297</v>
      </c>
      <c r="C29" s="31" t="s">
        <v>27</v>
      </c>
      <c r="D29" s="31" t="s">
        <v>86</v>
      </c>
      <c r="E29" s="31" t="s">
        <v>126</v>
      </c>
      <c r="F29" s="31" t="s">
        <v>83</v>
      </c>
      <c r="G29" s="31">
        <v>20231127</v>
      </c>
      <c r="H29" s="31">
        <v>24.7</v>
      </c>
      <c r="I29" s="31" t="s">
        <v>57</v>
      </c>
      <c r="J29" s="31">
        <v>5000</v>
      </c>
      <c r="K29" s="31"/>
      <c r="L29" s="31" t="s">
        <v>304</v>
      </c>
      <c r="M29" s="34" t="str">
        <f>[1]!HoadleyIBQuotes($C29,M$2,$D29,$E29,$F29,$G29,$H29,$I29,$J29,$K29)</f>
        <v/>
      </c>
      <c r="N29" s="36">
        <f>[1]!HoadleyIBQuotes($C29,N$2,$D29,$E29,$F29,$G29,$H29,$I29,$J29,$K29,$L29)</f>
        <v>0</v>
      </c>
      <c r="O29" s="36">
        <f>IF([1]!HoadleyIBQuotes($C29,O$2,$D29,$E29,$F29,$G29,$H29,$I29,$J29,$K29)&gt;0,[1]!HoadleyIBQuotes($C29,O$2,$D29,$E29,$F29,$G29,$H29,$I29,$J29,$K29),N29)</f>
        <v>0</v>
      </c>
      <c r="P29" s="35" t="str">
        <f t="shared" si="18"/>
        <v/>
      </c>
      <c r="Q29" s="36">
        <f>[1]!HoadleyIBQuotes($C29,Q$2,$D29,$E29,$F29,$G29,$H29,$I29,$J29,$K29,$L29)</f>
        <v>0</v>
      </c>
      <c r="R29" s="36">
        <f>[1]!HoadleyIBQuotes($C29,R$2,$D29,$E29,$F29,$G29,$H29,$I29,$J29,$K29,$L29)</f>
        <v>0</v>
      </c>
      <c r="S29" s="36">
        <f t="shared" si="19"/>
        <v>0</v>
      </c>
    </row>
    <row r="30" spans="2:22" x14ac:dyDescent="0.45">
      <c r="B30" s="31" t="s">
        <v>351</v>
      </c>
      <c r="C30" s="31" t="s">
        <v>27</v>
      </c>
      <c r="D30" s="31" t="s">
        <v>86</v>
      </c>
      <c r="E30" s="31" t="s">
        <v>126</v>
      </c>
      <c r="F30" s="31" t="s">
        <v>83</v>
      </c>
      <c r="G30" s="31">
        <v>20240325</v>
      </c>
      <c r="H30" s="31">
        <v>26.5</v>
      </c>
      <c r="I30" s="31" t="s">
        <v>57</v>
      </c>
      <c r="J30" s="31">
        <v>5000</v>
      </c>
      <c r="K30" s="31"/>
      <c r="L30" s="31" t="s">
        <v>304</v>
      </c>
      <c r="M30" s="34" t="str">
        <f>[1]!HoadleyIBQuotes($C30,M$2,$D30,$E30,$F30,$G30,$H30,$I30,$J30,$K30)</f>
        <v/>
      </c>
      <c r="N30" s="36">
        <f>[1]!HoadleyIBQuotes($C30,N$2,$D30,$E30,$F30,$G30,$H30,$I30,$J30,$K30,$L30)</f>
        <v>0</v>
      </c>
      <c r="O30" s="36">
        <f>IF([1]!HoadleyIBQuotes($C30,O$2,$D30,$E30,$F30,$G30,$H30,$I30,$J30,$K30)&gt;0,[1]!HoadleyIBQuotes($C30,O$2,$D30,$E30,$F30,$G30,$H30,$I30,$J30,$K30),N30)</f>
        <v>0</v>
      </c>
      <c r="P30" s="35" t="str">
        <f t="shared" ref="P30:P31" si="20">IF(OR(O30=0,N30=0),"",O30/N30-1)</f>
        <v/>
      </c>
      <c r="Q30" s="36">
        <f>[1]!HoadleyIBQuotes($C30,Q$2,$D30,$E30,$F30,$G30,$H30,$I30,$J30,$K30,$L30)</f>
        <v>0</v>
      </c>
      <c r="R30" s="36">
        <f>[1]!HoadleyIBQuotes($C30,R$2,$D30,$E30,$F30,$G30,$H30,$I30,$J30,$K30,$L30)</f>
        <v>0</v>
      </c>
      <c r="S30" s="36">
        <f t="shared" ref="S30:S31" si="21">(R30+Q30)/2</f>
        <v>0</v>
      </c>
    </row>
    <row r="31" spans="2:22" x14ac:dyDescent="0.45">
      <c r="B31" s="31" t="s">
        <v>350</v>
      </c>
      <c r="C31" s="31" t="s">
        <v>27</v>
      </c>
      <c r="D31" s="31" t="s">
        <v>86</v>
      </c>
      <c r="E31" s="31" t="s">
        <v>126</v>
      </c>
      <c r="F31" s="31" t="s">
        <v>83</v>
      </c>
      <c r="G31" s="31">
        <v>20240325</v>
      </c>
      <c r="H31" s="31">
        <v>30</v>
      </c>
      <c r="I31" s="31" t="s">
        <v>57</v>
      </c>
      <c r="J31" s="31">
        <v>5000</v>
      </c>
      <c r="K31" s="31"/>
      <c r="L31" s="31" t="s">
        <v>304</v>
      </c>
      <c r="M31" s="34" t="str">
        <f>[1]!HoadleyIBQuotes($C31,M$2,$D31,$E31,$F31,$G31,$H31,$I31,$J31,$K31)</f>
        <v/>
      </c>
      <c r="N31" s="36">
        <f>[1]!HoadleyIBQuotes($C31,N$2,$D31,$E31,$F31,$G31,$H31,$I31,$J31,$K31,$L31)</f>
        <v>0</v>
      </c>
      <c r="O31" s="36">
        <f>IF([1]!HoadleyIBQuotes($C31,O$2,$D31,$E31,$F31,$G31,$H31,$I31,$J31,$K31)&gt;0,[1]!HoadleyIBQuotes($C31,O$2,$D31,$E31,$F31,$G31,$H31,$I31,$J31,$K31),N31)</f>
        <v>0</v>
      </c>
      <c r="P31" s="35" t="str">
        <f t="shared" si="20"/>
        <v/>
      </c>
      <c r="Q31" s="36">
        <f>[1]!HoadleyIBQuotes($C31,Q$2,$D31,$E31,$F31,$G31,$H31,$I31,$J31,$K31,$L31)</f>
        <v>0</v>
      </c>
      <c r="R31" s="36">
        <f>[1]!HoadleyIBQuotes($C31,R$2,$D31,$E31,$F31,$G31,$H31,$I31,$J31,$K31,$L31)</f>
        <v>0</v>
      </c>
      <c r="S31" s="36">
        <f t="shared" si="21"/>
        <v>0</v>
      </c>
    </row>
    <row r="32" spans="2:22" x14ac:dyDescent="0.45">
      <c r="B32" s="31" t="s">
        <v>313</v>
      </c>
      <c r="C32" s="31" t="s">
        <v>33</v>
      </c>
      <c r="D32" s="31" t="s">
        <v>86</v>
      </c>
      <c r="E32" s="31" t="s">
        <v>100</v>
      </c>
      <c r="F32" s="31" t="s">
        <v>83</v>
      </c>
      <c r="G32" s="31">
        <v>20231208</v>
      </c>
      <c r="H32" s="31">
        <v>165</v>
      </c>
      <c r="I32" s="31" t="s">
        <v>57</v>
      </c>
      <c r="J32" s="31">
        <v>37500</v>
      </c>
      <c r="K32" s="31"/>
      <c r="L32" s="31"/>
      <c r="M32" s="34" t="str">
        <f>[1]!HoadleyIBQuotes($C32,M$2,$D32,$E32,$F32,$G32,$H32,$I32,$J32,$K32)</f>
        <v/>
      </c>
      <c r="N32" s="36">
        <f>[1]!HoadleyIBQuotes($C32,N$2,$D32,$E32,$F32,$G32,$H32,$I32,$J32,$K32,$L32)</f>
        <v>0</v>
      </c>
      <c r="O32" s="36">
        <f>IF([1]!HoadleyIBQuotes($C32,O$2,$D32,$E32,$F32,$G32,$H32,$I32,$J32,$K32)&gt;0,[1]!HoadleyIBQuotes($C32,O$2,$D32,$E32,$F32,$G32,$H32,$I32,$J32,$K32),N32)</f>
        <v>0</v>
      </c>
      <c r="P32" s="35" t="str">
        <f t="shared" si="18"/>
        <v/>
      </c>
      <c r="Q32" s="36">
        <f>[1]!HoadleyIBQuotes($C32,Q$2,$D32,$E32,$F32,$G32,$H32,$I32,$J32,$K32,$L32)</f>
        <v>0</v>
      </c>
      <c r="R32" s="36">
        <f>[1]!HoadleyIBQuotes($C32,R$2,$D32,$E32,$F32,$G32,$H32,$I32,$J32,$K32,$L32)</f>
        <v>0</v>
      </c>
      <c r="S32" s="36">
        <f t="shared" si="19"/>
        <v>0</v>
      </c>
    </row>
    <row r="33" spans="2:21" x14ac:dyDescent="0.45">
      <c r="B33" s="31" t="s">
        <v>314</v>
      </c>
      <c r="C33" s="31" t="s">
        <v>33</v>
      </c>
      <c r="D33" s="31" t="s">
        <v>86</v>
      </c>
      <c r="E33" s="31" t="s">
        <v>100</v>
      </c>
      <c r="F33" s="31" t="s">
        <v>83</v>
      </c>
      <c r="G33" s="31">
        <v>20231208</v>
      </c>
      <c r="H33" s="31">
        <v>175</v>
      </c>
      <c r="I33" s="31" t="s">
        <v>57</v>
      </c>
      <c r="J33" s="31">
        <v>37500</v>
      </c>
      <c r="K33" s="31"/>
      <c r="L33" s="31"/>
      <c r="M33" s="34" t="str">
        <f>[1]!HoadleyIBQuotes($C33,M$2,$D33,$E33,$F33,$G33,$H33,$I33,$J33,$K33)</f>
        <v/>
      </c>
      <c r="N33" s="36">
        <f>[1]!HoadleyIBQuotes($C33,N$2,$D33,$E33,$F33,$G33,$H33,$I33,$J33,$K33,$L33)</f>
        <v>0</v>
      </c>
      <c r="O33" s="36">
        <f>IF([1]!HoadleyIBQuotes($C33,O$2,$D33,$E33,$F33,$G33,$H33,$I33,$J33,$K33)&gt;0,[1]!HoadleyIBQuotes($C33,O$2,$D33,$E33,$F33,$G33,$H33,$I33,$J33,$K33),N33)</f>
        <v>0</v>
      </c>
      <c r="P33" s="35" t="str">
        <f t="shared" si="18"/>
        <v/>
      </c>
      <c r="Q33" s="36">
        <f>[1]!HoadleyIBQuotes($C33,Q$2,$D33,$E33,$F33,$G33,$H33,$I33,$J33,$K33,$L33)</f>
        <v>0</v>
      </c>
      <c r="R33" s="36">
        <f>[1]!HoadleyIBQuotes($C33,R$2,$D33,$E33,$F33,$G33,$H33,$I33,$J33,$K33,$L33)</f>
        <v>0</v>
      </c>
      <c r="S33" s="36">
        <f t="shared" si="19"/>
        <v>0</v>
      </c>
    </row>
    <row r="34" spans="2:21" x14ac:dyDescent="0.45">
      <c r="B34" s="31" t="s">
        <v>336</v>
      </c>
      <c r="C34" s="31" t="s">
        <v>37</v>
      </c>
      <c r="D34" s="31" t="s">
        <v>86</v>
      </c>
      <c r="E34" s="31" t="s">
        <v>124</v>
      </c>
      <c r="F34" s="31" t="s">
        <v>83</v>
      </c>
      <c r="G34" s="31">
        <v>20240214</v>
      </c>
      <c r="H34" s="31">
        <v>86</v>
      </c>
      <c r="I34" s="31" t="s">
        <v>57</v>
      </c>
      <c r="J34" s="31">
        <v>40000</v>
      </c>
      <c r="K34" s="31"/>
      <c r="L34" s="31"/>
      <c r="M34" s="34" t="str">
        <f>[1]!HoadleyIBQuotes($C34,M$2,$D34,$E34,$F34,$G34,$H34,$I34,$J34,$K34)</f>
        <v/>
      </c>
      <c r="N34" s="36">
        <f>[1]!HoadleyIBQuotes($C34,N$2,$D34,$E34,$F34,$G34,$H34,$I34,$J34,$K34,$L34)</f>
        <v>0</v>
      </c>
      <c r="O34" s="36">
        <f>IF([1]!HoadleyIBQuotes($C34,O$2,$D34,$E34,$F34,$G34,$H34,$I34,$J34,$K34)&gt;0,[1]!HoadleyIBQuotes($C34,O$2,$D34,$E34,$F34,$G34,$H34,$I34,$J34,$K34),N34)</f>
        <v>0</v>
      </c>
      <c r="P34" s="35" t="str">
        <f t="shared" ref="P34:P35" si="22">IF(OR(O34=0,N34=0),"",O34/N34-1)</f>
        <v/>
      </c>
      <c r="Q34" s="36">
        <f>[1]!HoadleyIBQuotes($C34,Q$2,$D34,$E34,$F34,$G34,$H34,$I34,$J34,$K34,$L34)</f>
        <v>0</v>
      </c>
      <c r="R34" s="36">
        <f>[1]!HoadleyIBQuotes($C34,R$2,$D34,$E34,$F34,$G34,$H34,$I34,$J34,$K34,$L34)</f>
        <v>0</v>
      </c>
      <c r="S34" s="36">
        <f t="shared" ref="S34:S35" si="23">(R34+Q34)/2</f>
        <v>0</v>
      </c>
    </row>
    <row r="35" spans="2:21" x14ac:dyDescent="0.45">
      <c r="B35" s="31" t="s">
        <v>335</v>
      </c>
      <c r="C35" s="31" t="s">
        <v>37</v>
      </c>
      <c r="D35" s="31" t="s">
        <v>86</v>
      </c>
      <c r="E35" s="31" t="s">
        <v>124</v>
      </c>
      <c r="F35" s="31" t="s">
        <v>83</v>
      </c>
      <c r="G35" s="31">
        <v>20240214</v>
      </c>
      <c r="H35" s="31">
        <v>80</v>
      </c>
      <c r="I35" s="31" t="s">
        <v>57</v>
      </c>
      <c r="J35" s="31">
        <v>40000</v>
      </c>
      <c r="K35" s="31"/>
      <c r="L35" s="31"/>
      <c r="M35" s="34" t="str">
        <f>[1]!HoadleyIBQuotes($C35,M$2,$D35,$E35,$F35,$G35,$H35,$I35,$J35,$K35)</f>
        <v/>
      </c>
      <c r="N35" s="36">
        <f>[1]!HoadleyIBQuotes($C35,N$2,$D35,$E35,$F35,$G35,$H35,$I35,$J35,$K35,$L35)</f>
        <v>0</v>
      </c>
      <c r="O35" s="36">
        <f>IF([1]!HoadleyIBQuotes($C35,O$2,$D35,$E35,$F35,$G35,$H35,$I35,$J35,$K35)&gt;0,[1]!HoadleyIBQuotes($C35,O$2,$D35,$E35,$F35,$G35,$H35,$I35,$J35,$K35),N35)</f>
        <v>0</v>
      </c>
      <c r="P35" s="35" t="str">
        <f t="shared" si="22"/>
        <v/>
      </c>
      <c r="Q35" s="36">
        <f>[1]!HoadleyIBQuotes($C35,Q$2,$D35,$E35,$F35,$G35,$H35,$I35,$J35,$K35,$L35)</f>
        <v>0</v>
      </c>
      <c r="R35" s="36">
        <f>[1]!HoadleyIBQuotes($C35,R$2,$D35,$E35,$F35,$G35,$H35,$I35,$J35,$K35,$L35)</f>
        <v>0</v>
      </c>
      <c r="S35" s="36">
        <f t="shared" si="23"/>
        <v>0</v>
      </c>
    </row>
    <row r="36" spans="2:21" s="1" customFormat="1" x14ac:dyDescent="0.45">
      <c r="B36" s="31" t="s">
        <v>196</v>
      </c>
      <c r="C36" s="31" t="s">
        <v>195</v>
      </c>
      <c r="D36" s="31" t="s">
        <v>87</v>
      </c>
      <c r="E36" s="31" t="s">
        <v>88</v>
      </c>
      <c r="F36" s="31" t="s">
        <v>83</v>
      </c>
      <c r="G36" s="31">
        <v>20231215</v>
      </c>
      <c r="H36" s="31">
        <v>44</v>
      </c>
      <c r="I36" s="31" t="s">
        <v>57</v>
      </c>
      <c r="J36" s="31">
        <v>100</v>
      </c>
      <c r="K36" s="31"/>
      <c r="L36" s="31"/>
      <c r="M36" s="34" t="str">
        <f>[1]!HoadleyIBQuotes($C36,M$2,$D36,$E36,$F36,$G36,$H36,$I36,$J36,$K36)</f>
        <v/>
      </c>
      <c r="N36" s="36">
        <f>[1]!HoadleyIBQuotes($C36,N$2,$D36,$E36,$F36,$G36,$H36,$I36,$J36,$K36,$L36)</f>
        <v>0</v>
      </c>
      <c r="O36" s="36">
        <f>IF([1]!HoadleyIBQuotes($C36,O$2,$D36,$E36,$F36,$G36,$H36,$I36,$J36,$K36)&gt;0,[1]!HoadleyIBQuotes($C36,O$2,$D36,$E36,$F36,$G36,$H36,$I36,$J36,$K36),N36)</f>
        <v>0</v>
      </c>
      <c r="P36" s="35" t="str">
        <f t="shared" si="18"/>
        <v/>
      </c>
      <c r="Q36" s="36">
        <f>[1]!HoadleyIBQuotes($C36,Q$2,$D36,$E36,$F36,$G36,$H36,$I36,$J36,$K36,$L36)</f>
        <v>0</v>
      </c>
      <c r="R36" s="36">
        <f>[1]!HoadleyIBQuotes($C36,R$2,$D36,$E36,$F36,$G36,$H36,$I36,$J36,$K36,$L36)</f>
        <v>0</v>
      </c>
      <c r="S36" s="36">
        <f t="shared" si="19"/>
        <v>0</v>
      </c>
      <c r="T36"/>
      <c r="U36"/>
    </row>
    <row r="37" spans="2:21" s="1" customFormat="1" x14ac:dyDescent="0.45">
      <c r="B37" s="31" t="s">
        <v>329</v>
      </c>
      <c r="C37" s="31" t="s">
        <v>331</v>
      </c>
      <c r="D37" s="31" t="s">
        <v>87</v>
      </c>
      <c r="E37" s="31" t="s">
        <v>88</v>
      </c>
      <c r="F37" s="31" t="s">
        <v>83</v>
      </c>
      <c r="G37" s="31">
        <v>20240419</v>
      </c>
      <c r="H37" s="31">
        <v>32</v>
      </c>
      <c r="I37" s="31" t="s">
        <v>57</v>
      </c>
      <c r="J37" s="31">
        <v>100</v>
      </c>
      <c r="K37" s="31" t="s">
        <v>88</v>
      </c>
      <c r="L37" s="31"/>
      <c r="M37" s="34" t="str">
        <f>[1]!HoadleyIBQuotes($C37,M$2,$D37,$E37,$F37,$G37,$H37,$I37,$J37,$K37)</f>
        <v/>
      </c>
      <c r="N37" s="36">
        <f>[1]!HoadleyIBQuotes($C37,N$2,$D37,$E37,$F37,$G37,$H37,$I37,$J37,$K37,$L37)</f>
        <v>0</v>
      </c>
      <c r="O37" s="36">
        <f>IF([1]!HoadleyIBQuotes($C37,O$2,$D37,$E37,$F37,$G37,$H37,$I37,$J37,$K37)&gt;0,[1]!HoadleyIBQuotes($C37,O$2,$D37,$E37,$F37,$G37,$H37,$I37,$J37,$K37),N37)</f>
        <v>0</v>
      </c>
      <c r="P37" s="35" t="str">
        <f t="shared" ref="P37" si="24">IF(OR(O37=0,N37=0),"",O37/N37-1)</f>
        <v/>
      </c>
      <c r="Q37" s="36">
        <f>[1]!HoadleyIBQuotes($C37,Q$2,$D37,$E37,$F37,$G37,$H37,$I37,$J37,$K37,$L37)</f>
        <v>0</v>
      </c>
      <c r="R37" s="36">
        <f>[1]!HoadleyIBQuotes($C37,R$2,$D37,$E37,$F37,$G37,$H37,$I37,$J37,$K37,$L37)</f>
        <v>0</v>
      </c>
      <c r="S37" s="36">
        <f t="shared" ref="S37" si="25">(R37+Q37)/2</f>
        <v>0</v>
      </c>
      <c r="T37"/>
      <c r="U37"/>
    </row>
    <row r="38" spans="2:21" s="1" customFormat="1" x14ac:dyDescent="0.45">
      <c r="B38" s="31" t="s">
        <v>412</v>
      </c>
      <c r="C38" s="31" t="s">
        <v>331</v>
      </c>
      <c r="D38" s="31" t="s">
        <v>87</v>
      </c>
      <c r="E38" s="31" t="s">
        <v>88</v>
      </c>
      <c r="F38" s="31" t="s">
        <v>83</v>
      </c>
      <c r="G38" s="31">
        <v>20240419</v>
      </c>
      <c r="H38" s="31">
        <v>40</v>
      </c>
      <c r="I38" s="31" t="s">
        <v>57</v>
      </c>
      <c r="J38" s="31">
        <v>100</v>
      </c>
      <c r="K38" s="31" t="s">
        <v>88</v>
      </c>
      <c r="L38" s="31"/>
      <c r="M38" s="34" t="str">
        <f>[1]!HoadleyIBQuotes($C38,M$2,$D38,$E38,$F38,$G38,$H38,$I38,$J38,$K38)</f>
        <v/>
      </c>
      <c r="N38" s="36">
        <f>[1]!HoadleyIBQuotes($C38,N$2,$D38,$E38,$F38,$G38,$H38,$I38,$J38,$K38,$L38)</f>
        <v>0</v>
      </c>
      <c r="O38" s="36">
        <f>IF([1]!HoadleyIBQuotes($C38,O$2,$D38,$E38,$F38,$G38,$H38,$I38,$J38,$K38)&gt;0,[1]!HoadleyIBQuotes($C38,O$2,$D38,$E38,$F38,$G38,$H38,$I38,$J38,$K38),N38)</f>
        <v>0</v>
      </c>
      <c r="P38" s="35" t="str">
        <f t="shared" ref="P38" si="26">IF(OR(O38=0,N38=0),"",O38/N38-1)</f>
        <v/>
      </c>
      <c r="Q38" s="36">
        <f>[1]!HoadleyIBQuotes($C38,Q$2,$D38,$E38,$F38,$G38,$H38,$I38,$J38,$K38,$L38)</f>
        <v>0</v>
      </c>
      <c r="R38" s="36">
        <f>[1]!HoadleyIBQuotes($C38,R$2,$D38,$E38,$F38,$G38,$H38,$I38,$J38,$K38,$L38)</f>
        <v>0</v>
      </c>
      <c r="S38" s="36">
        <f t="shared" ref="S38" si="27">(R38+Q38)/2</f>
        <v>0</v>
      </c>
      <c r="T38"/>
      <c r="U38"/>
    </row>
    <row r="39" spans="2:21" s="1" customFormat="1" x14ac:dyDescent="0.45">
      <c r="B39" s="31" t="s">
        <v>364</v>
      </c>
      <c r="C39" s="31" t="s">
        <v>362</v>
      </c>
      <c r="D39" s="31" t="s">
        <v>87</v>
      </c>
      <c r="E39" s="31" t="s">
        <v>88</v>
      </c>
      <c r="F39" s="31" t="s">
        <v>83</v>
      </c>
      <c r="G39" s="31">
        <v>20240119</v>
      </c>
      <c r="H39" s="31">
        <v>17.5</v>
      </c>
      <c r="I39" s="31" t="s">
        <v>57</v>
      </c>
      <c r="J39" s="31">
        <v>100</v>
      </c>
      <c r="K39" s="31"/>
      <c r="L39" s="31"/>
      <c r="M39" s="34" t="str">
        <f>[1]!HoadleyIBQuotes($C39,M$2,$D39,$E39,$F39,$G39,$H39,$I39,$J39,$K39)</f>
        <v/>
      </c>
      <c r="N39" s="36">
        <f>[1]!HoadleyIBQuotes($C39,N$2,$D39,$E39,$F39,$G39,$H39,$I39,$J39,$K39,$L39)</f>
        <v>0</v>
      </c>
      <c r="O39" s="36">
        <f>IF([1]!HoadleyIBQuotes($C39,O$2,$D39,$E39,$F39,$G39,$H39,$I39,$J39,$K39)&gt;0,[1]!HoadleyIBQuotes($C39,O$2,$D39,$E39,$F39,$G39,$H39,$I39,$J39,$K39),N39)</f>
        <v>0</v>
      </c>
      <c r="P39" s="35" t="str">
        <f t="shared" ref="P39:P40" si="28">IF(OR(O39=0,N39=0),"",O39/N39-1)</f>
        <v/>
      </c>
      <c r="Q39" s="36">
        <f>[1]!HoadleyIBQuotes($C39,Q$2,$D39,$E39,$F39,$G39,$H39,$I39,$J39,$K39,$L39)</f>
        <v>0</v>
      </c>
      <c r="R39" s="36">
        <f>[1]!HoadleyIBQuotes($C39,R$2,$D39,$E39,$F39,$G39,$H39,$I39,$J39,$K39,$L39)</f>
        <v>0</v>
      </c>
      <c r="S39" s="36">
        <f t="shared" ref="S39:S40" si="29">(R39+Q39)/2</f>
        <v>0</v>
      </c>
      <c r="T39"/>
      <c r="U39"/>
    </row>
    <row r="40" spans="2:21" s="1" customFormat="1" x14ac:dyDescent="0.45">
      <c r="B40" s="31" t="s">
        <v>366</v>
      </c>
      <c r="C40" s="31" t="s">
        <v>362</v>
      </c>
      <c r="D40" s="31" t="s">
        <v>87</v>
      </c>
      <c r="E40" s="31" t="s">
        <v>88</v>
      </c>
      <c r="F40" s="31" t="s">
        <v>83</v>
      </c>
      <c r="G40" s="31">
        <v>20240119</v>
      </c>
      <c r="H40" s="31">
        <v>27.5</v>
      </c>
      <c r="I40" s="31" t="s">
        <v>57</v>
      </c>
      <c r="J40" s="31">
        <v>100</v>
      </c>
      <c r="K40" s="31"/>
      <c r="L40" s="31"/>
      <c r="M40" s="34" t="str">
        <f>[1]!HoadleyIBQuotes($C40,M$2,$D40,$E40,$F40,$G40,$H40,$I40,$J40,$K40)</f>
        <v/>
      </c>
      <c r="N40" s="36">
        <f>[1]!HoadleyIBQuotes($C40,N$2,$D40,$E40,$F40,$G40,$H40,$I40,$J40,$K40,$L40)</f>
        <v>0</v>
      </c>
      <c r="O40" s="36">
        <f>IF([1]!HoadleyIBQuotes($C40,O$2,$D40,$E40,$F40,$G40,$H40,$I40,$J40,$K40)&gt;0,[1]!HoadleyIBQuotes($C40,O$2,$D40,$E40,$F40,$G40,$H40,$I40,$J40,$K40),N40)</f>
        <v>0</v>
      </c>
      <c r="P40" s="35" t="str">
        <f t="shared" si="28"/>
        <v/>
      </c>
      <c r="Q40" s="36">
        <f>[1]!HoadleyIBQuotes($C40,Q$2,$D40,$E40,$F40,$G40,$H40,$I40,$J40,$K40,$L40)</f>
        <v>0</v>
      </c>
      <c r="R40" s="36">
        <f>[1]!HoadleyIBQuotes($C40,R$2,$D40,$E40,$F40,$G40,$H40,$I40,$J40,$K40,$L40)</f>
        <v>0</v>
      </c>
      <c r="S40" s="36">
        <f t="shared" si="29"/>
        <v>0</v>
      </c>
      <c r="T40"/>
      <c r="U40"/>
    </row>
    <row r="41" spans="2:21" s="1" customFormat="1" x14ac:dyDescent="0.45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7"/>
      <c r="N41" s="36"/>
      <c r="O41" s="36"/>
      <c r="P41" s="35"/>
      <c r="Q41" s="36"/>
      <c r="R41" s="36"/>
      <c r="S41" s="36"/>
      <c r="T41"/>
      <c r="U41"/>
    </row>
    <row r="42" spans="2:21" s="1" customFormat="1" x14ac:dyDescent="0.45">
      <c r="B42" s="31" t="s">
        <v>21</v>
      </c>
      <c r="C42" s="31" t="s">
        <v>85</v>
      </c>
      <c r="D42" s="31" t="s">
        <v>82</v>
      </c>
      <c r="E42" s="31" t="s">
        <v>124</v>
      </c>
      <c r="F42" s="31" t="s">
        <v>83</v>
      </c>
      <c r="G42" s="31">
        <v>202606</v>
      </c>
      <c r="H42" s="31"/>
      <c r="I42" s="31"/>
      <c r="J42" s="31">
        <v>50</v>
      </c>
      <c r="K42" s="31"/>
      <c r="L42" s="31"/>
      <c r="M42" s="34" t="str">
        <f>[1]!HoadleyIBQuotes($C42,M$2,$D42,$E42,$F42,$G42,$H42,$I42,$J42,$K42)</f>
        <v/>
      </c>
      <c r="N42" s="36">
        <f>[1]!HoadleyIBQuotes($C42,N$2,$D42,$E42,$F42,$G42,$H42,$I42,$J42,$K42,$L42)</f>
        <v>0</v>
      </c>
      <c r="O42" s="36">
        <f>IF([1]!HoadleyIBQuotes($C42,O$2,$D42,$E42,$F42,$G42,$H42,$I42,$J42,$K42)&gt;0,[1]!HoadleyIBQuotes($C42,O$2,$D42,$E42,$F42,$G42,$H42,$I42,$J42,$K42),N42)</f>
        <v>0</v>
      </c>
      <c r="P42" s="35" t="str">
        <f t="shared" ref="P42:P81" si="30">IF(OR(O42=0,N42=0),"",O42/N42-1)</f>
        <v/>
      </c>
      <c r="Q42" s="36">
        <f>[1]!HoadleyIBQuotes($C42,Q$2,$D42,$E42,$F42,$G42,$H42,$I42,$J42,$K42,$L42)</f>
        <v>0</v>
      </c>
      <c r="R42" s="36">
        <f>[1]!HoadleyIBQuotes($C42,R$2,$D42,$E42,$F42,$G42,$H42,$I42,$J42,$K42,$L42)</f>
        <v>0</v>
      </c>
      <c r="S42" s="36">
        <f t="shared" ref="S42:S81" si="31">(R42+Q42)/2</f>
        <v>0</v>
      </c>
      <c r="T42"/>
      <c r="U42"/>
    </row>
    <row r="43" spans="2:21" s="1" customFormat="1" x14ac:dyDescent="0.45">
      <c r="B43" s="31" t="s">
        <v>462</v>
      </c>
      <c r="C43" s="31" t="s">
        <v>22</v>
      </c>
      <c r="D43" s="31" t="s">
        <v>82</v>
      </c>
      <c r="E43" s="31" t="s">
        <v>124</v>
      </c>
      <c r="F43" s="31" t="s">
        <v>83</v>
      </c>
      <c r="G43" s="31">
        <v>202406</v>
      </c>
      <c r="H43" s="31"/>
      <c r="I43" s="31"/>
      <c r="J43" s="31">
        <v>20</v>
      </c>
      <c r="K43" s="31"/>
      <c r="L43" s="31"/>
      <c r="M43" s="34" t="str">
        <f>[1]!HoadleyIBQuotes($C43,M$2,$D43,$E43,$F43,$G43,$H43,$I43,$J43,$K43)</f>
        <v/>
      </c>
      <c r="N43" s="36">
        <f>[1]!HoadleyIBQuotes($C43,N$2,$D43,$E43,$F43,$G43,$H43,$I43,$J43,$K43,$L43)</f>
        <v>0</v>
      </c>
      <c r="O43" s="36">
        <f>IF([1]!HoadleyIBQuotes($C43,O$2,$D43,$E43,$F43,$G43,$H43,$I43,$J43,$K43)&gt;0,[1]!HoadleyIBQuotes($C43,O$2,$D43,$E43,$F43,$G43,$H43,$I43,$J43,$K43),N43)</f>
        <v>0</v>
      </c>
      <c r="P43" s="35" t="str">
        <f t="shared" si="30"/>
        <v/>
      </c>
      <c r="Q43" s="36">
        <f>[1]!HoadleyIBQuotes($C43,Q$2,$D43,$E43,$F43,$G43,$H43,$I43,$J43,$K43,$L43)</f>
        <v>0</v>
      </c>
      <c r="R43" s="36">
        <f>[1]!HoadleyIBQuotes($C43,R$2,$D43,$E43,$F43,$G43,$H43,$I43,$J43,$K43,$L43)</f>
        <v>0</v>
      </c>
      <c r="S43" s="36">
        <f t="shared" si="31"/>
        <v>0</v>
      </c>
      <c r="T43"/>
      <c r="U43"/>
    </row>
    <row r="44" spans="2:21" s="1" customFormat="1" x14ac:dyDescent="0.45">
      <c r="B44" s="31" t="s">
        <v>23</v>
      </c>
      <c r="C44" s="31" t="s">
        <v>23</v>
      </c>
      <c r="D44" s="31" t="s">
        <v>82</v>
      </c>
      <c r="E44" s="31" t="s">
        <v>124</v>
      </c>
      <c r="F44" s="31" t="s">
        <v>83</v>
      </c>
      <c r="G44" s="31">
        <v>202309</v>
      </c>
      <c r="H44" s="31"/>
      <c r="I44" s="31"/>
      <c r="J44" s="31">
        <v>50</v>
      </c>
      <c r="K44" s="31"/>
      <c r="L44" s="31"/>
      <c r="M44" s="34" t="str">
        <f>[1]!HoadleyIBQuotes($C44,M$2,$D44,$E44,$F44,$G44,$H44,$I44,$J44,$K44)</f>
        <v/>
      </c>
      <c r="N44" s="36">
        <f>[1]!HoadleyIBQuotes($C44,N$2,$D44,$E44,$F44,$G44,$H44,$I44,$J44,$K44,$L44)</f>
        <v>0</v>
      </c>
      <c r="O44" s="36">
        <f>IF([1]!HoadleyIBQuotes($C44,O$2,$D44,$E44,$F44,$G44,$H44,$I44,$J44,$K44)&gt;0,[1]!HoadleyIBQuotes($C44,O$2,$D44,$E44,$F44,$G44,$H44,$I44,$J44,$K44),N44)</f>
        <v>0</v>
      </c>
      <c r="P44" s="35" t="str">
        <f t="shared" si="30"/>
        <v/>
      </c>
      <c r="Q44" s="36">
        <f>[1]!HoadleyIBQuotes($C44,Q$2,$D44,$E44,$F44,$G44,$H44,$I44,$J44,$K44,$L44)</f>
        <v>0</v>
      </c>
      <c r="R44" s="36">
        <f>[1]!HoadleyIBQuotes($C44,R$2,$D44,$E44,$F44,$G44,$H44,$I44,$J44,$K44,$L44)</f>
        <v>0</v>
      </c>
      <c r="S44" s="36">
        <f t="shared" si="31"/>
        <v>0</v>
      </c>
      <c r="T44"/>
      <c r="U44"/>
    </row>
    <row r="45" spans="2:21" s="1" customFormat="1" x14ac:dyDescent="0.45">
      <c r="B45" s="31" t="s">
        <v>4</v>
      </c>
      <c r="C45" s="31" t="s">
        <v>4</v>
      </c>
      <c r="D45" s="31" t="s">
        <v>94</v>
      </c>
      <c r="E45" s="31" t="s">
        <v>129</v>
      </c>
      <c r="F45" s="31" t="s">
        <v>83</v>
      </c>
      <c r="G45" s="31"/>
      <c r="H45" s="31"/>
      <c r="I45" s="31"/>
      <c r="J45" s="31"/>
      <c r="K45" s="31"/>
      <c r="L45" s="31"/>
      <c r="M45" s="34" t="str">
        <f>[1]!HoadleyIBQuotes($C45,M$2,$D45,$E45,$F45,$G45,$H45,$I45,$J45,$K45)</f>
        <v/>
      </c>
      <c r="N45" s="36">
        <f>[1]!HoadleyIBQuotes($C45,N$2,$D45,$E45,$F45,$G45,$H45,$I45,$J45,$K45,$L45)</f>
        <v>0</v>
      </c>
      <c r="O45" s="36">
        <f>IF([1]!HoadleyIBQuotes($C45,O$2,$D45,$E45,$F45,$G45,$H45,$I45,$J45,$K45)&gt;0,[1]!HoadleyIBQuotes($C45,O$2,$D45,$E45,$F45,$G45,$H45,$I45,$J45,$K45),N45)</f>
        <v>0</v>
      </c>
      <c r="P45" s="35" t="str">
        <f t="shared" si="30"/>
        <v/>
      </c>
      <c r="Q45" s="36">
        <f>[1]!HoadleyIBQuotes($C45,Q$2,$D45,$E45,$F45,$G45,$H45,$I45,$J45,$K45,$L45)</f>
        <v>0</v>
      </c>
      <c r="R45" s="36">
        <f>[1]!HoadleyIBQuotes($C45,R$2,$D45,$E45,$F45,$G45,$H45,$I45,$J45,$K45,$L45)</f>
        <v>0</v>
      </c>
      <c r="S45" s="36">
        <f t="shared" si="31"/>
        <v>0</v>
      </c>
      <c r="T45"/>
      <c r="U45"/>
    </row>
    <row r="46" spans="2:21" s="1" customFormat="1" x14ac:dyDescent="0.45">
      <c r="B46" s="31" t="s">
        <v>130</v>
      </c>
      <c r="C46" s="31" t="s">
        <v>92</v>
      </c>
      <c r="D46" s="31" t="s">
        <v>82</v>
      </c>
      <c r="E46" s="31" t="s">
        <v>125</v>
      </c>
      <c r="F46" s="31" t="s">
        <v>74</v>
      </c>
      <c r="G46" s="31">
        <v>202309</v>
      </c>
      <c r="H46" s="31"/>
      <c r="I46" s="31"/>
      <c r="J46" s="31">
        <v>10</v>
      </c>
      <c r="K46" s="31"/>
      <c r="L46" s="31"/>
      <c r="M46" s="34" t="str">
        <f>[1]!HoadleyIBQuotes($C46,M$2,$D46,$E46,$F46,$G46,$H46,$I46,$J46,$K46)</f>
        <v/>
      </c>
      <c r="N46" s="36">
        <f>[1]!HoadleyIBQuotes($C46,N$2,$D46,$E46,$F46,$G46,$H46,$I46,$J46,$K46,$L46)</f>
        <v>0</v>
      </c>
      <c r="O46" s="36">
        <f>IF([1]!HoadleyIBQuotes($C46,O$2,$D46,$E46,$F46,$G46,$H46,$I46,$J46,$K46)&gt;0,[1]!HoadleyIBQuotes($C46,O$2,$D46,$E46,$F46,$G46,$H46,$I46,$J46,$K46),N46)</f>
        <v>0</v>
      </c>
      <c r="P46" s="35" t="str">
        <f t="shared" si="30"/>
        <v/>
      </c>
      <c r="Q46" s="36">
        <f>[1]!HoadleyIBQuotes($C46,Q$2,$D46,$E46,$F46,$G46,$H46,$I46,$J46,$K46,$L46)</f>
        <v>0</v>
      </c>
      <c r="R46" s="36">
        <f>[1]!HoadleyIBQuotes($C46,R$2,$D46,$E46,$F46,$G46,$H46,$I46,$J46,$K46,$L46)</f>
        <v>0</v>
      </c>
      <c r="S46" s="36">
        <f t="shared" si="31"/>
        <v>0</v>
      </c>
      <c r="T46"/>
      <c r="U46"/>
    </row>
    <row r="47" spans="2:21" s="1" customFormat="1" x14ac:dyDescent="0.45">
      <c r="B47" s="31" t="s">
        <v>131</v>
      </c>
      <c r="C47" s="31" t="s">
        <v>95</v>
      </c>
      <c r="D47" s="31" t="s">
        <v>82</v>
      </c>
      <c r="E47" s="31" t="s">
        <v>125</v>
      </c>
      <c r="F47" s="31" t="s">
        <v>74</v>
      </c>
      <c r="G47" s="31">
        <v>202309</v>
      </c>
      <c r="H47" s="31"/>
      <c r="I47" s="31"/>
      <c r="J47" s="31">
        <v>25</v>
      </c>
      <c r="K47" s="31"/>
      <c r="L47" s="31"/>
      <c r="M47" s="34" t="str">
        <f>[1]!HoadleyIBQuotes($C47,M$2,$D47,$E47,$F47,$G47,$H47,$I47,$J47,$K47)</f>
        <v/>
      </c>
      <c r="N47" s="36">
        <f>[1]!HoadleyIBQuotes($C47,N$2,$D47,$E47,$F47,$G47,$H47,$I47,$J47,$K47,$L47)</f>
        <v>0</v>
      </c>
      <c r="O47" s="36">
        <f>IF([1]!HoadleyIBQuotes($C47,O$2,$D47,$E47,$F47,$G47,$H47,$I47,$J47,$K47)&gt;0,[1]!HoadleyIBQuotes($C47,O$2,$D47,$E47,$F47,$G47,$H47,$I47,$J47,$K47),N47)</f>
        <v>0</v>
      </c>
      <c r="P47" s="35" t="str">
        <f t="shared" si="30"/>
        <v/>
      </c>
      <c r="Q47" s="36">
        <f>[1]!HoadleyIBQuotes($C47,Q$2,$D47,$E47,$F47,$G47,$H47,$I47,$J47,$K47,$L47)</f>
        <v>0</v>
      </c>
      <c r="R47" s="36">
        <f>[1]!HoadleyIBQuotes($C47,R$2,$D47,$E47,$F47,$G47,$H47,$I47,$J47,$K47,$L47)</f>
        <v>0</v>
      </c>
      <c r="S47" s="36">
        <f t="shared" si="31"/>
        <v>0</v>
      </c>
      <c r="T47"/>
      <c r="U47"/>
    </row>
    <row r="48" spans="2:21" s="1" customFormat="1" x14ac:dyDescent="0.45">
      <c r="B48" s="31" t="s">
        <v>96</v>
      </c>
      <c r="C48" s="31" t="s">
        <v>90</v>
      </c>
      <c r="D48" s="31" t="s">
        <v>82</v>
      </c>
      <c r="E48" s="31" t="s">
        <v>91</v>
      </c>
      <c r="F48" s="31" t="s">
        <v>74</v>
      </c>
      <c r="G48" s="31">
        <v>202306</v>
      </c>
      <c r="H48" s="31"/>
      <c r="I48" s="31"/>
      <c r="J48" s="31">
        <v>5</v>
      </c>
      <c r="K48" s="31"/>
      <c r="L48" s="31"/>
      <c r="M48" s="34" t="str">
        <f>[1]!HoadleyIBQuotes($C48,M$2,$D48,$E48,$F48,$G48,$H48,$I48,$J48,$K48)</f>
        <v/>
      </c>
      <c r="N48" s="36">
        <f>[1]!HoadleyIBQuotes($C48,N$2,$D48,$E48,$F48,$G48,$H48,$I48,$J48,$K48,$L48)</f>
        <v>0</v>
      </c>
      <c r="O48" s="36">
        <f>IF([1]!HoadleyIBQuotes($C48,O$2,$D48,$E48,$F48,$G48,$H48,$I48,$J48,$K48)&gt;0,[1]!HoadleyIBQuotes($C48,O$2,$D48,$E48,$F48,$G48,$H48,$I48,$J48,$K48),N48)</f>
        <v>0</v>
      </c>
      <c r="P48" s="35" t="str">
        <f t="shared" si="30"/>
        <v/>
      </c>
      <c r="Q48" s="36">
        <f>[1]!HoadleyIBQuotes($C48,Q$2,$D48,$E48,$F48,$G48,$H48,$I48,$J48,$K48,$L48)</f>
        <v>0</v>
      </c>
      <c r="R48" s="36">
        <f>[1]!HoadleyIBQuotes($C48,R$2,$D48,$E48,$F48,$G48,$H48,$I48,$J48,$K48,$L48)</f>
        <v>0</v>
      </c>
      <c r="S48" s="36">
        <f t="shared" si="31"/>
        <v>0</v>
      </c>
      <c r="T48"/>
      <c r="U48"/>
    </row>
    <row r="49" spans="2:21" s="1" customFormat="1" x14ac:dyDescent="0.45">
      <c r="B49" s="31" t="s">
        <v>123</v>
      </c>
      <c r="C49" s="31" t="s">
        <v>97</v>
      </c>
      <c r="D49" s="31" t="s">
        <v>82</v>
      </c>
      <c r="E49" s="31" t="s">
        <v>125</v>
      </c>
      <c r="F49" s="31" t="s">
        <v>74</v>
      </c>
      <c r="G49" s="31">
        <v>202306</v>
      </c>
      <c r="H49" s="31"/>
      <c r="I49" s="31"/>
      <c r="J49" s="31">
        <v>50</v>
      </c>
      <c r="K49" s="31"/>
      <c r="L49" s="31"/>
      <c r="M49" s="34" t="str">
        <f>[1]!HoadleyIBQuotes($C49,M$2,$D49,$E49,$F49,$G49,$H49,$I49,$J49,$K49)</f>
        <v/>
      </c>
      <c r="N49" s="36">
        <f>[1]!HoadleyIBQuotes($C49,N$2,$D49,$E49,$F49,$G49,$H49,$I49,$J49,$K49,$L49)</f>
        <v>0</v>
      </c>
      <c r="O49" s="36">
        <f>IF([1]!HoadleyIBQuotes($C49,O$2,$D49,$E49,$F49,$G49,$H49,$I49,$J49,$K49)&gt;0,[1]!HoadleyIBQuotes($C49,O$2,$D49,$E49,$F49,$G49,$H49,$I49,$J49,$K49),N49)</f>
        <v>0</v>
      </c>
      <c r="P49" s="35" t="str">
        <f t="shared" si="30"/>
        <v/>
      </c>
      <c r="Q49" s="36">
        <f>[1]!HoadleyIBQuotes($C49,Q$2,$D49,$E49,$F49,$G49,$H49,$I49,$J49,$K49,$L49)</f>
        <v>0</v>
      </c>
      <c r="R49" s="36">
        <f>[1]!HoadleyIBQuotes($C49,R$2,$D49,$E49,$F49,$G49,$H49,$I49,$J49,$K49,$L49)</f>
        <v>0</v>
      </c>
      <c r="S49" s="36">
        <f t="shared" si="31"/>
        <v>0</v>
      </c>
      <c r="T49"/>
      <c r="U49"/>
    </row>
    <row r="50" spans="2:21" s="1" customFormat="1" x14ac:dyDescent="0.45">
      <c r="B50" s="31" t="s">
        <v>98</v>
      </c>
      <c r="C50" s="31" t="s">
        <v>98</v>
      </c>
      <c r="D50" s="31" t="s">
        <v>82</v>
      </c>
      <c r="E50" s="31" t="s">
        <v>124</v>
      </c>
      <c r="F50" s="31" t="s">
        <v>80</v>
      </c>
      <c r="G50" s="31">
        <v>202306</v>
      </c>
      <c r="H50" s="31"/>
      <c r="I50" s="31"/>
      <c r="J50" s="31">
        <v>500</v>
      </c>
      <c r="K50" s="31"/>
      <c r="L50" s="31"/>
      <c r="M50" s="34" t="str">
        <f>[1]!HoadleyIBQuotes($C50,M$2,$D50,$E50,$F50,$G50,$H50,$I50,$J50,$K50)</f>
        <v/>
      </c>
      <c r="N50" s="36">
        <f>[1]!HoadleyIBQuotes($C50,N$2,$D50,$E50,$F50,$G50,$H50,$I50,$J50,$K50,$L50)</f>
        <v>0</v>
      </c>
      <c r="O50" s="36">
        <f>IF([1]!HoadleyIBQuotes($C50,O$2,$D50,$E50,$F50,$G50,$H50,$I50,$J50,$K50)&gt;0,[1]!HoadleyIBQuotes($C50,O$2,$D50,$E50,$F50,$G50,$H50,$I50,$J50,$K50),N50)</f>
        <v>0</v>
      </c>
      <c r="P50" s="35" t="str">
        <f t="shared" si="30"/>
        <v/>
      </c>
      <c r="Q50" s="36">
        <f>[1]!HoadleyIBQuotes($C50,Q$2,$D50,$E50,$F50,$G50,$H50,$I50,$J50,$K50,$L50)</f>
        <v>0</v>
      </c>
      <c r="R50" s="36">
        <f>[1]!HoadleyIBQuotes($C50,R$2,$D50,$E50,$F50,$G50,$H50,$I50,$J50,$K50,$L50)</f>
        <v>0</v>
      </c>
      <c r="S50" s="36">
        <f t="shared" si="31"/>
        <v>0</v>
      </c>
      <c r="T50"/>
      <c r="U50"/>
    </row>
    <row r="51" spans="2:21" s="1" customFormat="1" x14ac:dyDescent="0.4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7"/>
      <c r="N51" s="36"/>
      <c r="O51" s="36"/>
      <c r="P51" s="35"/>
      <c r="Q51" s="36"/>
      <c r="R51" s="36"/>
      <c r="S51" s="36"/>
      <c r="T51"/>
      <c r="U51" s="38"/>
    </row>
    <row r="52" spans="2:21" s="1" customFormat="1" x14ac:dyDescent="0.45">
      <c r="B52" s="31" t="s">
        <v>438</v>
      </c>
      <c r="C52" s="31" t="s">
        <v>24</v>
      </c>
      <c r="D52" s="31" t="s">
        <v>82</v>
      </c>
      <c r="E52" s="31" t="s">
        <v>93</v>
      </c>
      <c r="F52" s="31" t="s">
        <v>83</v>
      </c>
      <c r="G52" s="31">
        <v>202404</v>
      </c>
      <c r="H52" s="31"/>
      <c r="I52" s="31"/>
      <c r="J52" s="31">
        <v>1000</v>
      </c>
      <c r="K52" s="31"/>
      <c r="L52" s="31"/>
      <c r="M52" s="34" t="str">
        <f>[1]!HoadleyIBQuotes($C52,M$2,$D52,$E52,$F52,$G52,$H52,$I52,$J52,$K52)</f>
        <v/>
      </c>
      <c r="N52" s="36">
        <f>[1]!HoadleyIBQuotes($C52,N$2,$D52,$E52,$F52,$G52,$H52,$I52,$J52,$K52,$L52)</f>
        <v>0</v>
      </c>
      <c r="O52" s="36">
        <f>IF([1]!HoadleyIBQuotes($C52,O$2,$D52,$E52,$F52,$G52,$H52,$I52,$J52,$K52)&gt;0,[1]!HoadleyIBQuotes($C52,O$2,$D52,$E52,$F52,$G52,$H52,$I52,$J52,$K52),N52)</f>
        <v>0</v>
      </c>
      <c r="P52" s="35" t="str">
        <f t="shared" si="30"/>
        <v/>
      </c>
      <c r="Q52" s="36">
        <f>[1]!HoadleyIBQuotes($C52,Q$2,$D52,$E52,$F52,$G52,$H52,$I52,$J52,$K52,$L52)</f>
        <v>0</v>
      </c>
      <c r="R52" s="36">
        <f>[1]!HoadleyIBQuotes($C52,R$2,$D52,$E52,$F52,$G52,$H52,$I52,$J52,$K52,$L52)</f>
        <v>0</v>
      </c>
      <c r="S52" s="36">
        <f t="shared" si="31"/>
        <v>0</v>
      </c>
      <c r="T52"/>
      <c r="U52" s="38"/>
    </row>
    <row r="53" spans="2:21" s="1" customFormat="1" x14ac:dyDescent="0.45">
      <c r="B53" s="31" t="s">
        <v>424</v>
      </c>
      <c r="C53" s="31" t="s">
        <v>5</v>
      </c>
      <c r="D53" s="31" t="s">
        <v>82</v>
      </c>
      <c r="E53" s="31" t="s">
        <v>93</v>
      </c>
      <c r="F53" s="31" t="s">
        <v>83</v>
      </c>
      <c r="G53" s="31">
        <v>202403</v>
      </c>
      <c r="H53" s="31"/>
      <c r="I53" s="31"/>
      <c r="J53" s="31">
        <v>10000</v>
      </c>
      <c r="K53" s="31"/>
      <c r="L53" s="31"/>
      <c r="M53" s="34" t="str">
        <f>[1]!HoadleyIBQuotes($C53,M$2,$D53,$E53,$F53,$G53,$H53,$I53,$J53,$K53)</f>
        <v/>
      </c>
      <c r="N53" s="36">
        <f>[1]!HoadleyIBQuotes($C53,N$2,$D53,$E53,$F53,$G53,$H53,$I53,$J53,$K53,$L53)</f>
        <v>0</v>
      </c>
      <c r="O53" s="36">
        <f>IF([1]!HoadleyIBQuotes($C53,O$2,$D53,$E53,$F53,$G53,$H53,$I53,$J53,$K53)&gt;0,[1]!HoadleyIBQuotes($C53,O$2,$D53,$E53,$F53,$G53,$H53,$I53,$J53,$K53),N53)</f>
        <v>0</v>
      </c>
      <c r="P53" s="35" t="str">
        <f t="shared" si="30"/>
        <v/>
      </c>
      <c r="Q53" s="36">
        <f>[1]!HoadleyIBQuotes($C53,Q$2,$D53,$E53,$F53,$G53,$H53,$I53,$J53,$K53,$L53)</f>
        <v>0</v>
      </c>
      <c r="R53" s="36">
        <f>[1]!HoadleyIBQuotes($C53,R$2,$D53,$E53,$F53,$G53,$H53,$I53,$J53,$K53,$L53)</f>
        <v>0</v>
      </c>
      <c r="S53" s="36">
        <f t="shared" si="31"/>
        <v>0</v>
      </c>
      <c r="T53"/>
      <c r="U53" s="38"/>
    </row>
    <row r="54" spans="2:21" s="1" customFormat="1" x14ac:dyDescent="0.45">
      <c r="B54" s="31" t="s">
        <v>356</v>
      </c>
      <c r="C54" s="31" t="s">
        <v>9</v>
      </c>
      <c r="D54" s="31" t="s">
        <v>82</v>
      </c>
      <c r="E54" s="31" t="s">
        <v>93</v>
      </c>
      <c r="F54" s="31" t="s">
        <v>83</v>
      </c>
      <c r="G54" s="31">
        <v>202401</v>
      </c>
      <c r="H54" s="31"/>
      <c r="I54" s="31"/>
      <c r="J54" s="31">
        <v>42000</v>
      </c>
      <c r="K54" s="31"/>
      <c r="L54" s="31"/>
      <c r="M54" s="34" t="str">
        <f>[1]!HoadleyIBQuotes($C54,M$2,$D54,$E54,$F54,$G54,$H54,$I54,$J54,$K54)</f>
        <v/>
      </c>
      <c r="N54" s="36">
        <f>[1]!HoadleyIBQuotes($C54,N$2,$D54,$E54,$F54,$G54,$H54,$I54,$J54,$K54,$L54)</f>
        <v>0</v>
      </c>
      <c r="O54" s="36">
        <f>IF([1]!HoadleyIBQuotes($C54,O$2,$D54,$E54,$F54,$G54,$H54,$I54,$J54,$K54)&gt;0,[1]!HoadleyIBQuotes($C54,O$2,$D54,$E54,$F54,$G54,$H54,$I54,$J54,$K54),N54)</f>
        <v>0</v>
      </c>
      <c r="P54" s="35" t="str">
        <f t="shared" si="30"/>
        <v/>
      </c>
      <c r="Q54" s="36">
        <f>[1]!HoadleyIBQuotes($C54,Q$2,$D54,$E54,$F54,$G54,$H54,$I54,$J54,$K54,$L54)</f>
        <v>0</v>
      </c>
      <c r="R54" s="36">
        <f>[1]!HoadleyIBQuotes($C54,R$2,$D54,$E54,$F54,$G54,$H54,$I54,$J54,$K54,$L54)</f>
        <v>0</v>
      </c>
      <c r="S54" s="36">
        <f t="shared" si="31"/>
        <v>0</v>
      </c>
      <c r="T54"/>
      <c r="U54" s="38"/>
    </row>
    <row r="55" spans="2:21" s="1" customFormat="1" x14ac:dyDescent="0.45">
      <c r="B55" s="31" t="s">
        <v>384</v>
      </c>
      <c r="C55" s="31" t="s">
        <v>25</v>
      </c>
      <c r="D55" s="31" t="s">
        <v>82</v>
      </c>
      <c r="E55" s="31" t="s">
        <v>126</v>
      </c>
      <c r="F55" s="31" t="s">
        <v>83</v>
      </c>
      <c r="G55" s="31">
        <v>202403</v>
      </c>
      <c r="H55" s="31"/>
      <c r="I55" s="31"/>
      <c r="J55" s="31">
        <v>25000</v>
      </c>
      <c r="K55" s="31"/>
      <c r="L55" s="31"/>
      <c r="M55" s="34" t="str">
        <f>[1]!HoadleyIBQuotes($C55,M$2,$D55,$E55,$F55,$G55,$H55,$I55,$J55,$K55)</f>
        <v/>
      </c>
      <c r="N55" s="36">
        <f>[1]!HoadleyIBQuotes($C55,N$2,$D55,$E55,$F55,$G55,$H55,$I55,$J55,$K55,$L55)</f>
        <v>0</v>
      </c>
      <c r="O55" s="36">
        <f>IF([1]!HoadleyIBQuotes($C55,O$2,$D55,$E55,$F55,$G55,$H55,$I55,$J55,$K55)&gt;0,[1]!HoadleyIBQuotes($C55,O$2,$D55,$E55,$F55,$G55,$H55,$I55,$J55,$K55),N55)</f>
        <v>0</v>
      </c>
      <c r="P55" s="35" t="str">
        <f t="shared" si="30"/>
        <v/>
      </c>
      <c r="Q55" s="36">
        <f>[1]!HoadleyIBQuotes($C55,Q$2,$D55,$E55,$F55,$G55,$H55,$I55,$J55,$K55,$L55)</f>
        <v>0</v>
      </c>
      <c r="R55" s="36">
        <f>[1]!HoadleyIBQuotes($C55,R$2,$D55,$E55,$F55,$G55,$H55,$I55,$J55,$K55,$L55)</f>
        <v>0</v>
      </c>
      <c r="S55" s="36">
        <f t="shared" si="31"/>
        <v>0</v>
      </c>
      <c r="T55"/>
      <c r="U55" s="38"/>
    </row>
    <row r="56" spans="2:21" s="1" customFormat="1" x14ac:dyDescent="0.45">
      <c r="B56" s="31" t="s">
        <v>431</v>
      </c>
      <c r="C56" s="31" t="s">
        <v>25</v>
      </c>
      <c r="D56" s="31" t="s">
        <v>82</v>
      </c>
      <c r="E56" s="31" t="s">
        <v>126</v>
      </c>
      <c r="F56" s="31" t="s">
        <v>83</v>
      </c>
      <c r="G56" s="31">
        <v>202405</v>
      </c>
      <c r="H56" s="31"/>
      <c r="I56" s="31"/>
      <c r="J56" s="31">
        <v>25000</v>
      </c>
      <c r="K56" s="31"/>
      <c r="L56" s="31"/>
      <c r="M56" s="34" t="str">
        <f>[1]!HoadleyIBQuotes($C56,M$2,$D56,$E56,$F56,$G56,$H56,$I56,$J56,$K56)</f>
        <v/>
      </c>
      <c r="N56" s="36">
        <f>[1]!HoadleyIBQuotes($C56,N$2,$D56,$E56,$F56,$G56,$H56,$I56,$J56,$K56,$L56)</f>
        <v>0</v>
      </c>
      <c r="O56" s="36">
        <f>IF([1]!HoadleyIBQuotes($C56,O$2,$D56,$E56,$F56,$G56,$H56,$I56,$J56,$K56)&gt;0,[1]!HoadleyIBQuotes($C56,O$2,$D56,$E56,$F56,$G56,$H56,$I56,$J56,$K56),N56)</f>
        <v>0</v>
      </c>
      <c r="P56" s="35" t="str">
        <f t="shared" ref="P56" si="32">IF(OR(O56=0,N56=0),"",O56/N56-1)</f>
        <v/>
      </c>
      <c r="Q56" s="36">
        <f>[1]!HoadleyIBQuotes($C56,Q$2,$D56,$E56,$F56,$G56,$H56,$I56,$J56,$K56,$L56)</f>
        <v>0</v>
      </c>
      <c r="R56" s="36">
        <f>[1]!HoadleyIBQuotes($C56,R$2,$D56,$E56,$F56,$G56,$H56,$I56,$J56,$K56,$L56)</f>
        <v>0</v>
      </c>
      <c r="S56" s="36">
        <f t="shared" ref="S56" si="33">(R56+Q56)/2</f>
        <v>0</v>
      </c>
      <c r="T56"/>
      <c r="U56" s="38"/>
    </row>
    <row r="57" spans="2:21" s="1" customFormat="1" x14ac:dyDescent="0.45">
      <c r="B57" s="31" t="s">
        <v>26</v>
      </c>
      <c r="C57" s="31" t="s">
        <v>26</v>
      </c>
      <c r="D57" s="31" t="s">
        <v>82</v>
      </c>
      <c r="E57" s="31" t="s">
        <v>126</v>
      </c>
      <c r="F57" s="31" t="s">
        <v>83</v>
      </c>
      <c r="G57" s="31">
        <v>202306</v>
      </c>
      <c r="H57" s="31"/>
      <c r="I57" s="31"/>
      <c r="J57" s="31">
        <v>100</v>
      </c>
      <c r="K57" s="31"/>
      <c r="L57" s="31"/>
      <c r="M57" s="34" t="str">
        <f>[1]!HoadleyIBQuotes($C57,M$2,$D57,$E57,$F57,$G57,$H57,$I57,$J57,$K57)</f>
        <v/>
      </c>
      <c r="N57" s="36">
        <f>[1]!HoadleyIBQuotes($C57,N$2,$D57,$E57,$F57,$G57,$H57,$I57,$J57,$K57,$L57)</f>
        <v>0</v>
      </c>
      <c r="O57" s="36">
        <f>IF([1]!HoadleyIBQuotes($C57,O$2,$D57,$E57,$F57,$G57,$H57,$I57,$J57,$K57)&gt;0,[1]!HoadleyIBQuotes($C57,O$2,$D57,$E57,$F57,$G57,$H57,$I57,$J57,$K57),N57)</f>
        <v>0</v>
      </c>
      <c r="P57" s="35" t="str">
        <f t="shared" si="30"/>
        <v/>
      </c>
      <c r="Q57" s="36">
        <f>[1]!HoadleyIBQuotes($C57,Q$2,$D57,$E57,$F57,$G57,$H57,$I57,$J57,$K57,$L57)</f>
        <v>0</v>
      </c>
      <c r="R57" s="36">
        <f>[1]!HoadleyIBQuotes($C57,R$2,$D57,$E57,$F57,$G57,$H57,$I57,$J57,$K57,$L57)</f>
        <v>0</v>
      </c>
      <c r="S57" s="36">
        <f t="shared" si="31"/>
        <v>0</v>
      </c>
      <c r="T57"/>
      <c r="U57" s="38"/>
    </row>
    <row r="58" spans="2:21" s="1" customFormat="1" x14ac:dyDescent="0.45">
      <c r="B58" s="31" t="s">
        <v>278</v>
      </c>
      <c r="C58" s="31" t="s">
        <v>27</v>
      </c>
      <c r="D58" s="31" t="s">
        <v>82</v>
      </c>
      <c r="E58" s="31" t="s">
        <v>126</v>
      </c>
      <c r="F58" s="31" t="s">
        <v>83</v>
      </c>
      <c r="G58" s="31">
        <v>202312</v>
      </c>
      <c r="H58" s="31"/>
      <c r="I58" s="31"/>
      <c r="J58" s="31">
        <v>5000</v>
      </c>
      <c r="K58" s="31"/>
      <c r="L58" s="31"/>
      <c r="M58" s="34" t="str">
        <f>[1]!HoadleyIBQuotes($C58,M$2,$D58,$E58,$F58,$G58,$H58,$I58,$J58,$K58)</f>
        <v/>
      </c>
      <c r="N58" s="36">
        <f>[1]!HoadleyIBQuotes($C58,N$2,$D58,$E58,$F58,$G58,$H58,$I58,$J58,$K58,$L58)</f>
        <v>0</v>
      </c>
      <c r="O58" s="36">
        <f>IF([1]!HoadleyIBQuotes($C58,O$2,$D58,$E58,$F58,$G58,$H58,$I58,$J58,$K58)&gt;0,[1]!HoadleyIBQuotes($C58,O$2,$D58,$E58,$F58,$G58,$H58,$I58,$J58,$K58),N58)</f>
        <v>0</v>
      </c>
      <c r="P58" s="35" t="str">
        <f t="shared" si="30"/>
        <v/>
      </c>
      <c r="Q58" s="36">
        <f>[1]!HoadleyIBQuotes($C58,Q$2,$D58,$E58,$F58,$G58,$H58,$I58,$J58,$K58,$L58)</f>
        <v>0</v>
      </c>
      <c r="R58" s="36">
        <f>[1]!HoadleyIBQuotes($C58,R$2,$D58,$E58,$F58,$G58,$H58,$I58,$J58,$K58,$L58)</f>
        <v>0</v>
      </c>
      <c r="S58" s="36">
        <f t="shared" si="31"/>
        <v>0</v>
      </c>
      <c r="T58"/>
      <c r="U58"/>
    </row>
    <row r="59" spans="2:21" s="1" customFormat="1" x14ac:dyDescent="0.45">
      <c r="B59" s="31" t="s">
        <v>99</v>
      </c>
      <c r="C59" s="31" t="s">
        <v>99</v>
      </c>
      <c r="D59" s="31" t="s">
        <v>82</v>
      </c>
      <c r="E59" s="31" t="s">
        <v>93</v>
      </c>
      <c r="F59" s="31" t="s">
        <v>83</v>
      </c>
      <c r="G59" s="31">
        <v>202306</v>
      </c>
      <c r="H59" s="31"/>
      <c r="I59" s="31"/>
      <c r="J59" s="31">
        <v>100</v>
      </c>
      <c r="K59" s="31"/>
      <c r="L59" s="31"/>
      <c r="M59" s="34" t="str">
        <f>[1]!HoadleyIBQuotes($C59,M$2,$D59,$E59,$F59,$G59,$H59,$I59,$J59,$K59)</f>
        <v/>
      </c>
      <c r="N59" s="36">
        <f>[1]!HoadleyIBQuotes($C59,N$2,$D59,$E59,$F59,$G59,$H59,$I59,$J59,$K59,$L59)</f>
        <v>0</v>
      </c>
      <c r="O59" s="36">
        <f>IF([1]!HoadleyIBQuotes($C59,O$2,$D59,$E59,$F59,$G59,$H59,$I59,$J59,$K59)&gt;0,[1]!HoadleyIBQuotes($C59,O$2,$D59,$E59,$F59,$G59,$H59,$I59,$J59,$K59),N59)</f>
        <v>0</v>
      </c>
      <c r="P59" s="35" t="str">
        <f t="shared" si="30"/>
        <v/>
      </c>
      <c r="Q59" s="36">
        <f>[1]!HoadleyIBQuotes($C59,Q$2,$D59,$E59,$F59,$G59,$H59,$I59,$J59,$K59,$L59)</f>
        <v>0</v>
      </c>
      <c r="R59" s="36">
        <f>[1]!HoadleyIBQuotes($C59,R$2,$D59,$E59,$F59,$G59,$H59,$I59,$J59,$K59,$L59)</f>
        <v>0</v>
      </c>
      <c r="S59" s="36">
        <f t="shared" si="31"/>
        <v>0</v>
      </c>
      <c r="T59"/>
      <c r="U59"/>
    </row>
    <row r="60" spans="2:21" s="1" customFormat="1" x14ac:dyDescent="0.45">
      <c r="B60" s="31" t="s">
        <v>261</v>
      </c>
      <c r="C60" s="31" t="s">
        <v>28</v>
      </c>
      <c r="D60" s="31" t="s">
        <v>82</v>
      </c>
      <c r="E60" s="31" t="s">
        <v>127</v>
      </c>
      <c r="F60" s="31" t="s">
        <v>83</v>
      </c>
      <c r="G60" s="31">
        <v>202312</v>
      </c>
      <c r="H60" s="31"/>
      <c r="I60" s="31"/>
      <c r="J60" s="31">
        <v>5000</v>
      </c>
      <c r="K60" s="31"/>
      <c r="L60" s="31"/>
      <c r="M60" s="34" t="str">
        <f>[1]!HoadleyIBQuotes($C60,M$2,$D60,$E60,$F60,$G60,$H60,$I60,$J60,$K60)</f>
        <v/>
      </c>
      <c r="N60" s="36">
        <f>[1]!HoadleyIBQuotes($C60,N$2,$D60,$E60,$F60,$G60,$H60,$I60,$J60,$K60,$L60)</f>
        <v>0</v>
      </c>
      <c r="O60" s="36">
        <f>IF([1]!HoadleyIBQuotes($C60,O$2,$D60,$E60,$F60,$G60,$H60,$I60,$J60,$K60)&gt;0,[1]!HoadleyIBQuotes($C60,O$2,$D60,$E60,$F60,$G60,$H60,$I60,$J60,$K60),N60)</f>
        <v>0</v>
      </c>
      <c r="P60" s="35" t="str">
        <f t="shared" si="30"/>
        <v/>
      </c>
      <c r="Q60" s="36">
        <f>[1]!HoadleyIBQuotes($C60,Q$2,$D60,$E60,$F60,$G60,$H60,$I60,$J60,$K60,$L60)</f>
        <v>0</v>
      </c>
      <c r="R60" s="36">
        <f>[1]!HoadleyIBQuotes($C60,R$2,$D60,$E60,$F60,$G60,$H60,$I60,$J60,$K60,$L60)</f>
        <v>0</v>
      </c>
      <c r="S60" s="36">
        <f t="shared" si="31"/>
        <v>0</v>
      </c>
      <c r="T60"/>
      <c r="U60"/>
    </row>
    <row r="61" spans="2:21" s="1" customFormat="1" x14ac:dyDescent="0.45">
      <c r="B61" s="31" t="s">
        <v>433</v>
      </c>
      <c r="C61" s="31" t="s">
        <v>29</v>
      </c>
      <c r="D61" s="31" t="s">
        <v>82</v>
      </c>
      <c r="E61" s="31" t="s">
        <v>127</v>
      </c>
      <c r="F61" s="31" t="s">
        <v>83</v>
      </c>
      <c r="G61" s="31">
        <v>202405</v>
      </c>
      <c r="H61" s="31"/>
      <c r="I61" s="31"/>
      <c r="J61" s="31">
        <v>5000</v>
      </c>
      <c r="K61" s="31"/>
      <c r="L61" s="31"/>
      <c r="M61" s="34" t="str">
        <f>[1]!HoadleyIBQuotes($C61,M$2,$D61,$E61,$F61,$G61,$H61,$I61,$J61,$K61)</f>
        <v/>
      </c>
      <c r="N61" s="36">
        <f>[1]!HoadleyIBQuotes($C61,N$2,$D61,$E61,$F61,$G61,$H61,$I61,$J61,$K61,$L61)</f>
        <v>0</v>
      </c>
      <c r="O61" s="36">
        <f>IF([1]!HoadleyIBQuotes($C61,O$2,$D61,$E61,$F61,$G61,$H61,$I61,$J61,$K61)&gt;0,[1]!HoadleyIBQuotes($C61,O$2,$D61,$E61,$F61,$G61,$H61,$I61,$J61,$K61),N61)</f>
        <v>0</v>
      </c>
      <c r="P61" s="35" t="str">
        <f t="shared" si="30"/>
        <v/>
      </c>
      <c r="Q61" s="36">
        <f>[1]!HoadleyIBQuotes($C61,Q$2,$D61,$E61,$F61,$G61,$H61,$I61,$J61,$K61,$L61)</f>
        <v>0</v>
      </c>
      <c r="R61" s="36">
        <f>[1]!HoadleyIBQuotes($C61,R$2,$D61,$E61,$F61,$G61,$H61,$I61,$J61,$K61,$L61)</f>
        <v>0</v>
      </c>
      <c r="S61" s="36">
        <f t="shared" si="31"/>
        <v>0</v>
      </c>
      <c r="T61"/>
      <c r="U61"/>
    </row>
    <row r="62" spans="2:21" s="1" customFormat="1" x14ac:dyDescent="0.45">
      <c r="B62" s="31" t="s">
        <v>456</v>
      </c>
      <c r="C62" s="31" t="s">
        <v>31</v>
      </c>
      <c r="D62" s="31" t="s">
        <v>82</v>
      </c>
      <c r="E62" s="31" t="s">
        <v>127</v>
      </c>
      <c r="F62" s="31" t="s">
        <v>83</v>
      </c>
      <c r="G62" s="31">
        <v>202405</v>
      </c>
      <c r="H62" s="31"/>
      <c r="I62" s="31"/>
      <c r="J62" s="31">
        <v>5000</v>
      </c>
      <c r="K62" s="31"/>
      <c r="L62" s="31"/>
      <c r="M62" s="34" t="str">
        <f>[1]!HoadleyIBQuotes($C62,M$2,$D62,$E62,$F62,$G62,$H62,$I62,$J62,$K62)</f>
        <v/>
      </c>
      <c r="N62" s="36">
        <f>[1]!HoadleyIBQuotes($C62,N$2,$D62,$E62,$F62,$G62,$H62,$I62,$J62,$K62,$L62)</f>
        <v>0</v>
      </c>
      <c r="O62" s="36">
        <f>IF([1]!HoadleyIBQuotes($C62,O$2,$D62,$E62,$F62,$G62,$H62,$I62,$J62,$K62)&gt;0,[1]!HoadleyIBQuotes($C62,O$2,$D62,$E62,$F62,$G62,$H62,$I62,$J62,$K62),N62)</f>
        <v>0</v>
      </c>
      <c r="P62" s="35" t="str">
        <f t="shared" si="30"/>
        <v/>
      </c>
      <c r="Q62" s="36">
        <f>[1]!HoadleyIBQuotes($C62,Q$2,$D62,$E62,$F62,$G62,$H62,$I62,$J62,$K62,$L62)</f>
        <v>0</v>
      </c>
      <c r="R62" s="36">
        <f>[1]!HoadleyIBQuotes($C62,R$2,$D62,$E62,$F62,$G62,$H62,$I62,$J62,$K62,$L62)</f>
        <v>0</v>
      </c>
      <c r="S62" s="36">
        <f t="shared" si="31"/>
        <v>0</v>
      </c>
      <c r="T62"/>
      <c r="U62"/>
    </row>
    <row r="63" spans="2:21" s="1" customFormat="1" x14ac:dyDescent="0.45">
      <c r="B63" s="31" t="s">
        <v>257</v>
      </c>
      <c r="C63" s="31" t="s">
        <v>32</v>
      </c>
      <c r="D63" s="31" t="s">
        <v>82</v>
      </c>
      <c r="E63" s="31" t="s">
        <v>100</v>
      </c>
      <c r="F63" s="31" t="s">
        <v>83</v>
      </c>
      <c r="G63" s="31">
        <v>202310</v>
      </c>
      <c r="H63" s="31"/>
      <c r="I63" s="31"/>
      <c r="J63" s="31">
        <v>112000</v>
      </c>
      <c r="K63" s="31"/>
      <c r="L63" s="31"/>
      <c r="M63" s="34" t="str">
        <f>[1]!HoadleyIBQuotes($C63,M$2,$D63,$E63,$F63,$G63,$H63,$I63,$J63,$K63)</f>
        <v/>
      </c>
      <c r="N63" s="36">
        <f>[1]!HoadleyIBQuotes($C63,N$2,$D63,$E63,$F63,$G63,$H63,$I63,$J63,$K63,$L63)</f>
        <v>0</v>
      </c>
      <c r="O63" s="36">
        <f>IF([1]!HoadleyIBQuotes($C63,O$2,$D63,$E63,$F63,$G63,$H63,$I63,$J63,$K63)&gt;0,[1]!HoadleyIBQuotes($C63,O$2,$D63,$E63,$F63,$G63,$H63,$I63,$J63,$K63),N63)</f>
        <v>0</v>
      </c>
      <c r="P63" s="35" t="str">
        <f t="shared" si="30"/>
        <v/>
      </c>
      <c r="Q63" s="36">
        <f>[1]!HoadleyIBQuotes($C63,Q$2,$D63,$E63,$F63,$G63,$H63,$I63,$J63,$K63,$L63)</f>
        <v>0</v>
      </c>
      <c r="R63" s="36">
        <f>[1]!HoadleyIBQuotes($C63,R$2,$D63,$E63,$F63,$G63,$H63,$I63,$J63,$K63,$L63)</f>
        <v>0</v>
      </c>
      <c r="S63" s="36">
        <f t="shared" si="31"/>
        <v>0</v>
      </c>
      <c r="T63"/>
      <c r="U63"/>
    </row>
    <row r="64" spans="2:21" s="1" customFormat="1" x14ac:dyDescent="0.45">
      <c r="B64" s="31" t="s">
        <v>450</v>
      </c>
      <c r="C64" s="31" t="s">
        <v>33</v>
      </c>
      <c r="D64" s="31" t="s">
        <v>82</v>
      </c>
      <c r="E64" s="31" t="s">
        <v>100</v>
      </c>
      <c r="F64" s="31" t="s">
        <v>83</v>
      </c>
      <c r="G64" s="31">
        <v>202405</v>
      </c>
      <c r="H64" s="31"/>
      <c r="I64" s="31"/>
      <c r="J64" s="31">
        <v>37500</v>
      </c>
      <c r="K64" s="31"/>
      <c r="L64" s="31"/>
      <c r="M64" s="34" t="str">
        <f>[1]!HoadleyIBQuotes($C64,M$2,$D64,$E64,$F64,$G64,$H64,$I64,$J64,$K64)</f>
        <v/>
      </c>
      <c r="N64" s="36">
        <f>[1]!HoadleyIBQuotes($C64,N$2,$D64,$E64,$F64,$G64,$H64,$I64,$J64,$K64,$L64)</f>
        <v>0</v>
      </c>
      <c r="O64" s="36">
        <f>IF([1]!HoadleyIBQuotes($C64,O$2,$D64,$E64,$F64,$G64,$H64,$I64,$J64,$K64)&gt;0,[1]!HoadleyIBQuotes($C64,O$2,$D64,$E64,$F64,$G64,$H64,$I64,$J64,$K64),N64)</f>
        <v>0</v>
      </c>
      <c r="P64" s="35" t="str">
        <f t="shared" si="30"/>
        <v/>
      </c>
      <c r="Q64" s="36">
        <f>[1]!HoadleyIBQuotes($C64,Q$2,$D64,$E64,$F64,$G64,$H64,$I64,$J64,$K64,$L64)</f>
        <v>0</v>
      </c>
      <c r="R64" s="36">
        <f>[1]!HoadleyIBQuotes($C64,R$2,$D64,$E64,$F64,$G64,$H64,$I64,$J64,$K64,$L64)</f>
        <v>0</v>
      </c>
      <c r="S64" s="36">
        <f t="shared" si="31"/>
        <v>0</v>
      </c>
      <c r="T64"/>
      <c r="U64"/>
    </row>
    <row r="65" spans="2:21" s="1" customFormat="1" x14ac:dyDescent="0.45">
      <c r="B65" s="31" t="s">
        <v>474</v>
      </c>
      <c r="C65" s="31" t="s">
        <v>34</v>
      </c>
      <c r="D65" s="31" t="s">
        <v>82</v>
      </c>
      <c r="E65" s="31" t="s">
        <v>100</v>
      </c>
      <c r="F65" s="31" t="s">
        <v>83</v>
      </c>
      <c r="G65" s="31">
        <v>202407</v>
      </c>
      <c r="H65" s="31"/>
      <c r="I65" s="31"/>
      <c r="J65" s="31">
        <v>10</v>
      </c>
      <c r="K65" s="31"/>
      <c r="L65" s="31"/>
      <c r="M65" s="34" t="str">
        <f>[1]!HoadleyIBQuotes($C65,M$2,$D65,$E65,$F65,$G65,$H65,$I65,$J65,$K65)</f>
        <v/>
      </c>
      <c r="N65" s="36">
        <f>[1]!HoadleyIBQuotes($C65,N$2,$D65,$E65,$F65,$G65,$H65,$I65,$J65,$K65,$L65)</f>
        <v>0</v>
      </c>
      <c r="O65" s="36">
        <f>IF([1]!HoadleyIBQuotes($C65,O$2,$D65,$E65,$F65,$G65,$H65,$I65,$J65,$K65)&gt;0,[1]!HoadleyIBQuotes($C65,O$2,$D65,$E65,$F65,$G65,$H65,$I65,$J65,$K65),N65)</f>
        <v>0</v>
      </c>
      <c r="P65" s="35" t="str">
        <f t="shared" si="30"/>
        <v/>
      </c>
      <c r="Q65" s="36">
        <f>[1]!HoadleyIBQuotes($C65,Q$2,$D65,$E65,$F65,$G65,$H65,$I65,$J65,$K65,$L65)</f>
        <v>0</v>
      </c>
      <c r="R65" s="36">
        <f>[1]!HoadleyIBQuotes($C65,R$2,$D65,$E65,$F65,$G65,$H65,$I65,$J65,$K65,$L65)</f>
        <v>0</v>
      </c>
      <c r="S65" s="36">
        <f t="shared" si="31"/>
        <v>0</v>
      </c>
      <c r="T65"/>
      <c r="U65"/>
    </row>
    <row r="66" spans="2:21" s="1" customFormat="1" x14ac:dyDescent="0.45">
      <c r="B66" s="31" t="s">
        <v>471</v>
      </c>
      <c r="C66" s="31" t="s">
        <v>101</v>
      </c>
      <c r="D66" s="31" t="s">
        <v>82</v>
      </c>
      <c r="E66" s="31" t="s">
        <v>100</v>
      </c>
      <c r="F66" s="31" t="s">
        <v>83</v>
      </c>
      <c r="G66" s="31">
        <v>202407</v>
      </c>
      <c r="H66" s="31"/>
      <c r="I66" s="31"/>
      <c r="J66" s="31">
        <v>50000</v>
      </c>
      <c r="K66" s="31"/>
      <c r="L66" s="31"/>
      <c r="M66" s="34" t="str">
        <f>[1]!HoadleyIBQuotes($C66,M$2,$D66,$E66,$F66,$G66,$H66,$I66,$J66,$K66)</f>
        <v/>
      </c>
      <c r="N66" s="36">
        <f>[1]!HoadleyIBQuotes($C66,N$2,$D66,$E66,$F66,$G66,$H66,$I66,$J66,$K66,$L66)</f>
        <v>0</v>
      </c>
      <c r="O66" s="36">
        <f>IF([1]!HoadleyIBQuotes($C66,O$2,$D66,$E66,$F66,$G66,$H66,$I66,$J66,$K66)&gt;0,[1]!HoadleyIBQuotes($C66,O$2,$D66,$E66,$F66,$G66,$H66,$I66,$J66,$K66),N66)</f>
        <v>0</v>
      </c>
      <c r="P66" s="35" t="str">
        <f t="shared" si="30"/>
        <v/>
      </c>
      <c r="Q66" s="36">
        <f>[1]!HoadleyIBQuotes($C66,Q$2,$D66,$E66,$F66,$G66,$H66,$I66,$J66,$K66,$L66)</f>
        <v>0</v>
      </c>
      <c r="R66" s="36">
        <f>[1]!HoadleyIBQuotes($C66,R$2,$D66,$E66,$F66,$G66,$H66,$I66,$J66,$K66,$L66)</f>
        <v>0</v>
      </c>
      <c r="S66" s="36">
        <f t="shared" si="31"/>
        <v>0</v>
      </c>
      <c r="T66"/>
      <c r="U66"/>
    </row>
    <row r="67" spans="2:21" s="1" customFormat="1" x14ac:dyDescent="0.45">
      <c r="B67" s="31" t="s">
        <v>35</v>
      </c>
      <c r="C67" s="31" t="s">
        <v>35</v>
      </c>
      <c r="D67" s="31" t="s">
        <v>82</v>
      </c>
      <c r="E67" s="31" t="s">
        <v>124</v>
      </c>
      <c r="F67" s="31" t="s">
        <v>83</v>
      </c>
      <c r="G67" s="31">
        <v>202306</v>
      </c>
      <c r="H67" s="31"/>
      <c r="I67" s="31"/>
      <c r="J67" s="31">
        <v>40000</v>
      </c>
      <c r="K67" s="31"/>
      <c r="L67" s="31"/>
      <c r="M67" s="34" t="str">
        <f>[1]!HoadleyIBQuotes($C67,M$2,$D67,$E67,$F67,$G67,$H67,$I67,$J67,$K67)</f>
        <v/>
      </c>
      <c r="N67" s="36">
        <f>[1]!HoadleyIBQuotes($C67,N$2,$D67,$E67,$F67,$G67,$H67,$I67,$J67,$K67,$L67)</f>
        <v>0</v>
      </c>
      <c r="O67" s="36">
        <f>IF([1]!HoadleyIBQuotes($C67,O$2,$D67,$E67,$F67,$G67,$H67,$I67,$J67,$K67)&gt;0,[1]!HoadleyIBQuotes($C67,O$2,$D67,$E67,$F67,$G67,$H67,$I67,$J67,$K67),N67)</f>
        <v>0</v>
      </c>
      <c r="P67" s="35" t="str">
        <f t="shared" si="30"/>
        <v/>
      </c>
      <c r="Q67" s="36">
        <f>[1]!HoadleyIBQuotes($C67,Q$2,$D67,$E67,$F67,$G67,$H67,$I67,$J67,$K67,$L67)</f>
        <v>0</v>
      </c>
      <c r="R67" s="36">
        <f>[1]!HoadleyIBQuotes($C67,R$2,$D67,$E67,$F67,$G67,$H67,$I67,$J67,$K67,$L67)</f>
        <v>0</v>
      </c>
      <c r="S67" s="36">
        <f t="shared" si="31"/>
        <v>0</v>
      </c>
      <c r="T67"/>
      <c r="U67"/>
    </row>
    <row r="68" spans="2:21" s="1" customFormat="1" x14ac:dyDescent="0.45">
      <c r="B68" s="31" t="s">
        <v>36</v>
      </c>
      <c r="C68" s="31" t="s">
        <v>36</v>
      </c>
      <c r="D68" s="31" t="s">
        <v>82</v>
      </c>
      <c r="E68" s="31" t="s">
        <v>124</v>
      </c>
      <c r="F68" s="31" t="s">
        <v>83</v>
      </c>
      <c r="G68" s="31">
        <v>202305</v>
      </c>
      <c r="H68" s="31"/>
      <c r="I68" s="31"/>
      <c r="J68" s="31">
        <v>50000</v>
      </c>
      <c r="K68" s="31"/>
      <c r="L68" s="31"/>
      <c r="M68" s="34" t="str">
        <f>[1]!HoadleyIBQuotes($C68,M$2,$D68,$E68,$F68,$G68,$H68,$I68,$J68,$K68)</f>
        <v/>
      </c>
      <c r="N68" s="36">
        <f>[1]!HoadleyIBQuotes($C68,N$2,$D68,$E68,$F68,$G68,$H68,$I68,$J68,$K68,$L68)</f>
        <v>0</v>
      </c>
      <c r="O68" s="36">
        <f>IF([1]!HoadleyIBQuotes($C68,O$2,$D68,$E68,$F68,$G68,$H68,$I68,$J68,$K68)&gt;0,[1]!HoadleyIBQuotes($C68,O$2,$D68,$E68,$F68,$G68,$H68,$I68,$J68,$K68),N68)</f>
        <v>0</v>
      </c>
      <c r="P68" s="35" t="str">
        <f t="shared" si="30"/>
        <v/>
      </c>
      <c r="Q68" s="36">
        <f>[1]!HoadleyIBQuotes($C68,Q$2,$D68,$E68,$F68,$G68,$H68,$I68,$J68,$K68,$L68)</f>
        <v>0</v>
      </c>
      <c r="R68" s="36">
        <f>[1]!HoadleyIBQuotes($C68,R$2,$D68,$E68,$F68,$G68,$H68,$I68,$J68,$K68,$L68)</f>
        <v>0</v>
      </c>
      <c r="S68" s="36">
        <f t="shared" si="31"/>
        <v>0</v>
      </c>
      <c r="T68"/>
      <c r="U68"/>
    </row>
    <row r="69" spans="2:21" s="1" customFormat="1" x14ac:dyDescent="0.45">
      <c r="B69" s="31" t="s">
        <v>334</v>
      </c>
      <c r="C69" s="31" t="s">
        <v>37</v>
      </c>
      <c r="D69" s="31" t="s">
        <v>82</v>
      </c>
      <c r="E69" s="31" t="s">
        <v>124</v>
      </c>
      <c r="F69" s="31" t="s">
        <v>83</v>
      </c>
      <c r="G69" s="31">
        <v>202402</v>
      </c>
      <c r="H69" s="31"/>
      <c r="I69" s="31"/>
      <c r="J69" s="31">
        <v>40000</v>
      </c>
      <c r="K69" s="31"/>
      <c r="L69" s="31"/>
      <c r="M69" s="34" t="str">
        <f>[1]!HoadleyIBQuotes($C69,M$2,$D69,$E69,$F69,$G69,$H69,$I69,$J69,$K69)</f>
        <v/>
      </c>
      <c r="N69" s="36">
        <f>[1]!HoadleyIBQuotes($C69,N$2,$D69,$E69,$F69,$G69,$H69,$I69,$J69,$K69,$L69)</f>
        <v>0</v>
      </c>
      <c r="O69" s="36">
        <f>IF([1]!HoadleyIBQuotes($C69,O$2,$D69,$E69,$F69,$G69,$H69,$I69,$J69,$K69)&gt;0,[1]!HoadleyIBQuotes($C69,O$2,$D69,$E69,$F69,$G69,$H69,$I69,$J69,$K69),N69)</f>
        <v>0</v>
      </c>
      <c r="P69" s="35" t="str">
        <f t="shared" si="30"/>
        <v/>
      </c>
      <c r="Q69" s="36">
        <f>[1]!HoadleyIBQuotes($C69,Q$2,$D69,$E69,$F69,$G69,$H69,$I69,$J69,$K69,$L69)</f>
        <v>0</v>
      </c>
      <c r="R69" s="36">
        <f>[1]!HoadleyIBQuotes($C69,R$2,$D69,$E69,$F69,$G69,$H69,$I69,$J69,$K69,$L69)</f>
        <v>0</v>
      </c>
      <c r="S69" s="36">
        <f t="shared" si="31"/>
        <v>0</v>
      </c>
      <c r="T69"/>
      <c r="U69"/>
    </row>
    <row r="70" spans="2:21" s="1" customFormat="1" x14ac:dyDescent="0.45">
      <c r="B70"/>
      <c r="C70"/>
      <c r="D70"/>
      <c r="E70"/>
      <c r="F70"/>
      <c r="G70"/>
      <c r="H70"/>
      <c r="I70"/>
      <c r="J70"/>
      <c r="K70" s="31"/>
      <c r="L70" s="31"/>
      <c r="M70" s="34"/>
      <c r="N70" s="36"/>
      <c r="O70" s="36"/>
      <c r="P70" s="35"/>
      <c r="Q70" s="36"/>
      <c r="R70" s="36"/>
      <c r="S70" s="36"/>
      <c r="T70"/>
      <c r="U70"/>
    </row>
    <row r="71" spans="2:21" s="1" customFormat="1" x14ac:dyDescent="0.45">
      <c r="B71" s="31" t="s">
        <v>102</v>
      </c>
      <c r="C71" s="31" t="s">
        <v>103</v>
      </c>
      <c r="D71" s="31" t="s">
        <v>82</v>
      </c>
      <c r="E71" s="31" t="s">
        <v>127</v>
      </c>
      <c r="F71" s="31" t="s">
        <v>83</v>
      </c>
      <c r="G71" s="31">
        <v>202306</v>
      </c>
      <c r="H71" s="31"/>
      <c r="I71" s="31"/>
      <c r="J71" s="31">
        <v>1000</v>
      </c>
      <c r="K71" s="31"/>
      <c r="L71" s="31"/>
      <c r="M71" s="34" t="str">
        <f>[1]!HoadleyIBQuotes($C71,M$2,$D71,$E71,$F71,$G71,$H71,$I71,$J71,$K71)</f>
        <v/>
      </c>
      <c r="N71" s="36">
        <f>[1]!HoadleyIBQuotes($C71,N$2,$D71,$E71,$F71,$G71,$H71,$I71,$J71,$K71,$L71)</f>
        <v>0</v>
      </c>
      <c r="O71" s="36">
        <f>IF([1]!HoadleyIBQuotes($C71,O$2,$D71,$E71,$F71,$G71,$H71,$I71,$J71,$K71)&gt;0,[1]!HoadleyIBQuotes($C71,O$2,$D71,$E71,$F71,$G71,$H71,$I71,$J71,$K71),N71)</f>
        <v>0</v>
      </c>
      <c r="P71" s="35" t="str">
        <f t="shared" si="30"/>
        <v/>
      </c>
      <c r="Q71" s="36">
        <f>[1]!HoadleyIBQuotes($C71,Q$2,$D71,$E71,$F71,$G71,$H71,$I71,$J71,$K71,$L71)</f>
        <v>0</v>
      </c>
      <c r="R71" s="36">
        <f>[1]!HoadleyIBQuotes($C71,R$2,$D71,$E71,$F71,$G71,$H71,$I71,$J71,$K71,$L71)</f>
        <v>0</v>
      </c>
      <c r="S71" s="36">
        <f t="shared" si="31"/>
        <v>0</v>
      </c>
      <c r="T71"/>
      <c r="U71"/>
    </row>
    <row r="72" spans="2:21" s="1" customFormat="1" x14ac:dyDescent="0.45">
      <c r="B72" s="31" t="s">
        <v>46</v>
      </c>
      <c r="C72" s="31" t="s">
        <v>46</v>
      </c>
      <c r="D72" s="31" t="s">
        <v>82</v>
      </c>
      <c r="E72" s="31" t="s">
        <v>127</v>
      </c>
      <c r="F72" s="31" t="s">
        <v>83</v>
      </c>
      <c r="G72" s="31">
        <v>202309</v>
      </c>
      <c r="H72" s="31"/>
      <c r="I72" s="31"/>
      <c r="J72" s="31">
        <v>1000</v>
      </c>
      <c r="K72" s="31"/>
      <c r="L72" s="31"/>
      <c r="M72" s="34" t="str">
        <f>[1]!HoadleyIBQuotes($C72,M$2,$D72,$E72,$F72,$G72,$H72,$I72,$J72,$K72)</f>
        <v/>
      </c>
      <c r="N72" s="36">
        <f>[1]!HoadleyIBQuotes($C72,N$2,$D72,$E72,$F72,$G72,$H72,$I72,$J72,$K72,$L72)</f>
        <v>0</v>
      </c>
      <c r="O72" s="36">
        <f>IF([1]!HoadleyIBQuotes($C72,O$2,$D72,$E72,$F72,$G72,$H72,$I72,$J72,$K72)&gt;0,[1]!HoadleyIBQuotes($C72,O$2,$D72,$E72,$F72,$G72,$H72,$I72,$J72,$K72),N72)</f>
        <v>0</v>
      </c>
      <c r="P72" s="35" t="str">
        <f t="shared" si="30"/>
        <v/>
      </c>
      <c r="Q72" s="36">
        <f>[1]!HoadleyIBQuotes($C72,Q$2,$D72,$E72,$F72,$G72,$H72,$I72,$J72,$K72,$L72)</f>
        <v>0</v>
      </c>
      <c r="R72" s="36">
        <f>[1]!HoadleyIBQuotes($C72,R$2,$D72,$E72,$F72,$G72,$H72,$I72,$J72,$K72,$L72)</f>
        <v>0</v>
      </c>
      <c r="S72" s="36">
        <f t="shared" si="31"/>
        <v>0</v>
      </c>
      <c r="T72"/>
      <c r="U72" s="38"/>
    </row>
    <row r="73" spans="2:21" s="1" customFormat="1" x14ac:dyDescent="0.45">
      <c r="B73" s="31" t="s">
        <v>104</v>
      </c>
      <c r="C73" s="31" t="s">
        <v>105</v>
      </c>
      <c r="D73" s="31" t="s">
        <v>82</v>
      </c>
      <c r="E73" s="31" t="s">
        <v>125</v>
      </c>
      <c r="F73" s="31" t="s">
        <v>74</v>
      </c>
      <c r="G73" s="31">
        <v>202306</v>
      </c>
      <c r="H73" s="31"/>
      <c r="I73" s="31"/>
      <c r="J73" s="31">
        <v>1000</v>
      </c>
      <c r="K73" s="31"/>
      <c r="L73" s="31"/>
      <c r="M73" s="34" t="str">
        <f>[1]!HoadleyIBQuotes($C73,M$2,$D73,$E73,$F73,$G73,$H73,$I73,$J73,$K73)</f>
        <v/>
      </c>
      <c r="N73" s="36">
        <f>[1]!HoadleyIBQuotes($C73,N$2,$D73,$E73,$F73,$G73,$H73,$I73,$J73,$K73,$L73)</f>
        <v>0</v>
      </c>
      <c r="O73" s="36">
        <f>IF([1]!HoadleyIBQuotes($C73,O$2,$D73,$E73,$F73,$G73,$H73,$I73,$J73,$K73)&gt;0,[1]!HoadleyIBQuotes($C73,O$2,$D73,$E73,$F73,$G73,$H73,$I73,$J73,$K73),N73)</f>
        <v>0</v>
      </c>
      <c r="P73" s="35" t="str">
        <f t="shared" si="30"/>
        <v/>
      </c>
      <c r="Q73" s="36">
        <f>[1]!HoadleyIBQuotes($C73,Q$2,$D73,$E73,$F73,$G73,$H73,$I73,$J73,$K73,$L73)</f>
        <v>0</v>
      </c>
      <c r="R73" s="36">
        <f>[1]!HoadleyIBQuotes($C73,R$2,$D73,$E73,$F73,$G73,$H73,$I73,$J73,$K73,$L73)</f>
        <v>0</v>
      </c>
      <c r="S73" s="36">
        <f t="shared" si="31"/>
        <v>0</v>
      </c>
      <c r="T73"/>
      <c r="U73" s="38"/>
    </row>
    <row r="74" spans="2:21" s="1" customFormat="1" x14ac:dyDescent="0.45">
      <c r="B74" s="31" t="s">
        <v>106</v>
      </c>
      <c r="C74" s="31" t="s">
        <v>107</v>
      </c>
      <c r="D74" s="31" t="s">
        <v>82</v>
      </c>
      <c r="E74" s="31" t="s">
        <v>125</v>
      </c>
      <c r="F74" s="31" t="s">
        <v>74</v>
      </c>
      <c r="G74" s="31">
        <v>202306</v>
      </c>
      <c r="H74" s="31"/>
      <c r="I74" s="31"/>
      <c r="J74" s="31">
        <v>1000</v>
      </c>
      <c r="K74" s="31"/>
      <c r="L74" s="31"/>
      <c r="M74" s="34" t="str">
        <f>[1]!HoadleyIBQuotes($C74,M$2,$D74,$E74,$F74,$G74,$H74,$I74,$J74,$K74)</f>
        <v/>
      </c>
      <c r="N74" s="36">
        <f>[1]!HoadleyIBQuotes($C74,N$2,$D74,$E74,$F74,$G74,$H74,$I74,$J74,$K74,$L74)</f>
        <v>0</v>
      </c>
      <c r="O74" s="36">
        <f>IF([1]!HoadleyIBQuotes($C74,O$2,$D74,$E74,$F74,$G74,$H74,$I74,$J74,$K74)&gt;0,[1]!HoadleyIBQuotes($C74,O$2,$D74,$E74,$F74,$G74,$H74,$I74,$J74,$K74),N74)</f>
        <v>0</v>
      </c>
      <c r="P74" s="35" t="str">
        <f t="shared" si="30"/>
        <v/>
      </c>
      <c r="Q74" s="36">
        <f>[1]!HoadleyIBQuotes($C74,Q$2,$D74,$E74,$F74,$G74,$H74,$I74,$J74,$K74,$L74)</f>
        <v>0</v>
      </c>
      <c r="R74" s="36">
        <f>[1]!HoadleyIBQuotes($C74,R$2,$D74,$E74,$F74,$G74,$H74,$I74,$J74,$K74,$L74)</f>
        <v>0</v>
      </c>
      <c r="S74" s="36">
        <f t="shared" si="31"/>
        <v>0</v>
      </c>
      <c r="T74"/>
      <c r="U74" s="38"/>
    </row>
    <row r="75" spans="2:21" s="1" customFormat="1" x14ac:dyDescent="0.45">
      <c r="B75" s="31" t="s">
        <v>108</v>
      </c>
      <c r="C75" s="31" t="s">
        <v>47</v>
      </c>
      <c r="D75" s="31" t="s">
        <v>82</v>
      </c>
      <c r="E75" s="31" t="s">
        <v>125</v>
      </c>
      <c r="F75" s="31" t="s">
        <v>74</v>
      </c>
      <c r="G75" s="31">
        <v>202306</v>
      </c>
      <c r="H75" s="31"/>
      <c r="I75" s="31"/>
      <c r="J75" s="31">
        <v>1000</v>
      </c>
      <c r="K75" s="31"/>
      <c r="L75" s="31"/>
      <c r="M75" s="34" t="str">
        <f>[1]!HoadleyIBQuotes($C75,M$2,$D75,$E75,$F75,$G75,$H75,$I75,$J75,$K75)</f>
        <v/>
      </c>
      <c r="N75" s="36">
        <f>[1]!HoadleyIBQuotes($C75,N$2,$D75,$E75,$F75,$G75,$H75,$I75,$J75,$K75,$L75)</f>
        <v>0</v>
      </c>
      <c r="O75" s="36">
        <f>IF([1]!HoadleyIBQuotes($C75,O$2,$D75,$E75,$F75,$G75,$H75,$I75,$J75,$K75)&gt;0,[1]!HoadleyIBQuotes($C75,O$2,$D75,$E75,$F75,$G75,$H75,$I75,$J75,$K75),N75)</f>
        <v>0</v>
      </c>
      <c r="P75" s="35" t="str">
        <f t="shared" si="30"/>
        <v/>
      </c>
      <c r="Q75" s="36">
        <f>[1]!HoadleyIBQuotes($C75,Q$2,$D75,$E75,$F75,$G75,$H75,$I75,$J75,$K75,$L75)</f>
        <v>0</v>
      </c>
      <c r="R75" s="36">
        <f>[1]!HoadleyIBQuotes($C75,R$2,$D75,$E75,$F75,$G75,$H75,$I75,$J75,$K75,$L75)</f>
        <v>0</v>
      </c>
      <c r="S75" s="36">
        <f t="shared" si="31"/>
        <v>0</v>
      </c>
      <c r="T75"/>
      <c r="U75"/>
    </row>
    <row r="76" spans="2:21" s="1" customFormat="1" x14ac:dyDescent="0.45">
      <c r="B76" s="31" t="s">
        <v>109</v>
      </c>
      <c r="C76" s="31" t="s">
        <v>38</v>
      </c>
      <c r="D76" s="31" t="s">
        <v>82</v>
      </c>
      <c r="E76" s="31" t="s">
        <v>100</v>
      </c>
      <c r="F76" s="31" t="s">
        <v>83</v>
      </c>
      <c r="G76" s="31">
        <v>202306</v>
      </c>
      <c r="H76" s="31"/>
      <c r="I76" s="31"/>
      <c r="J76" s="31">
        <v>1000</v>
      </c>
      <c r="K76" s="31"/>
      <c r="L76" s="31"/>
      <c r="M76" s="34" t="str">
        <f>[1]!HoadleyIBQuotes($C76,M$2,$D76,$E76,$F76,$G76,$H76,$I76,$J76,$K76)</f>
        <v/>
      </c>
      <c r="N76" s="36">
        <f>[1]!HoadleyIBQuotes($C76,N$2,$D76,$E76,$F76,$G76,$H76,$I76,$J76,$K76,$L76)</f>
        <v>0</v>
      </c>
      <c r="O76" s="36">
        <f>IF([1]!HoadleyIBQuotes($C76,O$2,$D76,$E76,$F76,$G76,$H76,$I76,$J76,$K76)&gt;0,[1]!HoadleyIBQuotes($C76,O$2,$D76,$E76,$F76,$G76,$H76,$I76,$J76,$K76),N76)</f>
        <v>0</v>
      </c>
      <c r="P76" s="35" t="str">
        <f t="shared" si="30"/>
        <v/>
      </c>
      <c r="Q76" s="36">
        <f>[1]!HoadleyIBQuotes($C76,Q$2,$D76,$E76,$F76,$G76,$H76,$I76,$J76,$K76,$L76)</f>
        <v>0</v>
      </c>
      <c r="R76" s="36">
        <f>[1]!HoadleyIBQuotes($C76,R$2,$D76,$E76,$F76,$G76,$H76,$I76,$J76,$K76,$L76)</f>
        <v>0</v>
      </c>
      <c r="S76" s="36">
        <f t="shared" si="31"/>
        <v>0</v>
      </c>
      <c r="T76"/>
      <c r="U76"/>
    </row>
    <row r="77" spans="2:21" s="1" customFormat="1" x14ac:dyDescent="0.45">
      <c r="B77" s="31" t="s">
        <v>42</v>
      </c>
      <c r="C77" s="31" t="s">
        <v>74</v>
      </c>
      <c r="D77" s="31" t="s">
        <v>82</v>
      </c>
      <c r="E77" s="31" t="s">
        <v>124</v>
      </c>
      <c r="F77" s="31" t="s">
        <v>83</v>
      </c>
      <c r="G77" s="31">
        <v>202306</v>
      </c>
      <c r="H77" s="31"/>
      <c r="I77" s="31"/>
      <c r="J77" s="31">
        <v>125000</v>
      </c>
      <c r="K77" s="31"/>
      <c r="L77" s="31"/>
      <c r="M77" s="34" t="str">
        <f>[1]!HoadleyIBQuotes($C77,M$2,$D77,$E77,$F77,$G77,$H77,$I77,$J77,$K77)</f>
        <v/>
      </c>
      <c r="N77" s="36">
        <f>[1]!HoadleyIBQuotes($C77,N$2,$D77,$E77,$F77,$G77,$H77,$I77,$J77,$K77,$L77)</f>
        <v>0</v>
      </c>
      <c r="O77" s="36">
        <f>IF([1]!HoadleyIBQuotes($C77,O$2,$D77,$E77,$F77,$G77,$H77,$I77,$J77,$K77)&gt;0,[1]!HoadleyIBQuotes($C77,O$2,$D77,$E77,$F77,$G77,$H77,$I77,$J77,$K77),N77)</f>
        <v>0</v>
      </c>
      <c r="P77" s="35" t="str">
        <f t="shared" si="30"/>
        <v/>
      </c>
      <c r="Q77" s="36">
        <f>[1]!HoadleyIBQuotes($C77,Q$2,$D77,$E77,$F77,$G77,$H77,$I77,$J77,$K77,$L77)</f>
        <v>0</v>
      </c>
      <c r="R77" s="36">
        <f>[1]!HoadleyIBQuotes($C77,R$2,$D77,$E77,$F77,$G77,$H77,$I77,$J77,$K77,$L77)</f>
        <v>0</v>
      </c>
      <c r="S77" s="36">
        <f t="shared" si="31"/>
        <v>0</v>
      </c>
      <c r="T77"/>
      <c r="U77"/>
    </row>
    <row r="78" spans="2:21" s="1" customFormat="1" x14ac:dyDescent="0.45">
      <c r="B78" s="31" t="s">
        <v>40</v>
      </c>
      <c r="C78" s="31" t="s">
        <v>110</v>
      </c>
      <c r="D78" s="31" t="s">
        <v>82</v>
      </c>
      <c r="E78" s="31" t="s">
        <v>124</v>
      </c>
      <c r="F78" s="31" t="s">
        <v>83</v>
      </c>
      <c r="G78" s="31">
        <v>202306</v>
      </c>
      <c r="H78" s="31"/>
      <c r="I78" s="31"/>
      <c r="J78" s="31">
        <v>62500</v>
      </c>
      <c r="K78" s="31"/>
      <c r="L78" s="31"/>
      <c r="M78" s="34" t="str">
        <f>[1]!HoadleyIBQuotes($C78,M$2,$D78,$E78,$F78,$G78,$H78,$I78,$J78,$K78)</f>
        <v/>
      </c>
      <c r="N78" s="36">
        <f>[1]!HoadleyIBQuotes($C78,N$2,$D78,$E78,$F78,$G78,$H78,$I78,$J78,$K78,$L78)</f>
        <v>0</v>
      </c>
      <c r="O78" s="36">
        <f>IF([1]!HoadleyIBQuotes($C78,O$2,$D78,$E78,$F78,$G78,$H78,$I78,$J78,$K78)&gt;0,[1]!HoadleyIBQuotes($C78,O$2,$D78,$E78,$F78,$G78,$H78,$I78,$J78,$K78),N78)</f>
        <v>0</v>
      </c>
      <c r="P78" s="35" t="str">
        <f t="shared" si="30"/>
        <v/>
      </c>
      <c r="Q78" s="36">
        <f>[1]!HoadleyIBQuotes($C78,Q$2,$D78,$E78,$F78,$G78,$H78,$I78,$J78,$K78,$L78)</f>
        <v>0</v>
      </c>
      <c r="R78" s="36">
        <f>[1]!HoadleyIBQuotes($C78,R$2,$D78,$E78,$F78,$G78,$H78,$I78,$J78,$K78,$L78)</f>
        <v>0</v>
      </c>
      <c r="S78" s="36">
        <f t="shared" si="31"/>
        <v>0</v>
      </c>
      <c r="T78"/>
      <c r="U78"/>
    </row>
    <row r="79" spans="2:21" s="1" customFormat="1" x14ac:dyDescent="0.45">
      <c r="B79" s="31" t="s">
        <v>43</v>
      </c>
      <c r="C79" s="31" t="s">
        <v>80</v>
      </c>
      <c r="D79" s="31" t="s">
        <v>82</v>
      </c>
      <c r="E79" s="31" t="s">
        <v>124</v>
      </c>
      <c r="F79" s="31" t="s">
        <v>83</v>
      </c>
      <c r="G79" s="31">
        <v>202306</v>
      </c>
      <c r="H79" s="31"/>
      <c r="I79" s="31"/>
      <c r="J79" s="39">
        <v>12500000</v>
      </c>
      <c r="K79" s="31"/>
      <c r="L79" s="31"/>
      <c r="M79" s="34" t="str">
        <f>[1]!HoadleyIBQuotes($C79,M$2,$D79,$E79,$F79,$G79,$H79,$I79,$J79,$K79)</f>
        <v/>
      </c>
      <c r="N79" s="36">
        <f>[1]!HoadleyIBQuotes($C79,N$2,$D79,$E79,$F79,$G79,$H79,$I79,$J79,$K79,$L79)</f>
        <v>0</v>
      </c>
      <c r="O79" s="36">
        <f>IF([1]!HoadleyIBQuotes($C79,O$2,$D79,$E79,$F79,$G79,$H79,$I79,$J79,$K79)&gt;0,[1]!HoadleyIBQuotes($C79,O$2,$D79,$E79,$F79,$G79,$H79,$I79,$J79,$K79),N79)</f>
        <v>0</v>
      </c>
      <c r="P79" s="35" t="str">
        <f t="shared" si="30"/>
        <v/>
      </c>
      <c r="Q79" s="36">
        <f>[1]!HoadleyIBQuotes($C79,Q$2,$D79,$E79,$F79,$G79,$H79,$I79,$J79,$K79,$L79)</f>
        <v>0</v>
      </c>
      <c r="R79" s="36">
        <f>[1]!HoadleyIBQuotes($C79,R$2,$D79,$E79,$F79,$G79,$H79,$I79,$J79,$K79,$L79)</f>
        <v>0</v>
      </c>
      <c r="S79" s="36">
        <f t="shared" si="31"/>
        <v>0</v>
      </c>
      <c r="T79"/>
      <c r="U79"/>
    </row>
    <row r="80" spans="2:21" s="1" customFormat="1" x14ac:dyDescent="0.45">
      <c r="B80" s="31" t="s">
        <v>111</v>
      </c>
      <c r="C80" s="31" t="s">
        <v>112</v>
      </c>
      <c r="D80" s="31" t="s">
        <v>82</v>
      </c>
      <c r="E80" s="31" t="s">
        <v>124</v>
      </c>
      <c r="F80" s="31" t="s">
        <v>83</v>
      </c>
      <c r="G80" s="31">
        <v>202306</v>
      </c>
      <c r="H80" s="31"/>
      <c r="I80" s="31"/>
      <c r="J80" s="31">
        <v>100000</v>
      </c>
      <c r="K80" s="31"/>
      <c r="L80" s="31"/>
      <c r="M80" s="34" t="str">
        <f>[1]!HoadleyIBQuotes($C80,M$2,$D80,$E80,$F80,$G80,$H80,$I80,$J80,$K80)</f>
        <v/>
      </c>
      <c r="N80" s="36">
        <f>[1]!HoadleyIBQuotes($C80,N$2,$D80,$E80,$F80,$G80,$H80,$I80,$J80,$K80,$L80)</f>
        <v>0</v>
      </c>
      <c r="O80" s="36">
        <f>IF([1]!HoadleyIBQuotes($C80,O$2,$D80,$E80,$F80,$G80,$H80,$I80,$J80,$K80)&gt;0,[1]!HoadleyIBQuotes($C80,O$2,$D80,$E80,$F80,$G80,$H80,$I80,$J80,$K80),N80)</f>
        <v>0</v>
      </c>
      <c r="P80" s="35" t="str">
        <f t="shared" si="30"/>
        <v/>
      </c>
      <c r="Q80" s="36">
        <f>[1]!HoadleyIBQuotes($C80,Q$2,$D80,$E80,$F80,$G80,$H80,$I80,$J80,$K80,$L80)</f>
        <v>0</v>
      </c>
      <c r="R80" s="36">
        <f>[1]!HoadleyIBQuotes($C80,R$2,$D80,$E80,$F80,$G80,$H80,$I80,$J80,$K80,$L80)</f>
        <v>0</v>
      </c>
      <c r="S80" s="36">
        <f t="shared" si="31"/>
        <v>0</v>
      </c>
      <c r="T80"/>
      <c r="U80"/>
    </row>
    <row r="81" spans="2:21" s="1" customFormat="1" x14ac:dyDescent="0.45">
      <c r="B81" s="31" t="s">
        <v>113</v>
      </c>
      <c r="C81" s="31" t="s">
        <v>114</v>
      </c>
      <c r="D81" s="31" t="s">
        <v>82</v>
      </c>
      <c r="E81" s="31" t="s">
        <v>124</v>
      </c>
      <c r="F81" s="31" t="s">
        <v>83</v>
      </c>
      <c r="G81" s="31">
        <v>202306</v>
      </c>
      <c r="H81" s="31"/>
      <c r="I81" s="31"/>
      <c r="J81" s="31">
        <v>100000</v>
      </c>
      <c r="K81" s="31"/>
      <c r="L81" s="31"/>
      <c r="M81" s="34" t="str">
        <f>[1]!HoadleyIBQuotes($C81,M$2,$D81,$E81,$F81,$G81,$H81,$I81,$J81,$K81)</f>
        <v/>
      </c>
      <c r="N81" s="36">
        <f>[1]!HoadleyIBQuotes($C81,N$2,$D81,$E81,$F81,$G81,$H81,$I81,$J81,$K81,$L81)</f>
        <v>0</v>
      </c>
      <c r="O81" s="36">
        <f>IF([1]!HoadleyIBQuotes($C81,O$2,$D81,$E81,$F81,$G81,$H81,$I81,$J81,$K81)&gt;0,[1]!HoadleyIBQuotes($C81,O$2,$D81,$E81,$F81,$G81,$H81,$I81,$J81,$K81),N81)</f>
        <v>0</v>
      </c>
      <c r="P81" s="35" t="str">
        <f t="shared" si="30"/>
        <v/>
      </c>
      <c r="Q81" s="36">
        <f>[1]!HoadleyIBQuotes($C81,Q$2,$D81,$E81,$F81,$G81,$H81,$I81,$J81,$K81,$L81)</f>
        <v>0</v>
      </c>
      <c r="R81" s="36">
        <f>[1]!HoadleyIBQuotes($C81,R$2,$D81,$E81,$F81,$G81,$H81,$I81,$J81,$K81,$L81)</f>
        <v>0</v>
      </c>
      <c r="S81" s="36">
        <f t="shared" si="31"/>
        <v>0</v>
      </c>
      <c r="T81"/>
      <c r="U81"/>
    </row>
    <row r="82" spans="2:21" s="1" customFormat="1" x14ac:dyDescent="0.4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7"/>
      <c r="N82" s="36"/>
      <c r="O82" s="36"/>
      <c r="P82" s="35"/>
      <c r="Q82" s="36"/>
      <c r="R82" s="36"/>
      <c r="S82" s="36"/>
      <c r="T82"/>
      <c r="U82"/>
    </row>
    <row r="83" spans="2:21" s="1" customFormat="1" x14ac:dyDescent="0.45">
      <c r="B83" s="31" t="s">
        <v>115</v>
      </c>
      <c r="C83" s="31" t="s">
        <v>116</v>
      </c>
      <c r="D83" s="31" t="s">
        <v>117</v>
      </c>
      <c r="E83" s="31" t="s">
        <v>88</v>
      </c>
      <c r="F83" s="31" t="s">
        <v>110</v>
      </c>
      <c r="G83" s="31"/>
      <c r="H83" s="31"/>
      <c r="I83" s="31"/>
      <c r="J83" s="31"/>
      <c r="K83" s="31"/>
      <c r="L83" s="31"/>
      <c r="M83" s="34" t="str">
        <f>[1]!HoadleyIBQuotes($C83,M$2,$D83,$E83,$F83,$G83,$H83,$I83,$J83,$K83)</f>
        <v/>
      </c>
      <c r="N83" s="36">
        <f>[1]!HoadleyIBQuotes($C83,N$2,$D83,$E83,$F83,$G83,$H83,$I83,$J83,$K83)</f>
        <v>0</v>
      </c>
      <c r="O83" s="36">
        <f>IF([1]!HoadleyIBQuotes($C83,O$2,$D83,$E83,$F83,$G83,$H83,$I83,$J83,$K83)&gt;0,[1]!HoadleyIBQuotes($C83,O$2,$D83,$E83,$F83,$G83,$H83,$I83,$J83,$K83),N83)</f>
        <v>0</v>
      </c>
      <c r="P83" s="35" t="str">
        <f t="shared" ref="P83:P88" si="34">IF(OR(O83=0,N83=0),"",O83/N83-1)</f>
        <v/>
      </c>
      <c r="Q83" s="36">
        <f>[1]!HoadleyIBQuotes($C83,Q$2,$D83,$E83,$F83,$G83,$H83,$I83,$J83,$K83)</f>
        <v>0</v>
      </c>
      <c r="R83" s="36">
        <f>[1]!HoadleyIBQuotes($C83,R$2,$D83,$E83,$F83,$G83,$H83,$I83,$J83,$K83)</f>
        <v>0</v>
      </c>
      <c r="S83" s="36">
        <f t="shared" ref="S83:S88" si="35">(R83+Q83)/2</f>
        <v>0</v>
      </c>
      <c r="T83"/>
      <c r="U83" s="36"/>
    </row>
    <row r="84" spans="2:21" s="1" customFormat="1" x14ac:dyDescent="0.45">
      <c r="B84" s="31" t="s">
        <v>118</v>
      </c>
      <c r="C84" s="31" t="s">
        <v>118</v>
      </c>
      <c r="D84" s="31" t="s">
        <v>117</v>
      </c>
      <c r="E84" s="31" t="s">
        <v>88</v>
      </c>
      <c r="F84" s="31" t="s">
        <v>110</v>
      </c>
      <c r="G84" s="31"/>
      <c r="H84" s="31"/>
      <c r="I84" s="31"/>
      <c r="J84" s="31"/>
      <c r="K84" s="31"/>
      <c r="L84" s="31"/>
      <c r="M84" s="34" t="str">
        <f>[1]!HoadleyIBQuotes($C84,M$2,$D84,$E84,$F84,$G84,$H84,$I84,$J84,$K84)</f>
        <v/>
      </c>
      <c r="N84" s="36">
        <f>[1]!HoadleyIBQuotes($C84,N$2,$D84,$E84,$F84,$G84,$H84,$I84,$J84,$K84)</f>
        <v>0</v>
      </c>
      <c r="O84" s="36">
        <f>IF([1]!HoadleyIBQuotes($C84,O$2,$D84,$E84,$F84,$G84,$H84,$I84,$J84,$K84)&gt;0,[1]!HoadleyIBQuotes($C84,O$2,$D84,$E84,$F84,$G84,$H84,$I84,$J84,$K84),N84)</f>
        <v>0</v>
      </c>
      <c r="P84" s="35" t="str">
        <f t="shared" si="34"/>
        <v/>
      </c>
      <c r="Q84" s="36">
        <f>[1]!HoadleyIBQuotes($C84,Q$2,$D84,$E84,$F84,$G84,$H84,$I84,$J84,$K84)</f>
        <v>0</v>
      </c>
      <c r="R84" s="36">
        <f>[1]!HoadleyIBQuotes($C84,R$2,$D84,$E84,$F84,$G84,$H84,$I84,$J84,$K84)</f>
        <v>0</v>
      </c>
      <c r="S84" s="36">
        <f t="shared" si="35"/>
        <v>0</v>
      </c>
      <c r="T84"/>
      <c r="U84" s="36"/>
    </row>
    <row r="85" spans="2:21" s="1" customFormat="1" x14ac:dyDescent="0.45">
      <c r="B85" s="31" t="s">
        <v>119</v>
      </c>
      <c r="C85" s="31" t="s">
        <v>119</v>
      </c>
      <c r="D85" s="31" t="s">
        <v>117</v>
      </c>
      <c r="E85" s="31" t="s">
        <v>88</v>
      </c>
      <c r="F85" s="31" t="s">
        <v>74</v>
      </c>
      <c r="G85" s="31"/>
      <c r="H85" s="31"/>
      <c r="I85" s="31"/>
      <c r="J85" s="31"/>
      <c r="K85" s="31"/>
      <c r="L85" s="31"/>
      <c r="M85" s="34" t="str">
        <f>[1]!HoadleyIBQuotes($C85,M$2,$D85,$E85,$F85,$G85,$H85,$I85,$J85,$K85)</f>
        <v/>
      </c>
      <c r="N85" s="36">
        <f>[1]!HoadleyIBQuotes($C85,N$2,$D85,$E85,$F85,$G85,$H85,$I85,$J85,$K85)</f>
        <v>0</v>
      </c>
      <c r="O85" s="36">
        <f>IF([1]!HoadleyIBQuotes($C85,O$2,$D85,$E85,$F85,$G85,$H85,$I85,$J85,$K85)&gt;0,[1]!HoadleyIBQuotes($C85,O$2,$D85,$E85,$F85,$G85,$H85,$I85,$J85,$K85),N85)</f>
        <v>0</v>
      </c>
      <c r="P85" s="35" t="str">
        <f t="shared" si="34"/>
        <v/>
      </c>
      <c r="Q85" s="36">
        <f>[1]!HoadleyIBQuotes($C85,Q$2,$D85,$E85,$F85,$G85,$H85,$I85,$J85,$K85)</f>
        <v>0</v>
      </c>
      <c r="R85" s="36">
        <f>[1]!HoadleyIBQuotes($C85,R$2,$D85,$E85,$F85,$G85,$H85,$I85,$J85,$K85)</f>
        <v>0</v>
      </c>
      <c r="S85" s="36">
        <f t="shared" si="35"/>
        <v>0</v>
      </c>
      <c r="T85"/>
      <c r="U85" s="36"/>
    </row>
    <row r="86" spans="2:21" x14ac:dyDescent="0.45">
      <c r="B86" s="31" t="s">
        <v>120</v>
      </c>
      <c r="C86" s="31" t="s">
        <v>120</v>
      </c>
      <c r="D86" s="31" t="s">
        <v>117</v>
      </c>
      <c r="E86" s="31" t="s">
        <v>88</v>
      </c>
      <c r="F86" s="31" t="s">
        <v>74</v>
      </c>
      <c r="G86" s="31"/>
      <c r="H86" s="31"/>
      <c r="I86" s="31"/>
      <c r="J86" s="31"/>
      <c r="K86" s="31"/>
      <c r="L86" s="31"/>
      <c r="M86" s="34" t="str">
        <f>[1]!HoadleyIBQuotes($C86,M$2,$D86,$E86,$F86,$G86,$H86,$I86,$J86,$K86)</f>
        <v/>
      </c>
      <c r="N86" s="36">
        <f>[1]!HoadleyIBQuotes($C86,N$2,$D86,$E86,$F86,$G86,$H86,$I86,$J86,$K86)</f>
        <v>0</v>
      </c>
      <c r="O86" s="36">
        <f>IF([1]!HoadleyIBQuotes($C86,O$2,$D86,$E86,$F86,$G86,$H86,$I86,$J86,$K86)&gt;0,[1]!HoadleyIBQuotes($C86,O$2,$D86,$E86,$F86,$G86,$H86,$I86,$J86,$K86),N86)</f>
        <v>0</v>
      </c>
      <c r="P86" s="35" t="str">
        <f t="shared" si="34"/>
        <v/>
      </c>
      <c r="Q86" s="36">
        <f>[1]!HoadleyIBQuotes($C86,Q$2,$D86,$E86,$F86,$G86,$H86,$I86,$J86,$K86)</f>
        <v>0</v>
      </c>
      <c r="R86" s="36">
        <f>[1]!HoadleyIBQuotes($C86,R$2,$D86,$E86,$F86,$G86,$H86,$I86,$J86,$K86)</f>
        <v>0</v>
      </c>
      <c r="S86" s="36">
        <f t="shared" si="35"/>
        <v>0</v>
      </c>
      <c r="U86" s="36"/>
    </row>
    <row r="87" spans="2:21" x14ac:dyDescent="0.45">
      <c r="B87" s="31" t="s">
        <v>121</v>
      </c>
      <c r="C87" s="31" t="s">
        <v>121</v>
      </c>
      <c r="D87" s="31" t="s">
        <v>117</v>
      </c>
      <c r="E87" s="31" t="s">
        <v>88</v>
      </c>
      <c r="F87" s="31" t="s">
        <v>74</v>
      </c>
      <c r="G87" s="31"/>
      <c r="H87" s="31"/>
      <c r="I87" s="31"/>
      <c r="J87" s="31"/>
      <c r="K87" s="31"/>
      <c r="L87" s="31"/>
      <c r="M87" s="34" t="str">
        <f>[1]!HoadleyIBQuotes($C87,M$2,$D87,$E87,$F87,$G87,$H87,$I87,$J87,$K87)</f>
        <v/>
      </c>
      <c r="N87" s="36">
        <f>[1]!HoadleyIBQuotes($C87,N$2,$D87,$E87,$F87,$G87,$H87,$I87,$J87,$K87)</f>
        <v>0</v>
      </c>
      <c r="O87" s="36">
        <f>IF([1]!HoadleyIBQuotes($C87,O$2,$D87,$E87,$F87,$G87,$H87,$I87,$J87,$K87)&gt;0,[1]!HoadleyIBQuotes($C87,O$2,$D87,$E87,$F87,$G87,$H87,$I87,$J87,$K87),N87)</f>
        <v>0</v>
      </c>
      <c r="P87" s="35" t="str">
        <f t="shared" si="34"/>
        <v/>
      </c>
      <c r="Q87" s="36">
        <f>[1]!HoadleyIBQuotes($C87,Q$2,$D87,$E87,$F87,$G87,$H87,$I87,$J87,$K87)</f>
        <v>0</v>
      </c>
      <c r="R87" s="36">
        <f>[1]!HoadleyIBQuotes($C87,R$2,$D87,$E87,$F87,$G87,$H87,$I87,$J87,$K87)</f>
        <v>0</v>
      </c>
      <c r="S87" s="36">
        <f t="shared" si="35"/>
        <v>0</v>
      </c>
      <c r="U87" s="36"/>
    </row>
    <row r="88" spans="2:21" x14ac:dyDescent="0.45">
      <c r="B88" s="31" t="s">
        <v>122</v>
      </c>
      <c r="C88" s="31" t="s">
        <v>122</v>
      </c>
      <c r="D88" s="31" t="s">
        <v>117</v>
      </c>
      <c r="E88" s="31" t="s">
        <v>88</v>
      </c>
      <c r="F88" s="31" t="s">
        <v>74</v>
      </c>
      <c r="G88" s="31"/>
      <c r="H88" s="31"/>
      <c r="I88" s="31"/>
      <c r="J88" s="31"/>
      <c r="K88" s="31"/>
      <c r="L88" s="31"/>
      <c r="M88" s="34" t="str">
        <f>[1]!HoadleyIBQuotes($C88,M$2,$D88,$E88,$F88,$G88,$H88,$I88,$J88,$K88)</f>
        <v/>
      </c>
      <c r="N88" s="36">
        <f>[1]!HoadleyIBQuotes($C88,N$2,$D88,$E88,$F88,$G88,$H88,$I88,$J88,$K88)</f>
        <v>0</v>
      </c>
      <c r="O88" s="36">
        <f>IF([1]!HoadleyIBQuotes($C88,O$2,$D88,$E88,$F88,$G88,$H88,$I88,$J88,$K88)&gt;0,[1]!HoadleyIBQuotes($C88,O$2,$D88,$E88,$F88,$G88,$H88,$I88,$J88,$K88),N88)</f>
        <v>0</v>
      </c>
      <c r="P88" s="35" t="str">
        <f t="shared" si="34"/>
        <v/>
      </c>
      <c r="Q88" s="36">
        <f>[1]!HoadleyIBQuotes($C88,Q$2,$D88,$E88,$F88,$G88,$H88,$I88,$J88,$K88)</f>
        <v>0</v>
      </c>
      <c r="R88" s="36">
        <f>[1]!HoadleyIBQuotes($C88,R$2,$D88,$E88,$F88,$G88,$H88,$I88,$J88,$K88)</f>
        <v>0</v>
      </c>
      <c r="S88" s="36">
        <f t="shared" si="35"/>
        <v>0</v>
      </c>
      <c r="U88" s="36"/>
    </row>
    <row r="89" spans="2:21" x14ac:dyDescent="0.45">
      <c r="B89" s="31" t="s">
        <v>407</v>
      </c>
      <c r="C89" s="31" t="s">
        <v>407</v>
      </c>
      <c r="D89" s="31" t="s">
        <v>117</v>
      </c>
      <c r="E89" s="31" t="s">
        <v>88</v>
      </c>
      <c r="F89" s="31" t="s">
        <v>83</v>
      </c>
      <c r="G89" s="31"/>
      <c r="H89" s="31"/>
      <c r="I89" s="31"/>
      <c r="J89" s="31"/>
      <c r="K89" s="31"/>
      <c r="L89" s="31"/>
      <c r="M89" s="34" t="str">
        <f>[1]!HoadleyIBQuotes($C89,M$2,$D89,$E89,$F89,$G89,$H89,$I89,$J89,$K89)</f>
        <v/>
      </c>
      <c r="N89" s="36">
        <f>[1]!HoadleyIBQuotes($C89,N$2,$D89,$E89,$F89,$G89,$H89,$I89,$J89,$K89)</f>
        <v>0</v>
      </c>
      <c r="O89" s="36">
        <f>IF([1]!HoadleyIBQuotes($C89,O$2,$D89,$E89,$F89,$G89,$H89,$I89,$J89,$K89)&gt;0,[1]!HoadleyIBQuotes($C89,O$2,$D89,$E89,$F89,$G89,$H89,$I89,$J89,$K89),N89)</f>
        <v>0</v>
      </c>
      <c r="P89" s="35" t="str">
        <f t="shared" ref="P89" si="36">IF(OR(O89=0,N89=0),"",O89/N89-1)</f>
        <v/>
      </c>
      <c r="Q89" s="36">
        <f>[1]!HoadleyIBQuotes($C89,Q$2,$D89,$E89,$F89,$G89,$H89,$I89,$J89,$K89)</f>
        <v>0</v>
      </c>
      <c r="R89" s="36">
        <f>[1]!HoadleyIBQuotes($C89,R$2,$D89,$E89,$F89,$G89,$H89,$I89,$J89,$K89)</f>
        <v>0</v>
      </c>
      <c r="S89" s="36">
        <f t="shared" ref="S89" si="37">(R89+Q89)/2</f>
        <v>0</v>
      </c>
    </row>
    <row r="90" spans="2:21" x14ac:dyDescent="0.45">
      <c r="B90" s="31" t="s">
        <v>418</v>
      </c>
      <c r="C90" s="31" t="s">
        <v>418</v>
      </c>
      <c r="D90" s="31" t="s">
        <v>117</v>
      </c>
      <c r="E90" s="31" t="s">
        <v>88</v>
      </c>
      <c r="F90" s="31" t="s">
        <v>83</v>
      </c>
      <c r="G90" s="31"/>
      <c r="H90" s="31"/>
      <c r="I90" s="31"/>
      <c r="J90" s="31"/>
      <c r="K90" s="31" t="s">
        <v>408</v>
      </c>
      <c r="L90" s="31"/>
      <c r="M90" s="34" t="str">
        <f>[1]!HoadleyIBQuotes($C90,M$2,$D90,$E90,$F90,$G90,$H90,$I90,$J90,$K90)</f>
        <v/>
      </c>
      <c r="N90" s="36">
        <f>[1]!HoadleyIBQuotes($C90,N$2,$D90,$E90,$F90,$G90,$H90,$I90,$J90,$K90)</f>
        <v>0</v>
      </c>
      <c r="O90" s="36">
        <f>IF([1]!HoadleyIBQuotes($C90,O$2,$D90,$E90,$F90,$G90,$H90,$I90,$J90,$K90)&gt;0,[1]!HoadleyIBQuotes($C90,O$2,$D90,$E90,$F90,$G90,$H90,$I90,$J90,$K90),N90)</f>
        <v>0</v>
      </c>
      <c r="P90" s="35" t="str">
        <f t="shared" ref="P90" si="38">IF(OR(O90=0,N90=0),"",O90/N90-1)</f>
        <v/>
      </c>
      <c r="Q90" s="36">
        <f>[1]!HoadleyIBQuotes($C90,Q$2,$D90,$E90,$F90,$G90,$H90,$I90,$J90,$K90)</f>
        <v>0</v>
      </c>
      <c r="R90" s="36">
        <f>[1]!HoadleyIBQuotes($C90,R$2,$D90,$E90,$F90,$G90,$H90,$I90,$J90,$K90)</f>
        <v>0</v>
      </c>
      <c r="S90" s="36">
        <f t="shared" ref="S90" si="39">(R90+Q90)/2</f>
        <v>0</v>
      </c>
    </row>
  </sheetData>
  <sortState xmlns:xlrd2="http://schemas.microsoft.com/office/spreadsheetml/2017/richdata2" ref="K89">
    <sortCondition ref="K89"/>
  </sortState>
  <conditionalFormatting sqref="T83:T88">
    <cfRule type="containsText" dxfId="0" priority="1" operator="containsText" text="TRUE">
      <formula>NOT(ISERROR(SEARCH("TRUE",T83)))</formula>
    </cfRule>
  </conditionalFormatting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Blotter</vt:lpstr>
      <vt:lpstr>Cash_Mgmt</vt:lpstr>
      <vt:lpstr>NAV</vt:lpstr>
      <vt:lpstr>PLB</vt:lpstr>
      <vt:lpstr>PLB_chart</vt:lpstr>
      <vt:lpstr>Multiplier</vt:lpstr>
      <vt:lpstr>Trades</vt:lpstr>
      <vt:lpstr>Data_IB</vt:lpstr>
      <vt:lpstr>NAV!Print_Area</vt:lpstr>
      <vt:lpstr>PLB!Print_Area</vt:lpstr>
      <vt:lpstr>PLB_chart!Print_Area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Patrese</dc:creator>
  <cp:lastModifiedBy>Simone Patrese</cp:lastModifiedBy>
  <cp:lastPrinted>2024-04-04T09:52:43Z</cp:lastPrinted>
  <dcterms:created xsi:type="dcterms:W3CDTF">2023-04-21T08:37:04Z</dcterms:created>
  <dcterms:modified xsi:type="dcterms:W3CDTF">2026-03-03T20:58:08Z</dcterms:modified>
</cp:coreProperties>
</file>